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NEW G-DRIVE FOLDER STRUCTURE\SOLAR EQUIPMENT\Day-to-Day Operations\SB 1 Monthly Equipment Updates\2019\12-December\Master List-December\2nd Update\"/>
    </mc:Choice>
  </mc:AlternateContent>
  <bookViews>
    <workbookView xWindow="0" yWindow="0" windowWidth="28800" windowHeight="13500"/>
  </bookViews>
  <sheets>
    <sheet name="Inverter-Full Data" sheetId="1" r:id="rId1"/>
    <sheet name="Dropdown" sheetId="2" state="hidden" r:id="rId2"/>
  </sheets>
  <functionGroups builtInGroupCount="18"/>
  <definedNames>
    <definedName name="_xlnm._FilterDatabase" localSheetId="0" hidden="1">'Inverter-Full Data'!$A$14:$BC$733</definedName>
  </definedNames>
  <calcPr calcId="162913"/>
</workbook>
</file>

<file path=xl/calcChain.xml><?xml version="1.0" encoding="utf-8"?>
<calcChain xmlns="http://schemas.openxmlformats.org/spreadsheetml/2006/main">
  <c r="A2736" i="2" l="1"/>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<sst xmlns="http://schemas.openxmlformats.org/spreadsheetml/2006/main" count="11277" uniqueCount="1857">
  <si>
    <t>ABB</t>
  </si>
  <si>
    <t>Chint Power Systems America</t>
  </si>
  <si>
    <t>Delta Electronics</t>
  </si>
  <si>
    <t>HiQ Solar</t>
  </si>
  <si>
    <t>Pika Energy</t>
  </si>
  <si>
    <t>Power Electronics</t>
  </si>
  <si>
    <t>SMA America</t>
  </si>
  <si>
    <t>Sparq Systems</t>
  </si>
  <si>
    <t>SunPower</t>
  </si>
  <si>
    <t>Enphase Energy Inc.</t>
  </si>
  <si>
    <t>Y</t>
  </si>
  <si>
    <t>N</t>
  </si>
  <si>
    <t>Built-In Meter</t>
  </si>
  <si>
    <t>Microinverter</t>
  </si>
  <si>
    <t>Manufacturer Name</t>
  </si>
  <si>
    <t>Description</t>
  </si>
  <si>
    <t>Notes</t>
  </si>
  <si>
    <t>No Information Submitted</t>
  </si>
  <si>
    <t>Archive of the "Prior List of Eligible Inverters" Expired March 31, 2005. (Adobe PDF, 6 pages, 120 kilobytes).</t>
  </si>
  <si>
    <t>Guidelines for California's Solar Electric Incentive Programs (Senate Bill 1)</t>
  </si>
  <si>
    <t>(kW)</t>
  </si>
  <si>
    <t>(Vac)</t>
  </si>
  <si>
    <t>Nominal Voltage</t>
  </si>
  <si>
    <t>(%)</t>
  </si>
  <si>
    <t>Weighted Efficiency</t>
  </si>
  <si>
    <t>Blue colored text indicates that the model number occurs multiple times on the list under different manufacturer names.</t>
  </si>
  <si>
    <t>Multiple Listing of Power-One</t>
  </si>
  <si>
    <t>This component is specific to ACPV modules and is not available as an individual unit.</t>
  </si>
  <si>
    <t>SolarEdge Technologies Ltd.</t>
  </si>
  <si>
    <t>14.4 kW, 208 Vac, 3-phase Grid Support Utility Interactive Inverter</t>
  </si>
  <si>
    <t>10 kW, 480 Vac, 3-phase Grid Support Utility Interactive Inverter</t>
  </si>
  <si>
    <t>20 kW, 480 Vac, 3-phase Grid Support Utility Interactive Inverter</t>
  </si>
  <si>
    <t>33.3 kW, 480 Vac, 3-phase Grid Support Utility Interactive Inverter</t>
  </si>
  <si>
    <t>3 kW, 208 Vac, 1-phase Grid Support Utility Interactive Inverter, where x = (blank), A, or A-US.</t>
  </si>
  <si>
    <t>3 kW, 240 Vac, 1-phase Grid Support Utility Interactive Inverter, where x = (blank), A, or A-US.</t>
  </si>
  <si>
    <t>3.3 kW, 208 Vac, 1-phase Grid Support Utility Interactive Inverter, where x = (blank), A, or A-US.</t>
  </si>
  <si>
    <t>3.3 kW, 240 Vac, 1-phase Grid Support Utility Interactive Inverter, where x = (blank), A, or A-US.</t>
  </si>
  <si>
    <t>3.8 kW, 208 Vac, 1-phase Grid Support Utility Interactive Inverter, where x = (blank), A, or A-US.</t>
  </si>
  <si>
    <t>3.8 kW, 240 Vac, 1-phase Grid Support Utility Interactive Inverter, where x = (blank), A, or A-US.</t>
  </si>
  <si>
    <t>5 kW, 208 Vac, 1-phase Grid Support Utility Interactive Inverter, where x = (blank), A, or A-US.</t>
  </si>
  <si>
    <t>5 kW, 240 Vac, 1-phase Grid Support Utility Interactive Inverter, where x = (blank), A, or A-US.</t>
  </si>
  <si>
    <t>6 kW, 208 Vac, 1-phase Grid Support Utility Interactive Inverter, where x = (blank), A, or A-US.</t>
  </si>
  <si>
    <t>6 kW, 240 Vac, 1-phase Grid Support Utility Interactive Inverter, where x = (blank), A, or A-US.</t>
  </si>
  <si>
    <t>7.6 kW, 208 Vac, 1-phase Grid Support Utility Interactive Inverter</t>
  </si>
  <si>
    <t>7.6 kW, 240 Vac, 1-phase Grid Support Utility Interactive Inverter</t>
  </si>
  <si>
    <t>10 kW, 208 Vac, 1-phase Grid Support Utility Interactive Inverter</t>
  </si>
  <si>
    <t>10 kW, 240 Vac, 1-phase Grid Support Utility Interactive Inverter</t>
  </si>
  <si>
    <t>11.4 kW, 240 Vac, 1-phase Grid Support Utility Interactive Inverter</t>
  </si>
  <si>
    <t>5 kW, 240 Vac, 1-phase Grid Support Utility Interactive Inverter</t>
  </si>
  <si>
    <t>Inverter List Notes</t>
  </si>
  <si>
    <t>9 kW, 208 Vac, 3-phase Grid Support Utility Interactive Inverter</t>
  </si>
  <si>
    <t>3.3 kW, 208 Vac Grid Support Interactive Inverter with arc detector, revenue grade meter, Zigbee radio, and Rapid Shutdown power supply</t>
  </si>
  <si>
    <t>3.3 kW, 208 Vac Grid Support Interactive Inverter with arc detector and Rapid Shutdown power supply</t>
  </si>
  <si>
    <t>3.3 kW, 208 Vac Grid Support Interactive Inverter with arc detector, WLAN, and Rapid Shutdown power supply</t>
  </si>
  <si>
    <t>3.3 kW, 208 Vac Grid Support Interactive Inverter with arc detector, Ethernet LAN, and Rapid Shutdown power supply</t>
  </si>
  <si>
    <t>3.3 kW, 240 Vac Grid Support Interactive Inverter with arc detector, revenue grade meter, Zigbee radio, and Rapid Shutdown power supply</t>
  </si>
  <si>
    <t>3.3 kW, 240 Vac Grid Support Interactive Inverter with arc detector and Rapid Shutdown power supply</t>
  </si>
  <si>
    <t>3.3 kW, 240 Vac Grid Support Interactive Inverter with arc detector, WLAN, and Rapid Shutdown power supply</t>
  </si>
  <si>
    <t>3.3 kW, 240 Vac Grid Support Interactive Inverter with arc detector, Ethernet LAN, and Rapid Shutdown power supply</t>
  </si>
  <si>
    <t>3.8 kW, 208 Vac Grid Support Interactive Inverter with arc detector, revenue grade meter, Zigbee radio, and Rapid Shutdown power supply</t>
  </si>
  <si>
    <t>3.8 kW, 208 Vac Grid Support Interactive Inverter with arc detector and Rapid Shutdown power supply</t>
  </si>
  <si>
    <t>3.8 kW, 208 Vac Grid Support Interactive Inverter with arc detector, WLAN, and Rapid Shutdown power supply</t>
  </si>
  <si>
    <t>3.8 kW, 208 Vac Grid Support Interactive Inverter with arc detector, Ethernet LAN, and Rapid Shutdown power supply</t>
  </si>
  <si>
    <t>4.6 kW, 208 Vac Grid Support Interactive Inverter with arc detector, revenue grade meter, Zigbee radio, and Rapid Shutdown power supply</t>
  </si>
  <si>
    <t>4.6 kW, 208 Vac Grid Support Interactive Inverter with arc detector and Rapid Shutdown power supply</t>
  </si>
  <si>
    <t>4.6 kW, 208 Vac Grid Support Interactive Inverter with arc detector, WLAN, and Rapid Shutdown power supply</t>
  </si>
  <si>
    <t>4.6 kW, 208 Vac Grid Support Interactive Inverter with arc detector, Ethernet LAN, and Rapid Shutdown power supply</t>
  </si>
  <si>
    <t>5.0 kW, 208 Vac Grid Support Interactive Inverter with arc detector, revenue grade meter, Zigbee radio, and Rapid Shutdown power supply</t>
  </si>
  <si>
    <t>5.0 kW, 208 Vac Grid Support Interactive Inverter with arc detector and Rapid Shutdown power supply</t>
  </si>
  <si>
    <t>5.0 kW, 208 Vac Grid Support Interactive Inverter with arc detector, WLAN, and Rapid Shutdown power supply</t>
  </si>
  <si>
    <t>5.0 kW, 208 Vac Grid Support Interactive Inverter with arc detector, Ethernet LAN, and Rapid Shutdown power supply</t>
  </si>
  <si>
    <t>5.0 kW, 240 Vac Grid Support Interactive Inverter with arc detector, revenue grade meter, Zigbee radio, and Rapid Shutdown power supply</t>
  </si>
  <si>
    <t>5.0 kW, 240 Vac Grid Support Interactive Inverter with arc detector and Rapid Shutdown power supply</t>
  </si>
  <si>
    <t>5.0 kW, 240 Vac Grid Support Interactive Inverter with arc detector, WLAN, and Rapid Shutdown power supply</t>
  </si>
  <si>
    <t>5.0 kW, 240 Vac Grid Support Interactive Inverter with arc detector, Ethernet LAN, and Rapid Shutdown power supply</t>
  </si>
  <si>
    <t>3 kW, 208 Vac Grid Support Utility Interactive Inverter with arc detector</t>
  </si>
  <si>
    <t>3 kW, 240 Vac Grid Support Utility Interactive Inverter with arc detector</t>
  </si>
  <si>
    <t>3 kW, 277 Vac Grid Support Utility Interactive Inverter with arc detector</t>
  </si>
  <si>
    <t>3 kW, 208 Vac Grid Support Utility Interactive Inverter with arc-fault detection and meter</t>
  </si>
  <si>
    <t>3 kW, 240 Vac Grid Support Utility Interactive Inverter with arc-fault detection and meter</t>
  </si>
  <si>
    <t>3 kW, 277 Vac Grid Support Utility Interactive Inverter with arc-fault detection and meter</t>
  </si>
  <si>
    <t>3.6 kW, 208 Vac Grid Support Utility Interactive Inverter with arc detector</t>
  </si>
  <si>
    <t>3.6 kW, 240 Vac Grid Support Utility Interactive Inverter with arc detector</t>
  </si>
  <si>
    <t>3.6 kW, 277 Vac Grid Support Utility Interactive Inverter with arc detector</t>
  </si>
  <si>
    <t>3.6 kW, 208 Vac Grid Support Utility Interactive Inverter with arc-fault detection and meter</t>
  </si>
  <si>
    <t>3.6 kW, 240 Vac Grid Support Utility Interactive Inverter with arc-fault detection and meter</t>
  </si>
  <si>
    <t>3.6 kW, 277 Vac Grid Support Utility Interactive Inverter with arc-fault detection and meter</t>
  </si>
  <si>
    <t>3.3 kW, 208 Vac Grid Support Utility Interactive Inverter with arc detector</t>
  </si>
  <si>
    <t>3.3 kW, 208 Vac Grid Support Utility Interactive Inverter with arc-fault detection and meter</t>
  </si>
  <si>
    <t>3.8 kW, 240 Vac Grid Support Utility Interactive Inverter with arc-fault detection and meter</t>
  </si>
  <si>
    <t>3.8 kW, 277 Vac Grid Support Utility Interactive Inverter with arc-fault detection and meter</t>
  </si>
  <si>
    <t>3.8 kW, 240 Vac Grid Support Utility Interactive Inverter with arc detector, WLAN, and Rapid Shutdown power supply</t>
  </si>
  <si>
    <t>3.8 kW, 240 Vac Grid Support Utility Interactive Inverter with arc detector, Ethernet LAN, and Rapid Shutdown power supply</t>
  </si>
  <si>
    <t>3.8 kW, 240 Vac Grid Support Interactive Utility Inverter with arc detector, revenue grade meter, Zigbee radio, and Rapid Shutdown power supply</t>
  </si>
  <si>
    <t>3.8 kW, 240 Vac Grid Support Utility Interactive Inverter with arc detector and Rapid Shutdown power supply</t>
  </si>
  <si>
    <t>4.2 kW, 208 Vac Grid Support Utility Interactive Inverter with arc detector</t>
  </si>
  <si>
    <t>4.2 kW, 240 Vac Grid Support Utility Interactive Inverter with arc detector</t>
  </si>
  <si>
    <t>4.2 kW, 277 Vac Grid Support Utility Interactive Inverter with arc detector</t>
  </si>
  <si>
    <t>4.2 kW, 208 Vac Grid Support Utility Interactive Inverter with arc-fault detection and meter</t>
  </si>
  <si>
    <t>4.2 kW, 240 Vac Grid Support Utility Interactive Inverter with arc-fault detection and meter</t>
  </si>
  <si>
    <t>4.2 kW, 277 Vac Grid Support Utility Interactive Inverter with arc-fault detection and meter</t>
  </si>
  <si>
    <t>4.6 kW, 240 Vac Grid Support Utility Interactive Inverter with arc detector, WLAN, and Rapid Shutdown power supply</t>
  </si>
  <si>
    <t>4.6 kW, 240 Vac Grid Support Utility Interactive Inverter with arc detector, Ethernet LAN, and Rapid Shutdown power supply</t>
  </si>
  <si>
    <t>4.6 kW, 240 Vac Grid Support Utility Interactive Inverter with arc detector, revenue grade meter, Zigbee radio, and Rapid Shutdown power supply</t>
  </si>
  <si>
    <t>4.6 kW, 240 Vac Grid Support Utility Interactive Inverter with arc detector and Rapid Shutdown power supply</t>
  </si>
  <si>
    <t>5 kW, 208 Vac Grid Support Utility Interactive Inverter with arc detector</t>
  </si>
  <si>
    <t>5 kW, 240 Vac Grid Support Utility Interactive Inverter with arc detector</t>
  </si>
  <si>
    <t>5 kW, 277 Vac Grid Support Utility Interactive Inverter with arc detector</t>
  </si>
  <si>
    <t>5 kW, 208 Vac Grid Support Utility Interactive Inverter</t>
  </si>
  <si>
    <t>5 kW, 240 Vac Grid Support Utility Interactive Inverter</t>
  </si>
  <si>
    <t>5 kW, 277 Vac Grid Support Utility Interactive Inverter</t>
  </si>
  <si>
    <t>5 kW, 208 Vac Grid Support Utility Interactive Inverter with arc-fault detection and meter</t>
  </si>
  <si>
    <t>5 kW, 240 Vac Grid Support Utility Interactive Inverter with arc-fault detection and meter</t>
  </si>
  <si>
    <t>5 kW, 277 Vac Grid Support Utility Interactive Inverter with arc-fault detection and meter</t>
  </si>
  <si>
    <t>6 kW, 208 Vac Grid Support Utility Interactive Inverter</t>
  </si>
  <si>
    <t>6 kW, 240 Vac Grid Support Utility Interactive Inverter</t>
  </si>
  <si>
    <t>6 kW, 277 Vac Grid Support Utility Interactive Inverter</t>
  </si>
  <si>
    <t>6 kW, 208 Vac Grid Support Utility Interactive Inverter with arc-fault detection and meter</t>
  </si>
  <si>
    <t>6 kW, 240 Vac Grid Support Utility Interactive Inverter with arc-fault detection and meter</t>
  </si>
  <si>
    <t>6 kW, 277 Vac Grid Support Utility Interactive Inverter with arc-fault detection and meter</t>
  </si>
  <si>
    <t>3.8 kW, 240 Vac Grid Support Utility Interactive Inverter with arc detector</t>
  </si>
  <si>
    <t>3.8 kW, 277 Vac Grid Support Utility Interactive Inverter with arc detector</t>
  </si>
  <si>
    <t>50 kW, 480 Vac Grid Support Utility Interactive Inverter with arc detector</t>
  </si>
  <si>
    <t>60 kW, 480 Vac Grid Support Utility Interactive Inverter with arc detector</t>
  </si>
  <si>
    <t>50 kW, 480 Vac Grid Support Utility Interactive Inverter with 1 Inverter modules</t>
  </si>
  <si>
    <t>100 kW, 480 Vac Grid Support Utility Interactive Inverter with 2 Inverter modules</t>
  </si>
  <si>
    <t>150 kW, 480 Vac Grid Support Utility Interactive Inverter with 3 Inverter modules</t>
  </si>
  <si>
    <t>250 kW, 480 Vac Grid Support Utility Interactive Inverter with 5 Inverter modules</t>
  </si>
  <si>
    <t>50 kVA , 1000 Vdc, 480 Vac,  3-phase, non-isolated Grid Support Utility Interactive Inverter</t>
  </si>
  <si>
    <t>60 kVA , 1000 Vdc, 480 Vac,  3-phase, non-isolated Grid Support Utility Interactive Inverter</t>
  </si>
  <si>
    <t>Fronius International GmbH</t>
  </si>
  <si>
    <t>280 W, 208 Vac Grid Support Utility Interactive Microinverter where x = DC Connector type = 2 or 5</t>
  </si>
  <si>
    <t>280 W, 240 Vac Grid Support Utility Interactive Microinverter where x = DC Connector type = 2 or 5</t>
  </si>
  <si>
    <t>230 W, 208 Vac Grid Support Utility Interactive Microinverter for ACPV Module applications</t>
  </si>
  <si>
    <t>230 W, 208 Vac Grid Support Utility Interactive Microinverter where x = DC Connector type = 2 or 5</t>
  </si>
  <si>
    <t>230 W, 240 Vac Grid Support Utility Interactive Microinverter where x = DC Connector type = 2 or 5</t>
  </si>
  <si>
    <t>280 W, 208 Vac Grid Support Utility Interactive Microinverter for ACPV Module applications</t>
  </si>
  <si>
    <t>280 W, 240 Vac Grid Support Utility Interactive Microinverter for ACPV Module applications</t>
  </si>
  <si>
    <t>7.6 kW, 208 Vac transformerless Grid Support Utility Interactive Inverter with arc detector</t>
  </si>
  <si>
    <t>7.6 kW, 240 Vac transformerless Grid Support Utility Interactive Inverter with arc detector</t>
  </si>
  <si>
    <t>7.6 kW, 277 Vac transformerless Grid Support Utility Interactive Inverter with arc detector</t>
  </si>
  <si>
    <t>8.6 kW, 240 Vac transformerless Grid Support Utility Interactive Inverter with arc detector</t>
  </si>
  <si>
    <t>8.6 kW, 277 Vac transformerless Grid Support Utility Interactive Inverter with arc detector</t>
  </si>
  <si>
    <t>3.0 kW, 208 Vac transformerless Grid Support Utility Interactive Inverter</t>
  </si>
  <si>
    <t>3.0 kW, 240 Vac transformerless Grid Support Utility Interactive Inverter</t>
  </si>
  <si>
    <t>3.8 kW, 208 Vac transformerless Grid Support Utility Interactive Inverter</t>
  </si>
  <si>
    <t>3.8 kW, 240 Vac transformerless Grid Support Utility Interactive Inverter</t>
  </si>
  <si>
    <t>5.0 kW, 240 Vac transformerless Grid Support Utility Interactive Inverter</t>
  </si>
  <si>
    <t>5.0 kW, 208 Vac transformerless Grid Support Utility Interactive Inverter</t>
  </si>
  <si>
    <t>6.0 kW, 208 Vac transformerless Grid Support Utility Interactive Inverter</t>
  </si>
  <si>
    <t>6.0 kW, 240 Vac transformerless Grid Support Utility Interactive Inverter</t>
  </si>
  <si>
    <t>7.0 kW, 208 Vac transformerless Grid Support Utility Interactive Inverter</t>
  </si>
  <si>
    <t>7.7 kW, 208 Vac transformerless Grid Support Utility Interactive Inverter</t>
  </si>
  <si>
    <t>7.0 kW, 240 Vac transformerless Grid Support Utility Interactive Inverter</t>
  </si>
  <si>
    <t>7.7 kW, 240 Vac transformerless Grid Support Utility Interactive Inverter</t>
  </si>
  <si>
    <t>Sunny Tripower TL-US 12 kW, 480Vac, 3-phase, Transformerless Grid Support Utility Interactive Inverter</t>
  </si>
  <si>
    <t>Sunny Tripower TL-US 15 kW, 480Vac, 3-phase, Transformerless Grid Support Utility Interactive Inverter</t>
  </si>
  <si>
    <t>Sunny Tripower TL-US 20 kW, 480Vac, 3-phase, Transformerless Grid Support Utility Interactive Inverter</t>
  </si>
  <si>
    <t>Sunny Tripower TL-US 24 kW, 480Vac, 3-phase, Transformerless Grid Support Utility Interactive Inverter</t>
  </si>
  <si>
    <t>Sunny Tripower TL-US 30 kW, 480Vac, 3-phase, Transformerless Grid Support Utility Interactive Inverter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</si>
  <si>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</si>
  <si>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</si>
  <si>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</si>
  <si>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</si>
  <si>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</si>
  <si>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</si>
  <si>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</si>
  <si>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</si>
  <si>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Power Rating, Continuous, 40 deg C</t>
  </si>
  <si>
    <t>Night
Tare Loss, 40 deg C</t>
  </si>
  <si>
    <t>Voltage Minimum</t>
  </si>
  <si>
    <t>Voltage Nominal</t>
  </si>
  <si>
    <t>Voltage Maximum</t>
  </si>
  <si>
    <t>Power Level</t>
  </si>
  <si>
    <t>Efficiency @Vmin,</t>
  </si>
  <si>
    <t>Efficiency @Vnom</t>
  </si>
  <si>
    <t>Efficiency @Vmax</t>
  </si>
  <si>
    <t>Last Update</t>
  </si>
  <si>
    <t>(W)</t>
  </si>
  <si>
    <t>(Vdc)</t>
  </si>
  <si>
    <t>10% (kW)</t>
  </si>
  <si>
    <t>20% (kW)</t>
  </si>
  <si>
    <t>30% (kW)</t>
  </si>
  <si>
    <t>50% (kW)</t>
  </si>
  <si>
    <t>75% (kW)</t>
  </si>
  <si>
    <t>100% (kW)</t>
  </si>
  <si>
    <t>10% Pwr Lvl (%)</t>
  </si>
  <si>
    <t>20% Pwr Lvl (%)</t>
  </si>
  <si>
    <t>30% Pwr Lvl (%)</t>
  </si>
  <si>
    <t>50% Pwr Lvl (%)</t>
  </si>
  <si>
    <t>75% Pwr Lvl (%)</t>
  </si>
  <si>
    <t>100% Pwr Lvl (%)</t>
  </si>
  <si>
    <t>Wtd (%)</t>
  </si>
  <si>
    <t>36 kVA, 480 Vac, 1000 Vdc, 3-phase, non-isolated Grid Support Utility Interactive Inverter</t>
  </si>
  <si>
    <t>320 W, 208 Vac Grid Support Utility Interactive Microinverter</t>
  </si>
  <si>
    <t>320 W, 240 Vac Grid Support Utility Interactive Microinverter</t>
  </si>
  <si>
    <t>Sunny Tripower CORE1 50 kW, 480 Vac, 3-phase, transformerless Grid Support Utility Interactive Inverter</t>
  </si>
  <si>
    <t>Sunny Tripower TL-US, 30kW, 480Vac 3-phase, Transformerless, Grid Support Utility Interactive Inverter</t>
  </si>
  <si>
    <t>Sunny Tripower TL-US 12 kW, 480 Vac 3-phase, Grid Support Utility Interactive Inverter</t>
  </si>
  <si>
    <t>Sunny Tripower TL-US 15 kW, 480 Vac, 3-phase, transformerless Grid Support Utility Interactive Inverter</t>
  </si>
  <si>
    <t>Sunny Tripower TL-US 20 kW, 480 Vac, 3-phase, transformerless Grid Support Utility Interactive Inverter</t>
  </si>
  <si>
    <t>Sunny Tripower TL-US 24 kW, 480 Vac, 3-phase, transformerless Grid Support Utility Interactive Inverter</t>
  </si>
  <si>
    <t>Sunny Tripower TL-US 12 kW, 480 Vac, 3-phase, transformerless Grid Support Utility Interactive Inverter</t>
  </si>
  <si>
    <t>Multiple Listing of SMA America</t>
  </si>
  <si>
    <t>36 kVA , 480 Vac, 3-phase Grid Support Utility Interactive Inverter, non-isolated, 1000 Vdc</t>
  </si>
  <si>
    <t>50 kVA , 480 Vac, 3-phase Grid Support Utility Interactive Inverter, non-isolated, 1000Vdc</t>
  </si>
  <si>
    <t>60 kVA , 480 Vac, 3-phase Grid Support Utility Interactive Inverter, non-isolated, 1000Vdc</t>
  </si>
  <si>
    <t>Multiple Listing of CHINT POWER SYSTEMS America CPS SCA36KTL-DO/US and Solectria Renewables,LLC PVI 36TL-480</t>
  </si>
  <si>
    <t>Canadian Solar Inc.</t>
  </si>
  <si>
    <t>Multiple Listing of CHINT POWER SYSTEMS America CPS SCA50KTL-DO/US and Solectria Renewables,LLC PVI 50TL-480</t>
  </si>
  <si>
    <t>Multiple Listing of CHINT POWER SYSTEMS America CPS SCA60KTL-DO/US and Solectria Renewables,LLC PVI 60TL-480</t>
  </si>
  <si>
    <t>230 W, 240 Vac, Grid Support Utility Interactive Microinverter, where x = 2, 3, 4, or 5 and may be followed by -US</t>
  </si>
  <si>
    <t xml:space="preserve">230 W, 240 Vac, Grid Support Utility Interactive Microinverter, where x = 2, 3, 4, or 5 and may be followed by -US
</t>
  </si>
  <si>
    <t xml:space="preserve">270 W, 240 Vac, Grid Support Utility Interactive Microinverter, where x = 2, 3, 4, or 5 and may be followed by -US
</t>
  </si>
  <si>
    <t>270 W, 208 Vac, Grid Support Utility Interactive Microinverter, where x = 2, 3, 4 , or 5 and may be followed by -US</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</si>
  <si>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</si>
  <si>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</si>
  <si>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</si>
  <si>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4 kW, 208 Vac Grid Support Utility Interactive Inverter</t>
  </si>
  <si>
    <t>4 kW, 240 Vac Grid Support Utility Interactive Inverter</t>
  </si>
  <si>
    <t>4 kW, 277 Vac Grid Support Utility Interactive Inverter</t>
  </si>
  <si>
    <t>7 kW, 208 Vac Grid Support Utility Interactive Inverter</t>
  </si>
  <si>
    <t>7 kW, 240 Vac Grid Support Utility Interactive Inverter</t>
  </si>
  <si>
    <t>7 kW, 277 Vac Grid Support Utility Interactive Inverter</t>
  </si>
  <si>
    <t>7.6 kW, 208 Vac Grid Support Utility Interactive Inverter</t>
  </si>
  <si>
    <t>7.6 kW, 240 Vac Grid Support Utility Interactive Inverter</t>
  </si>
  <si>
    <t>7.6 kW, 277 Vac Grid Support Utility Interactive Inverter</t>
  </si>
  <si>
    <t>8 kW, 208 Vac, 110-480 Vdc Grid Support Utility Interactive Inverter with boosting circuit</t>
  </si>
  <si>
    <t>8 kW, 240 Vac, 110-480 Vdc Grid Support Utility Interactive Inverter with boosting circuit</t>
  </si>
  <si>
    <t>8 kW, 277 Vac, 110-480 Vdc Grid Support Utility Interactive Inverter with boosting circuit</t>
  </si>
  <si>
    <t>9 kW, 208 Vac, 110-480 Vdc Grid Support Utility Interactive Inverter with boosting circuit</t>
  </si>
  <si>
    <t>9 kW, 240 Vac, 110-480 Vdc Grid Support Utility Interactive Inverter with boosting circuit</t>
  </si>
  <si>
    <t>9 kW, 277 Vac, 110-480 Vdc Grid Support Utility Interactive Inverter with boosting circuit</t>
  </si>
  <si>
    <t>10 kW, 208 Vac, 110-480 Vdc Grid Support Utility Interactive Inverter with boosting circuit</t>
  </si>
  <si>
    <t>10 kW, 240 Vac, 110-480 Vdc Grid Support Utility Interactive Inverter with boosting circuit</t>
  </si>
  <si>
    <t>10 kW, 277 Vac, 110-480 Vdc Grid Support Utility Interactive Inverter with boosting circuit</t>
  </si>
  <si>
    <t>Ningbo Ginlong Technologies Co.,Ltd.</t>
  </si>
  <si>
    <t>2.5 kW, 240 Vac, 1-phase Grid Support Utility Interactive Inverter</t>
  </si>
  <si>
    <t>3 kW, 240 Vac, 1-phase Grid Support Utility Interactive Inverter</t>
  </si>
  <si>
    <t>3.6 kW, 240 Vac, 1-phase Grid Support Utility Interactive Inverter</t>
  </si>
  <si>
    <t>4 kW, 240 Vac, 1-phase Grid Support Utility Interactive Inverter</t>
  </si>
  <si>
    <t>4.6 kW, 240 Vac, 1-phase Grid Support Utility Interactive Inverter</t>
  </si>
  <si>
    <t>6 kW, 240 Vac, 1-phase Utility Interactive Inverter, 2 channel</t>
  </si>
  <si>
    <t>6 kW, 240 Vac, 1-phase Grid Support Utility Interactive Inverter, 3 channel</t>
  </si>
  <si>
    <t>Multiple Listing of Flextronics Industrial Ltd, FLV-IA-6.0S1UA</t>
  </si>
  <si>
    <t>7 kW, 240 Vac, 1-phase Grid Support Utility Interactive Inverter</t>
  </si>
  <si>
    <t>Multiple Listing of Flextronics Industrial Ltd, FLV-IA-7.0S1UA</t>
  </si>
  <si>
    <t>Multiple Listing of Flextronics Industrial Ltd, FLV-IA-7.6S1UA</t>
  </si>
  <si>
    <t>8 kW, 240 Vac, 1-phase Grid Support Utility Interactive Inverter</t>
  </si>
  <si>
    <t>Multiple Listing of Flextronics Industrial Ltd, FLV-IA-8.0S1UA</t>
  </si>
  <si>
    <t>9 kW, 240 Vac, 1-phase Grid Support Utility Interactive Inverter</t>
  </si>
  <si>
    <t>Multiple Listing of Flextronics Industrial Ltd, FLV-IA-9.0S1UA</t>
  </si>
  <si>
    <t>Multiple Listing of Flextronics Industrial Ltd, FLV-IA-10.0S1UA</t>
  </si>
  <si>
    <t>3800 W, 240 Vac transformerless Grid Support Utility Interactive Inverter. All the SOLIVIA models are same firmare version tested for Grid Support Utility Interactive type.</t>
  </si>
  <si>
    <t>6600W, 208Vac transformerless Grid Support Utility Interactive Inverter. All the SOLIVIA models are same firmare version tested for Grid Support Utility Interactive type.</t>
  </si>
  <si>
    <t>6.0 kW (208Vac) Grid Support Utility Interactive Inverter w/ arc detector, WLAN, RSD PSU</t>
  </si>
  <si>
    <t>6.0 kW (208Vac) Grid Support Utility Interactive Inverter w/ arc detector, cellular, RSD PSU</t>
  </si>
  <si>
    <t>6.0 kW (208Vac) Grid Support Utility Interactive Inverter w/ arc detector, WLAN, Ethernet card, RSD PSU</t>
  </si>
  <si>
    <t>6.0 kW (208Vac) Grid Support Utility Interactive Inverter w/ arc detector, Zigbee, Revenue Grade Meter, RSD PSU</t>
  </si>
  <si>
    <t>295 W DC, ACPV module with Enphase IQ6-60-ACM-US (240V) Microinverter</t>
  </si>
  <si>
    <t>This microinverter is sold as an individual unit but is only for ACPV modules</t>
  </si>
  <si>
    <t>290 W DC, ACPV module with Enphase IQ6-60-ACM-US (240V) Microinverter</t>
  </si>
  <si>
    <t>285 W DC, ACPV module with Enphase IQ6-60-ACM-US (240V) Microinverter</t>
  </si>
  <si>
    <t>280 W DC, ACPV module with Enphase IQ6-60-ACM-US (240V) Microinverter</t>
  </si>
  <si>
    <t>275 W DC, ACPV module with Enphase IQ6-60-ACM-US (240V) Microinverter</t>
  </si>
  <si>
    <t>270 W DC, ACPV module with Enphase IQ6-60-ACM-US (240V) Microinverter</t>
  </si>
  <si>
    <t>265 W DC, ACPV module with Enphase IQ6-60-ACM-US (240V) Microinverter</t>
  </si>
  <si>
    <t>260 W DC, ACPV module with Enphase IQ6-60-ACM-US (240V) Microinverter</t>
  </si>
  <si>
    <t>300 W DC, ACPV module with Enphase IQ6-60-ACM-US (240V) Microinverter</t>
  </si>
  <si>
    <t>30 kW, 480 Vac wall-mounted, bi-directional Grid Support Utility Interactive Energy Storage Inverter</t>
  </si>
  <si>
    <t>125 kW, 480 Vac, 3-phase bi-directional Grid Support Utility Interactive Inverter</t>
  </si>
  <si>
    <t>33 kW, 480 Vac, transformerless Grid Support Utility Interactive Inverter</t>
  </si>
  <si>
    <t>36 kW, 480 Vac, Transformerlss Grid Support Utility Interactive Inverter</t>
  </si>
  <si>
    <t>Jinko Solar Co.,Ltd.</t>
  </si>
  <si>
    <t>Shenzhen Sinexcel Electric Co., Ltd</t>
  </si>
  <si>
    <t>6.0 kW (240Vac) Grid Support Utility Interactive Inverter w/ arc detector, Zigbee, Revenue Grade Meter, RSD PSU</t>
  </si>
  <si>
    <t>6.0 kW (240Vac) Grid Support Utility Interactive Inverter w/ arc detector, WLAN, RSD PSU</t>
  </si>
  <si>
    <t>6.0 kW (240Vac) Grid Support Utility Interactive Inverter w/ arc detector, WLAN, Ethernet card, RSD PSU</t>
  </si>
  <si>
    <t>6.0 kW (240Vac) Grid Support Utility Interactive Inverter w/ arc detector, cellular, RSD PSU</t>
  </si>
  <si>
    <t>Maximum Continuous Output Power at Unity Power Factor</t>
  </si>
  <si>
    <t>Schneider Electric Solar Inverters USA, Inc.</t>
  </si>
  <si>
    <t xml:space="preserve"> Weighted Efficiency includes efficiency of ABB ZGSB-H-2500/35.</t>
  </si>
  <si>
    <t>82.76 kW, 480 Vac Grid Support Utility Interactive Inverter, where xxx = 120, 121, or 122</t>
  </si>
  <si>
    <t>65.47 kW, 480 Vac Grid Support Utility Interactive Inverter, where xxx = 120, 121, or 122</t>
  </si>
  <si>
    <t>45.9 kW, 480 Vac Grid Support Utility Interactive Inverter, where xxx = 120, 121, or 122</t>
  </si>
  <si>
    <t>39.7 kW, 480 Vac Grid Support Utility Interactive Inverter, where xxx = 120, 121, or 122</t>
  </si>
  <si>
    <t>30.7 kW, 480 Vac Grid Support Utility Interactive Inverter, where xxx = 120, 121, or 122</t>
  </si>
  <si>
    <t>26.4 kW, 480 Vac Grid Support Utility Interactive Inverter, where xxx = 120, 121, or 122</t>
  </si>
  <si>
    <t>OutBack Power Technologies, Inc.</t>
  </si>
  <si>
    <t>4 kW, 120 VAC Grid Support Utility Interactive Inverter with external battery backup</t>
  </si>
  <si>
    <t>2.5 kW, 120 VAC Grid Support Utility Interactive Inverter with external battery backup</t>
  </si>
  <si>
    <t>3 kW, 120 VAC Grid Support Utility Interactive Inverter with external battery backup</t>
  </si>
  <si>
    <t>7.2 kW, 240 Vac Grid Support Utility Interactive Inverter with external battery backup and accessible neutral to allow 120 VAC loads to be backed up.</t>
  </si>
  <si>
    <t>3.6 kW, 240 Vac Grid Support Utility Interactive Inverter with external battery backup and accessible neutral to allow 120 VAC loads to be backed up.</t>
  </si>
  <si>
    <t>277 W, 208 Vac Grid Support Utility Interactive Inverter</t>
  </si>
  <si>
    <t>289 W, 240 Vac Grid Support Utility Interactive Inverter</t>
  </si>
  <si>
    <t>Tabuchi Electric Co., Ltd.</t>
  </si>
  <si>
    <t>5.5 kW, 240 Vac Grid Support Utility Interactive Hybrid Inverter with 2 kW Discharge Rate/10 kWh Storage Capacity</t>
  </si>
  <si>
    <t>5.5 kW, 240 Vac Grid Support Utility Interactive Hybrid Inverter with 3.3 kW Discharge Rate/20 kWh Storage Capacity</t>
  </si>
  <si>
    <t>11.4 kW, 208 Vac Grid Support Utility Interactive Inverter</t>
  </si>
  <si>
    <t>30 kW, 480 Vac, 3-phase Grid Support Utility Interactive Inverter</t>
  </si>
  <si>
    <t>Xiamen Kehua Hengsheng Co., Ltd.</t>
  </si>
  <si>
    <t>50 kW, 480 Vac Grid Support Utility Interactive Inverter</t>
  </si>
  <si>
    <t>60 kW, 480 Vac Grid Support Utility Interactive Inverter</t>
  </si>
  <si>
    <t>Sungrow Power Supply Co., Ltd.</t>
  </si>
  <si>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</si>
  <si>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</si>
  <si>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</si>
  <si>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</si>
  <si>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</si>
  <si>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</si>
  <si>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</si>
  <si>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</si>
  <si>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</si>
  <si>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</si>
  <si>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</si>
  <si>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</si>
  <si>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</si>
  <si>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</si>
  <si>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</si>
  <si>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</si>
  <si>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</si>
  <si>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</si>
  <si>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UNO-DM-3.8-TL-PLUS-US-SZ-RA </t>
    </r>
    <r>
      <rPr>
        <sz val="11"/>
        <color rgb="FF006666"/>
        <rFont val="Calibri"/>
        <family val="2"/>
        <scheme val="minor"/>
      </rPr>
      <t>[240V]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</si>
  <si>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</si>
  <si>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</si>
  <si>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</si>
  <si>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</si>
  <si>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</si>
  <si>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</si>
  <si>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</si>
  <si>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</si>
  <si>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</si>
  <si>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</si>
  <si>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</si>
  <si>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</si>
  <si>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</si>
  <si>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</si>
  <si>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</si>
  <si>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</si>
  <si>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</si>
  <si>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</si>
  <si>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</si>
  <si>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</si>
  <si>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</si>
  <si>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</si>
  <si>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</si>
  <si>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</si>
  <si>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</si>
  <si>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</si>
  <si>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</si>
  <si>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</si>
  <si>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t>Altenergy Power System Inc.</t>
  </si>
  <si>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</si>
  <si>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</si>
  <si>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</si>
  <si>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</si>
  <si>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</si>
  <si>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</si>
  <si>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</si>
  <si>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</si>
  <si>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</si>
  <si>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</si>
  <si>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</si>
  <si>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</si>
  <si>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</si>
  <si>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</si>
  <si>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</si>
  <si>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</si>
  <si>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</si>
  <si>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</si>
  <si>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</si>
  <si>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</si>
  <si>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Fronius Symo 12.5-3 480 </t>
    </r>
    <r>
      <rPr>
        <sz val="11"/>
        <color rgb="FF006666"/>
        <rFont val="Calibri"/>
        <family val="2"/>
        <scheme val="minor"/>
      </rPr>
      <t>[480V]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</si>
  <si>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</si>
  <si>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</si>
  <si>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</si>
  <si>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</si>
  <si>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</si>
  <si>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</si>
  <si>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</si>
  <si>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</si>
  <si>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</si>
  <si>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</si>
  <si>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SB5.0-1SP-US-40 </t>
    </r>
    <r>
      <rPr>
        <sz val="11"/>
        <color rgb="FF006666"/>
        <rFont val="Calibri"/>
        <family val="2"/>
        <scheme val="minor"/>
      </rPr>
      <t>[240V]</t>
    </r>
  </si>
  <si>
    <r>
      <t xml:space="preserve">SB5.0-1SP-US-40 </t>
    </r>
    <r>
      <rPr>
        <sz val="11"/>
        <color rgb="FF006666"/>
        <rFont val="Calibri"/>
        <family val="2"/>
        <scheme val="minor"/>
      </rPr>
      <t>[208V]</t>
    </r>
  </si>
  <si>
    <r>
      <t xml:space="preserve">SB6.0-1SP-US-40 </t>
    </r>
    <r>
      <rPr>
        <sz val="11"/>
        <color rgb="FF006666"/>
        <rFont val="Calibri"/>
        <family val="2"/>
        <scheme val="minor"/>
      </rPr>
      <t>[208V]</t>
    </r>
  </si>
  <si>
    <r>
      <t xml:space="preserve">SB6.0-1SP-US-40 </t>
    </r>
    <r>
      <rPr>
        <sz val="11"/>
        <color rgb="FF006666"/>
        <rFont val="Calibri"/>
        <family val="2"/>
        <scheme val="minor"/>
      </rPr>
      <t>[240V]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</si>
  <si>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</si>
  <si>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</si>
  <si>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SB7.0-1SP-US-40 </t>
    </r>
    <r>
      <rPr>
        <sz val="11"/>
        <color rgb="FF006666"/>
        <rFont val="Calibri"/>
        <family val="2"/>
        <scheme val="minor"/>
      </rPr>
      <t>[240V]</t>
    </r>
  </si>
  <si>
    <r>
      <t xml:space="preserve">STP24000TL-US-10 </t>
    </r>
    <r>
      <rPr>
        <sz val="11"/>
        <color rgb="FF006666"/>
        <rFont val="Calibri"/>
        <family val="2"/>
        <scheme val="minor"/>
      </rPr>
      <t>[480V]</t>
    </r>
  </si>
  <si>
    <r>
      <t xml:space="preserve">PVI 50TL-480 </t>
    </r>
    <r>
      <rPr>
        <sz val="11"/>
        <color rgb="FF006666"/>
        <rFont val="Calibri"/>
        <family val="2"/>
        <scheme val="minor"/>
      </rPr>
      <t>[480V]</t>
    </r>
  </si>
  <si>
    <r>
      <t xml:space="preserve">PVI 60TL-480 </t>
    </r>
    <r>
      <rPr>
        <sz val="11"/>
        <color rgb="FF006666"/>
        <rFont val="Calibri"/>
        <family val="2"/>
        <scheme val="minor"/>
      </rPr>
      <t>[480V]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</si>
  <si>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</si>
  <si>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</si>
  <si>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</si>
  <si>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</si>
  <si>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</si>
  <si>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</si>
  <si>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</si>
  <si>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</si>
  <si>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</si>
  <si>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</si>
  <si>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</si>
  <si>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</si>
  <si>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</si>
  <si>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</si>
  <si>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</si>
  <si>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</si>
  <si>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SPR-24000m-3 </t>
    </r>
    <r>
      <rPr>
        <sz val="11"/>
        <color rgb="FF006666"/>
        <rFont val="Calibri"/>
        <family val="2"/>
        <scheme val="minor"/>
      </rPr>
      <t>[480V]</t>
    </r>
  </si>
  <si>
    <r>
      <t xml:space="preserve">SPR-24000m-3-H </t>
    </r>
    <r>
      <rPr>
        <sz val="11"/>
        <color rgb="FF006666"/>
        <rFont val="Calibri"/>
        <family val="2"/>
        <scheme val="minor"/>
      </rPr>
      <t>[480V]</t>
    </r>
  </si>
  <si>
    <t>[3/9/2017]</t>
  </si>
  <si>
    <t>[A.4.0.B, B.4.2.2, C.2.0.0]</t>
  </si>
  <si>
    <t>[5/2/2017]</t>
  </si>
  <si>
    <t>[A.1.2.8, B.0.4.4, C.0.5.0]</t>
  </si>
  <si>
    <t>[2/7/2017]</t>
  </si>
  <si>
    <t>[A.4.1.0, B.4.2.0, C.2.0.0]</t>
  </si>
  <si>
    <t>[A.1.2.B , B.0.4.9, C.0.5.7]</t>
  </si>
  <si>
    <t>[A.0.1.5, B.0.2.3, C.0.2.4, D.0.0.F]</t>
  </si>
  <si>
    <t>[1/27/2017]</t>
  </si>
  <si>
    <t>[A.0.9.A, B.1.E.1, C.1.8.8]</t>
  </si>
  <si>
    <t>[8/2/2017]</t>
  </si>
  <si>
    <t>[V0.60]</t>
  </si>
  <si>
    <t>[7/6/2017]</t>
  </si>
  <si>
    <t>[V5.00]</t>
  </si>
  <si>
    <t>[11/15/2017]</t>
  </si>
  <si>
    <t>[3353]</t>
  </si>
  <si>
    <t>[4/10/2017]</t>
  </si>
  <si>
    <t>[A: 02.04.01, B: 02.04.01, C: 02.04.01]</t>
  </si>
  <si>
    <t>[10/27/2017]</t>
  </si>
  <si>
    <t>[V01.0X, V01.1X, V01.2X, V01.3X, V01.4X, V01.5X,V01.6X, V01.7X, V01.8X, V01.9X, V02.0X
]</t>
  </si>
  <si>
    <t>[7/20/2017]</t>
  </si>
  <si>
    <t>[8/14/2017]</t>
  </si>
  <si>
    <t>[v00.36.01]</t>
  </si>
  <si>
    <t>[6/29/2017]</t>
  </si>
  <si>
    <t>[01.06.03]</t>
  </si>
  <si>
    <t>[7/7/2017]</t>
  </si>
  <si>
    <t>[9/22/2017]</t>
  </si>
  <si>
    <t>[10/16/2017]</t>
  </si>
  <si>
    <t>[7/27/2017]</t>
  </si>
  <si>
    <t>[9/27/2017]</t>
  </si>
  <si>
    <t>[3/22/2017]</t>
  </si>
  <si>
    <t>[SUN2000 V200 R002C20]</t>
  </si>
  <si>
    <t>[9/29/2017]</t>
  </si>
  <si>
    <t>[SUN2000HA
V100R001]</t>
  </si>
  <si>
    <t>[08_01]</t>
  </si>
  <si>
    <t>[9/11/2017]</t>
  </si>
  <si>
    <t>[0C]</t>
  </si>
  <si>
    <t>[11/7/2017]</t>
  </si>
  <si>
    <t>[001.006.063]</t>
  </si>
  <si>
    <t>[11/22/2017]</t>
  </si>
  <si>
    <t>[11430]</t>
  </si>
  <si>
    <t>[10/13/2017]</t>
  </si>
  <si>
    <t>[KA 1.0]</t>
  </si>
  <si>
    <t>[KC 1.0]</t>
  </si>
  <si>
    <t>[9/18/2017]</t>
  </si>
  <si>
    <t>[V126]</t>
  </si>
  <si>
    <t>[4/23/2017]</t>
  </si>
  <si>
    <t>[1320, 130, 1420]</t>
  </si>
  <si>
    <t>[2/21/2017]</t>
  </si>
  <si>
    <t>[02.03.00.R]</t>
  </si>
  <si>
    <t>[7/13/2017]</t>
  </si>
  <si>
    <t>[2.03.04.R]</t>
  </si>
  <si>
    <t>[V1.01.19.R]</t>
  </si>
  <si>
    <t>[6/26/2017]</t>
  </si>
  <si>
    <t>[2.0.121]</t>
  </si>
  <si>
    <t>[6/7/2017]</t>
  </si>
  <si>
    <t>[2.52.326]</t>
  </si>
  <si>
    <t>[6/8/2017]</t>
  </si>
  <si>
    <t>[2.19.759]</t>
  </si>
  <si>
    <t>[9/20/2017]</t>
  </si>
  <si>
    <t>[4.1]</t>
  </si>
  <si>
    <t>[11/27/2017]</t>
  </si>
  <si>
    <t>[Main CPU(28335):V1]</t>
  </si>
  <si>
    <t>Certificate Date [mo/day/yr]</t>
  </si>
  <si>
    <t>Firmware Version(s) Tested</t>
  </si>
  <si>
    <t>Performance data is the same as SE14.4KUS.</t>
  </si>
  <si>
    <t>43.2 kW, 208 Vac, 3-phase Grid Support Utility Interactive Inverter. (Made up of three SE14.4KUS installed together rated max output power = 43.2kW)</t>
  </si>
  <si>
    <t>[11/02/2017]</t>
  </si>
  <si>
    <t>Performance data is the same as SE33.3KUS.</t>
  </si>
  <si>
    <t>66.6 kW, 480 Vac, 3-phase Grid Support Utility Interactive Inverter. (Made up of two SE33.3KUS installed together rated max output power = 66.6kW).</t>
  </si>
  <si>
    <t>2500kW, 550Vac Grid Support Utility Interactive Inverter connect to grid via a 2500kVA medium voltage transformer.</t>
  </si>
  <si>
    <t>[5/16/2017]</t>
  </si>
  <si>
    <t>[DSP_SG2500U_V11_V1_A, LCD_SG2500U_V1_A_M]   </t>
  </si>
  <si>
    <t>50 kW, 480 Vac, Fanless, 3-phase Grid Support Utility Interactive Inverter,</t>
  </si>
  <si>
    <t>[12/25/2017]</t>
  </si>
  <si>
    <t>[19/01]</t>
  </si>
  <si>
    <t>50 kW, 480 Vac, 3-phase Grid Support Utility Interactive Inverter,</t>
  </si>
  <si>
    <t>60 kW, 480 Vac, 3-phase Grid Support Utility Interactive Inverter,</t>
  </si>
  <si>
    <t>66 kW, 480 Vac, 3-phase Grid Support Utility Interactive Inverter     </t>
  </si>
  <si>
    <t>[12/23/2017]</t>
  </si>
  <si>
    <t>66 kW, 480 Vac, 3-phase Grid Support Utility Interactive Inverter.</t>
  </si>
  <si>
    <t>50 kW, 480 Vac, Seperated Wiring Box, Fanless, 3-phase Grid Support Utility Interactive Inverter,</t>
  </si>
  <si>
    <t>[01/08/2018]</t>
  </si>
  <si>
    <t>50 kW, 480 Vac, Seperated Wiring Box, 3-phase Grid Support Utility Interactive Inverter,</t>
  </si>
  <si>
    <t>60 kW, 480 Vac, Seperated Wiring Box, 3-phase Grid Support Utility Interactive Inverter,</t>
  </si>
  <si>
    <t>66 kW, 480 Vac, Seperated Wiring Box, 3-phase Grid Support Utility Interactive Inverter     </t>
  </si>
  <si>
    <t>[12/08/2017]</t>
  </si>
  <si>
    <t>30 kW, 480 Vac Grid Support Utility Interactive Battery Charge controller</t>
  </si>
  <si>
    <t>30 kW, 480 Vac Grid Support Utility Interactive Inverter with PV and Battery Input for floating ground referenced arrays and batteries</t>
  </si>
  <si>
    <t>[6/29/2017];[12/28/2017]</t>
  </si>
  <si>
    <t>[V01.06.03];[V02.12.00]</t>
  </si>
  <si>
    <t xml:space="preserve">[6/29/2017];[12/28/2017]
</t>
  </si>
  <si>
    <t>230W, 240 Vac Grid Support Utility Interactive Microinverter for ACPV Module applications</t>
  </si>
  <si>
    <t>[08/28/2017]</t>
  </si>
  <si>
    <t>100 kW, 480 Vac, 3-phase Grid Support Utility Interactive Inverter. (Made up of three SE33.3KUS installed together rated max output power = 100kW).</t>
  </si>
  <si>
    <t>Yaskawa Solectria Solar</t>
  </si>
  <si>
    <t>Efficiency data is inclusive of three Phase transformer from the CSA C802.2 table with transformer efficiency of 98.8%.</t>
  </si>
  <si>
    <t>[01/09/2018]</t>
  </si>
  <si>
    <t>[D003  Checksum- D9E00BD0]</t>
  </si>
  <si>
    <t>DYNAPOWER COMPANY LLC</t>
  </si>
  <si>
    <t>[12/06/2017]</t>
  </si>
  <si>
    <t>[01/04/2018]</t>
  </si>
  <si>
    <t>[A320UD260C]</t>
  </si>
  <si>
    <t>355 W, 208 Vac Grid Support Utility Interactive, Monocrystalline ACPV module. DC Module: LG355Q1C-A5. Microinverter: LM320UE-A2.</t>
  </si>
  <si>
    <t>[12/15/2017]</t>
  </si>
  <si>
    <t>360 W, 208 Vac Grid Support Utility Interactive, Monocrystalline ACPV module. DC Module: LG360Q1C-A5. Microinverter: LM320UE-A2.</t>
  </si>
  <si>
    <t>365 W, 208 Vac Grid Support Utility Interactive, Monocrystalline ACPV module. DC Module: LG365Q1C-A5. Microinverter: LM320UE-A2.</t>
  </si>
  <si>
    <t>370 W, 208 Vac Grid Support Utility Interactive, Monocrystalline ACPV module. DC Module: LG370Q1C-A5. Microinverter: LM320UE-A2.</t>
  </si>
  <si>
    <t>355 W, 240 Vac Grid Support Utility Interactive, Monocrystalline ACPV module. DC Module: LG355Q1C-A5. Microinverter: LM320UE-A2.</t>
  </si>
  <si>
    <t>360 W, 240 Vac Grid Support Utility Interactive, Monocrystalline ACPV module. DC Module: LG360Q1C-A5. Microinverter: LM320UE-A2.</t>
  </si>
  <si>
    <t>365 W, 240 Vac Grid Support Utility Interactive, Monocrystalline ACPV module. DC Module: LG365Q1C-A5. Microinverter: LM320UE-A2.</t>
  </si>
  <si>
    <t>370 W, 240 Vac Grid Support Utility Interactive, Monocrystalline ACPV module. DC Module: LG370Q1C-A5. Microinverter: LM320UE-A2.</t>
  </si>
  <si>
    <t>[01/29/2018]</t>
  </si>
  <si>
    <t>[1D]</t>
  </si>
  <si>
    <t>25 kW, 480 Vac, Fanless, 3-phase Utility Interactive Inverter</t>
  </si>
  <si>
    <t>[01/31/2018]</t>
  </si>
  <si>
    <t>Multiple Listing of Ningbo Ginlong Technologies Co., Ltd. Solis-25K-US</t>
  </si>
  <si>
    <t>30 kW, 480 Vac, Fanless, 3-phase Utility Interactive Inverter</t>
  </si>
  <si>
    <t>Multiple Listing of Ningbo Ginlong Technologies Co., Ltd. Solis-30K-US</t>
  </si>
  <si>
    <t>36 kW, 480 Vac, Fanless, 3-phase Utility Interactive Inverter</t>
  </si>
  <si>
    <t>Multiple Listing of Ningbo Ginlong Technologies Co., Ltd. Solis-36K-US</t>
  </si>
  <si>
    <t>40 kW, 480 Vac, Fanless, 3-phase Utility Interactive Inverter</t>
  </si>
  <si>
    <t>Multiple Listing of Ningbo Ginlong Technologies Co., Ltd. Solis-40K-US</t>
  </si>
  <si>
    <t>40 kW, 480 Vac, 3-phase Utility Interactive Inverter, with external fan</t>
  </si>
  <si>
    <t>Multiple Listing of Ningbo Ginlong Technologies Co., Ltd. Solis-40K-US-F</t>
  </si>
  <si>
    <r>
      <t xml:space="preserve">SB7.7-1SP-US-40 </t>
    </r>
    <r>
      <rPr>
        <sz val="11"/>
        <color rgb="FF006666"/>
        <rFont val="Calibri"/>
        <family val="2"/>
        <scheme val="minor"/>
      </rPr>
      <t>[208V]</t>
    </r>
  </si>
  <si>
    <t>3648 W, 208 Vac transformerless Grid Support Utility Interactive Inverter</t>
  </si>
  <si>
    <t>[01/18/2018]</t>
  </si>
  <si>
    <t>[1.4.1]</t>
  </si>
  <si>
    <t>4000 W, 240 Vac transformerless Grid Support Utility Interactive Inverter</t>
  </si>
  <si>
    <t>4560 W, 208 Vac transformerless Grid Support Utility Interactive Inverter</t>
  </si>
  <si>
    <t>5000 W, 240 Vac transformerless Grid Support Utility Interactive Inverter</t>
  </si>
  <si>
    <t>5472 W, 208 Vac transformerless Grid Support Utility Interactive Inverter.</t>
  </si>
  <si>
    <t>6000 W, 240 Vac transformerless Grid Support Utility Interactive Inverter</t>
  </si>
  <si>
    <t>7296 W, 208 Vac transformerless Grid Support Utility Interactive Inverter</t>
  </si>
  <si>
    <t>8000 W, 240 Vac transformerless Grid Support Utility Interactive Inverter</t>
  </si>
  <si>
    <t>548 W, 240 Vac Grid Support Utility Interactive Microinverter, Rack mounted</t>
  </si>
  <si>
    <t>[02/10/2018]</t>
  </si>
  <si>
    <t>[V5]</t>
  </si>
  <si>
    <t>Darfon Electronics Corp.</t>
  </si>
  <si>
    <t>40 kW, 480 Vac, transformerless Grid Support Utility Interactive Inverter</t>
  </si>
  <si>
    <t>30 kW, 480 Vac Grid Support Utility Interactive Battery Charge controller with additional Photovoltaic input</t>
  </si>
  <si>
    <t>30 kW, 480 Vac Grid Support Utility Interactive Inverter with PV and Battery Input for ground referenced arrays and batteries</t>
  </si>
  <si>
    <t>[11/30/2017]</t>
  </si>
  <si>
    <t>[INV DSP: INV 1.2, EEROM: EE 1.0]</t>
  </si>
  <si>
    <t>750 kW, 1000 Vdc, 380Vac, 3-Phase Grid Support Utility Interactive Inverter</t>
  </si>
  <si>
    <t>500 kW, 1000 Vdc, 380 Vac, 3-Phase Grid Support Utility Interactive Inverter</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</si>
  <si>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</si>
  <si>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</si>
  <si>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</si>
  <si>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10 kW, 208 Vac, 1-phase, HD-Wave technology Grid Support Utility Interactive Inverter</t>
  </si>
  <si>
    <t>[01/17/2018]</t>
  </si>
  <si>
    <t>[2.0.350]</t>
  </si>
  <si>
    <t>10 kW, 240 Vac, 1-phase, HD-Wave technology Grid Support Utility Interactive Inverter</t>
  </si>
  <si>
    <t>11.4 kW, 240 Vac, HD-Wave technology Grid Support Utility Interactive Inverter</t>
  </si>
  <si>
    <t>Sunny Central 1850 kW, 385 Vac Grid Support Utility Interactive Inverter</t>
  </si>
  <si>
    <t>[04.00.25.R]</t>
  </si>
  <si>
    <t>700 W, 240 Vac Grid Support Utility Interactive Microinverter</t>
  </si>
  <si>
    <t>[03/19/2018]</t>
  </si>
  <si>
    <t>[V105LS700G2HV1.1_789Boot]</t>
  </si>
  <si>
    <t>Efficiency data inclusive of transformer effect based on 500 kVA Low-Voltage Dry-Type Distribution Transformers Table in DOE2016.</t>
  </si>
  <si>
    <t>Weighted efficiency includes transformer efficiency of Eaton 34.5kV.</t>
  </si>
  <si>
    <t>Sunny Central 2200 kW, 385 Vac Grid Support Utility Interactive Inverter</t>
  </si>
  <si>
    <t>Huawei Technologies Co., Ltd.</t>
  </si>
  <si>
    <t>500 kW, 400 Vac Grid Support Utility-Interactive Energy Storage Inverter</t>
  </si>
  <si>
    <t>[02/26/2018]</t>
  </si>
  <si>
    <t>[1400]</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</si>
  <si>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</si>
  <si>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</si>
  <si>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</si>
  <si>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Sunny Central 2500 kW, 550 Vac Grid Support Utility Interactive Inverter</t>
  </si>
  <si>
    <t>1275 kW, 690 Vac Grid Support Utility Interactive Inverter with combiner box</t>
  </si>
  <si>
    <t>[02/15/2018]</t>
  </si>
  <si>
    <t>[HEP2G_2.0.0]</t>
  </si>
  <si>
    <t>Efficiency data inclusive of transformer effect based on 1275 kVA Liquid-Immeresed Distribution Transformers Table in DOE2016.</t>
  </si>
  <si>
    <t>1700 kW, 690 Vac Grid Support Utility Interactive Inverter with combiner box</t>
  </si>
  <si>
    <t>Efficiency data inclusive of transformer effect based on 1700 kVA Liquid-Immeresed Distribution Transformers Table in DOE2016.</t>
  </si>
  <si>
    <t>2125 kW, 690 Vac Grid Support Utility Interactive Inverter with combiner box</t>
  </si>
  <si>
    <t>Efficiency data inclusive of transformer effect based on 2125 kVA Liquid-Immeresed Distribution Transformers Table in DOE2016.</t>
  </si>
  <si>
    <t>2250 kW, 690 Vac Grid Support Utility Interactive Inverter with combiner box</t>
  </si>
  <si>
    <t>Efficiency data inclusive of transformer effect based on 2550 kVA Liquid-Immeresed Distribution Transformers Table in DOE2016.</t>
  </si>
  <si>
    <t>2300 kW, 690 Vac Grid Support Utility Interactive Inverter with combiner box</t>
  </si>
  <si>
    <t>Efficiency data inclusive of transformer effect based on 2300 kVA Liquid-Immeresed Distribution Transformers Table in DOE2016.</t>
  </si>
  <si>
    <t>3000 kW, 690 Vac Grid Support Utility Interactive Inverter with combiner box</t>
  </si>
  <si>
    <t>Efficiency data inclusive of transformer effect based on 3000 kVA Liquid-Immeresed Distribution Transformers Table in DOE2016.</t>
  </si>
  <si>
    <t>1200 kW, 645 Vac Grid Support Utility Interactive Inverter with combiner box</t>
  </si>
  <si>
    <t>Efficiency data inclusive of transformer effect based on 1200 kVA Liquid-Immeresed Distribution Transformers Table in DOE2016.</t>
  </si>
  <si>
    <t>1600 kW, 645 Vac Grid Support Utility Interactive Inverter with combiner box</t>
  </si>
  <si>
    <t>Efficiency data inclusive of transformer effect based on 1600 kVA Liquid-Immeresed Distribution Transformers Table in DOE2016.</t>
  </si>
  <si>
    <t>2000 kW, 645 Vac Grid Support Utility Interactive Inverter with combiner box</t>
  </si>
  <si>
    <t>Efficiency data inclusive of transformer effect based on 2000 kVA Liquid-Immeresed Distribution Transformers Table in DOE2016.</t>
  </si>
  <si>
    <t>2400 kW, 645 Vac Grid Support Utility Interactive Inverter with combiner box</t>
  </si>
  <si>
    <t>Efficiency data inclusive of transformer effect based on 2400 kVA Liquid-Immeresed Distribution Transformers Table in DOE2016.</t>
  </si>
  <si>
    <t>2150 kW, 645 Vac Grid Support Utility Interactive Inverter with combiner box</t>
  </si>
  <si>
    <t>Efficiency data inclusive of transformer effect based on 2150 kVA Liquid-Immeresed Distribution Transformers Table in DOE2016.</t>
  </si>
  <si>
    <t>2800 kW, 645 Vac Grid Support Utility Interactive Inverter with combiner box</t>
  </si>
  <si>
    <t>Efficiency data inclusive of transformer effect based on 2800 kVA Liquid-Immeresed Distribution Transformers Table in DOE2016.</t>
  </si>
  <si>
    <t>1100 kW, 600 Vac Grid Support Utility Interactive Inverter with combiner box</t>
  </si>
  <si>
    <t>Efficiency data inclusive of transformer effect based on 1100 kVA Liquid-Immeresed Distribution Transformers Table in DOE2016.</t>
  </si>
  <si>
    <t>1475 kW, 600 Vac Grid Support Utility Interactive Inverter with combiner box</t>
  </si>
  <si>
    <t>Efficiency data inclusive of transformer effect based on 1475 kVA Liquid-Immeresed Distribution Transformers Table in DOE2016.</t>
  </si>
  <si>
    <t>1850 kW, 600 Vac Grid Support Utility Interactive Inverter with combiner box</t>
  </si>
  <si>
    <t>Efficiency data inclusive of transformer effect based on 1850 kVA Liquid-Immeresed Distribution Transformers Table in DOE2016.</t>
  </si>
  <si>
    <t>2225 kW, 600 Vac Grid Support Utility Interactive Inverter with combiner box</t>
  </si>
  <si>
    <t>Efficiency data inclusive of transformer effect based on 2225 kVA Liquid-Immeresed Distribution Transformers Table in DOE2016.</t>
  </si>
  <si>
    <t>2600 kW, 600 Vac  Grid SupportUtility Interactive Inverter with combiner box</t>
  </si>
  <si>
    <t>Efficiency data inclusive of transformer effect based on 2600 kVA Liquid-Immeresed Distribution Transformers Table in DOE2016.</t>
  </si>
  <si>
    <t>1050 kW, 565 Vac Grid Support Utility Interactive Inverter with combiner box</t>
  </si>
  <si>
    <t>Efficiency data inclusive of transformer effect based on 1050 kVA Liquid-Immeresed Distribution Transformers Table in DOE2016.</t>
  </si>
  <si>
    <t>1400 kW, 565 Vac Grid Support Utility Interactive Inverter with combiner box</t>
  </si>
  <si>
    <t>Efficiency data inclusive of transformer effect based on 1400 kVA Liquid-Immeresed Distribution Transformers Table in DOE2016.</t>
  </si>
  <si>
    <t>1750 kW, 565 Vac Grid Support Utility Interactive Inverter with combiner box</t>
  </si>
  <si>
    <t>Efficiency data inclusive of transformer effect based on 1750 kVA Liquid-Immeresed Distribution Transformers Table in DOE2016.</t>
  </si>
  <si>
    <t>2100 kW, 565 Vac Grid Support Utility Interactive Inverter with combiner box</t>
  </si>
  <si>
    <t>Efficiency data inclusive of transformer effect based on 2100 kVA Liquid-Immeresed Distribution Transformers Table in DOE2016.</t>
  </si>
  <si>
    <t>2450 kW, 565 Vac Grid Support Utility Interactive Inverter with combiner box</t>
  </si>
  <si>
    <t>Efficiency data inclusive of transformer effect based on 2450 kVA Liquid-Immeresed Distribution Transformers Table in DOE2016.</t>
  </si>
  <si>
    <t>1100 kW, 600 Vac Grid Support Utility Interactive Inverter with combiner box and a back feed power supply of 10kW to feed solar trackers on the PV power plant</t>
  </si>
  <si>
    <t>1500 kW, 600 Vac Grid Support Utility Interactive Inverter with combiner box and a back feed power supply of 10kW to feed solar trackers on the PV power plant</t>
  </si>
  <si>
    <t>Efficiency data inclusive of transformer effect based on 1500 kVA Liquid-Immeresed Distribution Transformers Table in DOE2016.</t>
  </si>
  <si>
    <t>1850 kW, 600 Vac Grid Support Utility Interactive Inverter with combiner box and a back feed power supply of 10kW to feed solar trackers on the PV power plant</t>
  </si>
  <si>
    <t>2250 kW, 600 Vac Grid Support Utility Interactive Inverter with combiner box and a back feed power supply of 10kW to feed solar trackers on the PV power plant</t>
  </si>
  <si>
    <t>Efficiency data inclusive of transformer effect based on 2250 kVA Liquid-Immeresed Distribution Transformers Table in DOE2016.</t>
  </si>
  <si>
    <t>2600 kW, 600 Vac Grid Support Utility Interactive Inverter with combiner box and a back feed power supply of 10kW to feed solar trackers on the PV power plant</t>
  </si>
  <si>
    <t>270 VA, 240 Vac Grid Support Utility Interactive Microinverter</t>
  </si>
  <si>
    <t>[12/28/2017]</t>
  </si>
  <si>
    <t>[v02.12.00]</t>
  </si>
  <si>
    <t>3.3 kW, 208 Vac HD-Wave technology Grid Support Utility Interactive Inverter</t>
  </si>
  <si>
    <t>[2.0.140]</t>
  </si>
  <si>
    <t>5 kW, 208 Vac HD-Wave technology Grid Support Utility Interactive Inverter</t>
  </si>
  <si>
    <t>3.0 kW, 240 Vac HD-Wave technology Grid Support Utility Interactive Inverter</t>
  </si>
  <si>
    <t>3.8 kW, 240 Vac, 1-phase, HD-Wave technology Grid Support Utility Interactive Inverter</t>
  </si>
  <si>
    <t>5 kW, 208 Vac, 1-phase, HD-Wave technology Grid Support Utility Interactive Inverter</t>
  </si>
  <si>
    <t>5 kW, 240 Vac, 1-phase, HD-Wave technology Grid Support Utility Interactive Inverter</t>
  </si>
  <si>
    <t>6 kW, 240 Vac, 1-phase, HD-Wave technology Grid Support Utility Interactive Inverter</t>
  </si>
  <si>
    <t xml:space="preserve">5.5 kW, 240 Vac Grid Support Utility Interactive Hybrid Inverter with 4.0 kW Discharge Rate/20 kWh Storage Capacity
</t>
  </si>
  <si>
    <t>[04/26/2018]</t>
  </si>
  <si>
    <t>[4.11]</t>
  </si>
  <si>
    <t>60 kVA, 480 Vac Grid Support Utility Interactive Inverter with arc detector</t>
  </si>
  <si>
    <t>[04/12/2018]</t>
  </si>
  <si>
    <t>[A.0.2.7, B.0.2.9, C.0.5.1]</t>
  </si>
  <si>
    <t>Solaria Corporation</t>
  </si>
  <si>
    <t>Weighted efficiency includes transformer efficiency of Eaton 34.5 kV.</t>
  </si>
  <si>
    <t>250 kVA, 3-phase, 4-quadrant, bidirectional, 580-835VDC, 422-528VAC Grid Support Utility Interactive Inverter with optional standalone mode. Inclusive of internal isolation transformer.</t>
  </si>
  <si>
    <t>[252.01]</t>
  </si>
  <si>
    <t>250 kVA, 3-phase, 4-quadrant, bidirectional, 350-600 VDC, 422-528 VAC Grid Support Utility Interactive Inverter with optional standalone mode. Inclusive of internal isolation transformer.</t>
  </si>
  <si>
    <t>[12/06/2017];[12/06/2017]</t>
  </si>
  <si>
    <t>[V251.125];[251.25]</t>
  </si>
  <si>
    <t>100 kVA, 3-phase, 4-quadrant, bidirectional, 350-600VDC, 422-528VAC Grid Support Utility Interactive Inverter with optional standalone mode. Inclusive of internal isolation transformer.</t>
  </si>
  <si>
    <t>[251.25]</t>
  </si>
  <si>
    <t>3.8 kW, 240 Vac, 1-phase, Sunny Boy Storage- Permanently-connected, Transformerless Multimode - Grid Support Utility Interactive and Standalone functionality - Inverter</t>
  </si>
  <si>
    <t>[12/14/2017]</t>
  </si>
  <si>
    <t>[1.00.04.R]</t>
  </si>
  <si>
    <t>5.0 kW, 240 Vac, 1-phase, Sunny Boy Storage- Permanently-connected, Transformerless Multimode - Grid Support Utility Interactive and Standalone functionality - Inverter</t>
  </si>
  <si>
    <t>6.0 kW, 240 Vac, 1-phase, Sunny Boy Storage- Permanently-connected, Transformerless Multimode - Grid Support Utility Interactive and Standalone functionality - Inverter</t>
  </si>
  <si>
    <t>3.8 kW, 240 Vac 1-phase transformerless Grid Support Utility Interactive Inverter</t>
  </si>
  <si>
    <t>[06/14/2018]</t>
  </si>
  <si>
    <t>[V100R001D00]</t>
  </si>
  <si>
    <t>5 kW, 240 Vac 1-phase transformerless Grid Support Utility Interactive Inverter</t>
  </si>
  <si>
    <t>7.6 kW, 240 Vac 1-phase transformerless Grid Support Utility Interactive Inverter</t>
  </si>
  <si>
    <t>9 kW, 240 Vac 1-phase transformerless Grid Support Utility Interactive Inverter</t>
  </si>
  <si>
    <t>10 kW, 240 Vac 1-phase transformerless Grid Support Utility Interactive Inverter</t>
  </si>
  <si>
    <t>11.4 kW, 240 Vac 1-phase transformerless Grid Support Utility Interactive Inverter</t>
  </si>
  <si>
    <t>1200 W, 240 Vac, 60Hz Grid Support Utility Interactive Inverter</t>
  </si>
  <si>
    <t>[06/29/2018]</t>
  </si>
  <si>
    <t>[1.20.62]</t>
  </si>
  <si>
    <t>4992 W, 208 Vac, transformerless, Bi-dierctional, Muti-mode Grid Support Utility Interactive Solar and Energy Storage Inverter</t>
  </si>
  <si>
    <t>[06/01/2018]</t>
  </si>
  <si>
    <t>5760 W, 240 Vac, transformerless, Bi-dierctional, Muti-mode Grid Support Utility Interactive Solar and Energy Storage Inverter</t>
  </si>
  <si>
    <t xml:space="preserve">6656W, 208 Vac, transformerless, Bi-dierctional, Muti-mode Grid Support Utility Interactive Solar and Energy Storage Inverter
</t>
  </si>
  <si>
    <t>7680 W, 240 Vac, transformerless, Bi-dierctional, Muti-mode Grid Support Utility Interactive Solar and Energy Storage Inverter</t>
  </si>
  <si>
    <t>5000 W, 208 Vac, transformerless, Bi-dierctional, Muti-mode Grid Support Utility Interactive Energy Storage Inverter</t>
  </si>
  <si>
    <t>5000 W, 240 Vac, transformerless, Bi-dierctional, Muti-mode Grid Support Utility Interactive Energy Storage Inverter</t>
  </si>
  <si>
    <t>6500 W, 208 Vac, transformerless, Bi-dierctional, Muti-mode Grid Support Utility Interactive Energy Storage Inverter</t>
  </si>
  <si>
    <t>6500 W, 240 Vac, transformerless, Bi-dierctional, Muti-mode Grid Support Utility Interactive Energy Storage Inverter</t>
  </si>
  <si>
    <t>240 VA, 208 Vac Grid Support Utility Interactive Microinverter where x = DC Connector type = 2, 5, or B</t>
  </si>
  <si>
    <t>240 VA, 240 Vac Grid Support Utility Interactive Microinverter where x = DC Connector type = 2, 5, or B</t>
  </si>
  <si>
    <t>290 VA, 208 Vac Grid Support Utility Interactive Microinverter where x = DC Connector type = 2, 5, or B</t>
  </si>
  <si>
    <t>290 VA, 240 Vac Grid Support Utility Interactive Microinverter where x = DC Connector type = 2, 5, or B</t>
  </si>
  <si>
    <t>315 VA, 208 Vac Grid Support Utility Interactive Microinverter where x = DC Connector type = 2, 5, or B</t>
  </si>
  <si>
    <t>315 VA, 240 Vac Grid Support Utility Interactive Microinverter where x = DC Connector type = 2, 5, or B</t>
  </si>
  <si>
    <t>3.0 kW, 208 Vac transformerless Grid Support Utility Interactive Inverter with revenue grade energy meter</t>
  </si>
  <si>
    <t>[06/28/2018]</t>
  </si>
  <si>
    <t>3.0 kW, 240 Vac transformerless Grid Support Utility Interactive Inverter with revenue grade energy meter</t>
  </si>
  <si>
    <t>3.8 kW, 208 Vac transformerless Grid Support Utility Interactive Inverter with revenue grade energy meter</t>
  </si>
  <si>
    <t>3.8 kW, 240 Vac transformerless Grid Support Utility Interactive Inverter with revenue grade energy meter</t>
  </si>
  <si>
    <t>[V02.03.00.R]</t>
  </si>
  <si>
    <t>5.0 kW, 240 Vac transformerless Grid Support Utility Interactive Inverter with revenue grade energy meter</t>
  </si>
  <si>
    <t>5.0 kW, 208 Vac transformerless Grid Support Utility Interactive Inverter with revenue grade energy meter</t>
  </si>
  <si>
    <t>6.0 kW, 208 Vac transformerless Grid Support Utility Interactive Inverter with revenue grade energy meter</t>
  </si>
  <si>
    <t>6.0 kW, 240 Vac transformerless Grid Support Utility Interactive Inverter with revenue grade energy meter</t>
  </si>
  <si>
    <t>7.0 kW, 208 Vac transformerless Grid Support Utility Interactive Inverter with revenue grade energy meter</t>
  </si>
  <si>
    <t>7.0 kW, 240 Vac transformerless Grid Support Utility Interactive Inverter with revenue grade energy meter</t>
  </si>
  <si>
    <t>7.7 kW, 208 Vac transformerless Grid Support Utility Interactive Inverter with revenue grade energy meter</t>
  </si>
  <si>
    <t>7.7 kW, 240 Vac transformerless Grid Support Utility Interactive Inverter with revenue grade energy meter</t>
  </si>
  <si>
    <t>Trina Energy Storage Solutions (Jiangsu) Co., Ltd</t>
  </si>
  <si>
    <t>125 kW, 600Vac, 3-phase Gird Support Utility Interactive Inverter with the advanced power conversion technology IGBT to convert the DC power normally from the photovoltaic array to stable three-phase AC power and then feed the power to the utility grid.</t>
  </si>
  <si>
    <t>[05/31/2018]</t>
  </si>
  <si>
    <t>[MDSP_CL125_V11_V01_A_05]</t>
  </si>
  <si>
    <t>100 kVA , 1500Vdc, 600Vac, 3 Phase, Non-isolated Grid Support Utility Interactive Inverter</t>
  </si>
  <si>
    <t>[06/08/2018]</t>
  </si>
  <si>
    <t>[V2.00]</t>
  </si>
  <si>
    <t>125 kVA , 1500Vdc, 600Vac, 3 Phase, Non-isolated Grid Support Utility Interactive Inverter</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</si>
  <si>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</si>
  <si>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</si>
  <si>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</si>
  <si>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</si>
  <si>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</si>
  <si>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</si>
  <si>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</si>
  <si>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</si>
  <si>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[3.2.42]</t>
  </si>
  <si>
    <t>Sunny Central 2750 kW, 600Vac, multi-mode, 3-phase Grid Support Utility Interactive Inverter</t>
  </si>
  <si>
    <t>[08/30/2017]</t>
  </si>
  <si>
    <t>Rhombus Energy Solutions</t>
  </si>
  <si>
    <t>50kW, 480 Vac, transformer-less, 3-phase, Grid Support Utility Interactive Energy Storage Inverter</t>
  </si>
  <si>
    <t>[00021618]</t>
  </si>
  <si>
    <t>50kW, 480 Vac, transformer-less, 3-phase, Multi-Mode Grid Support Utility Interactive Energy Storage Inverter</t>
  </si>
  <si>
    <t>2.2 MW, 1500 Vdc, 600 Vac, 3-phase, Special Purpose Grid Support Utility Interactive PV Inverter</t>
  </si>
  <si>
    <t>[07/01/2018]</t>
  </si>
  <si>
    <t>[SG_ICB_MCU_R10.6-7]</t>
  </si>
  <si>
    <t>2 MW, 1500 Vdc, 575 Vac, 3-phase, Special Purpose Grid Support Utility Interactive PV Inverter</t>
  </si>
  <si>
    <t>1.8 MW, 1500 Vdc, 575 Vac, 3-phase, Special Purpose Grid Support Utility Interactive PV Inverter</t>
  </si>
  <si>
    <t>1.66 MW, 1500 Vdc, 575 Vac, 3-phase, Special Purpose Grid Support Utility Interactive PV Inverter with 1666 kVA Maximum Output Continuous Apparent Power</t>
  </si>
  <si>
    <t>1.66 MW, 1500 Vdc, 575 Vac, 3-phase, Special Purpose Grid Support Utility Interactive PV Inverter with 1831 kVA Maximum Output Continuous Apparent Power</t>
  </si>
  <si>
    <t>1.66 MW, 1500 Vdc, 575 Vac, 3-phase, Special Purpose Grid Support Utility Interactive PV Inverter with 1851 kVA Maximum Output Continuous Apparent Power</t>
  </si>
  <si>
    <t>LeadSolar Energy Co., Ltd</t>
  </si>
  <si>
    <t>[10/30/2017];[05/25/2018];[06/26/2018]</t>
  </si>
  <si>
    <t>240 VA, 208 Vac Grid Support Utility Interactive Microinverter for use in ACPV Module applications where x = DC Connector type = B or blank</t>
  </si>
  <si>
    <t>240 VA, 240 Vac Grid Support Utility Interactive Microinverter for use in ACPV Module applications where x = DC Connector type = B or blank</t>
  </si>
  <si>
    <t>290 VA, 208 Vac Grid Support Utility Interactive Microinverter for use in ACPV Module applications where x = DC Connector type = B or blank</t>
  </si>
  <si>
    <t>290 VA, 240 Vac Grid Support Utility Interactive Microinverter for use in ACPV Module applications where x = DC Connector type = B or blank</t>
  </si>
  <si>
    <t>315 VA, 208 Vac Grid Support Utility Interactive microinverter for ACPV Module applications where x = DC Connector type = B or blank</t>
  </si>
  <si>
    <t>315 VA, 240 Vac Grid Support Utility Interactive microinverter for ACPV Module applications where x = DC Connector type = B or blank</t>
  </si>
  <si>
    <t>[08/08/2018]</t>
  </si>
  <si>
    <t>[NPC:0.0.0.2.2.0.9352,PBM:0.3.1.0.0.0.9359]</t>
  </si>
  <si>
    <t>[03/03/2018]</t>
  </si>
  <si>
    <t>[05/03/2018]</t>
  </si>
  <si>
    <t>[V02.10.00];[V02.12.00];[V02.14.02]</t>
  </si>
  <si>
    <t>[V01.0X, V01.1X, V01.2X, V01.3X, V01.4X, V01.5X 
]</t>
  </si>
  <si>
    <t>[1.1.2.4,
1.1.2.4,
0.1.2.2]</t>
  </si>
  <si>
    <t>[03/09/2017]</t>
  </si>
  <si>
    <t>[05/02/2017]</t>
  </si>
  <si>
    <t>[08/30/2018]</t>
  </si>
  <si>
    <t>5000 W, 240 Vac, transformerless, Bi-dierctional, Muti-mode, Grid Support Utility Interactive Energy Storage Inverter</t>
  </si>
  <si>
    <t>315 VA, 208 Vac Grid Support Utility Interactive microinverter for ACPV Module applications, where y = DC Connector type = B or blank, and z = US or blank</t>
  </si>
  <si>
    <t>[08/29/2018]</t>
  </si>
  <si>
    <t>[V04.14.05]</t>
  </si>
  <si>
    <t>This component is specific to SunPower ACPV modules and is not available as an individual unit.</t>
  </si>
  <si>
    <t>315 VA, 240 Vac Grid Support Utility Interactive microinverter for ACPV Module applications, where y = DC Connector type = B or blank, and z = US or blank</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</si>
  <si>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</si>
  <si>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r>
      <t>Model Number</t>
    </r>
    <r>
      <rPr>
        <b/>
        <vertAlign val="superscript"/>
        <sz val="12"/>
        <color theme="1"/>
        <rFont val="Calibri"/>
        <family val="2"/>
        <scheme val="minor"/>
      </rPr>
      <t>1</t>
    </r>
  </si>
  <si>
    <t>UL 1741 SA13  Volt-Var</t>
  </si>
  <si>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</si>
  <si>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</si>
  <si>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</si>
  <si>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UNO-DM-3.3-TL-PLUS-US-SB-RA </t>
    </r>
    <r>
      <rPr>
        <sz val="11"/>
        <color rgb="FF006666"/>
        <rFont val="Calibri"/>
        <family val="2"/>
        <scheme val="minor"/>
      </rPr>
      <t>[208V]</t>
    </r>
  </si>
  <si>
    <r>
      <t xml:space="preserve">UNO-DM-3.3-TL-PLUS-US-SE-RA </t>
    </r>
    <r>
      <rPr>
        <sz val="11"/>
        <color rgb="FF006666"/>
        <rFont val="Calibri"/>
        <family val="2"/>
        <scheme val="minor"/>
      </rPr>
      <t>[208V]</t>
    </r>
  </si>
  <si>
    <r>
      <t xml:space="preserve">UNO-DM-3.3-TL-PLUS-US-SZM-RA </t>
    </r>
    <r>
      <rPr>
        <sz val="11"/>
        <color rgb="FF006666"/>
        <rFont val="Calibri"/>
        <family val="2"/>
        <scheme val="minor"/>
      </rPr>
      <t>[208V]</t>
    </r>
  </si>
  <si>
    <r>
      <t xml:space="preserve">UNO-DM-3.3-TL-PLUS-US-SZ-RA </t>
    </r>
    <r>
      <rPr>
        <sz val="11"/>
        <color rgb="FF006666"/>
        <rFont val="Calibri"/>
        <family val="2"/>
        <scheme val="minor"/>
      </rPr>
      <t>[208V]</t>
    </r>
  </si>
  <si>
    <r>
      <t xml:space="preserve">UNO-DM-3.3-TL-PLUS-US-SB-RA </t>
    </r>
    <r>
      <rPr>
        <sz val="11"/>
        <color rgb="FF006666"/>
        <rFont val="Calibri"/>
        <family val="2"/>
        <scheme val="minor"/>
      </rPr>
      <t>[240V]</t>
    </r>
  </si>
  <si>
    <r>
      <t xml:space="preserve">UNO-DM-3.3-TL-PLUS-US-SE-RA </t>
    </r>
    <r>
      <rPr>
        <sz val="11"/>
        <color rgb="FF006666"/>
        <rFont val="Calibri"/>
        <family val="2"/>
        <scheme val="minor"/>
      </rPr>
      <t>[240V]</t>
    </r>
  </si>
  <si>
    <r>
      <t xml:space="preserve">UNO-DM-3.3-TL-PLUS-US-SZM-RA </t>
    </r>
    <r>
      <rPr>
        <sz val="11"/>
        <color rgb="FF006666"/>
        <rFont val="Calibri"/>
        <family val="2"/>
        <scheme val="minor"/>
      </rPr>
      <t>[240V]</t>
    </r>
  </si>
  <si>
    <r>
      <t xml:space="preserve">UNO-DM-3.3-TL-PLUS-US-SZ-RA </t>
    </r>
    <r>
      <rPr>
        <sz val="11"/>
        <color rgb="FF006666"/>
        <rFont val="Calibri"/>
        <family val="2"/>
        <scheme val="minor"/>
      </rPr>
      <t>[240V]</t>
    </r>
  </si>
  <si>
    <r>
      <t xml:space="preserve">UNO-DM-3.8-TL-PLUS-US-SB-RA </t>
    </r>
    <r>
      <rPr>
        <sz val="11"/>
        <color rgb="FF006666"/>
        <rFont val="Calibri"/>
        <family val="2"/>
        <scheme val="minor"/>
      </rPr>
      <t>[208V]</t>
    </r>
  </si>
  <si>
    <r>
      <t xml:space="preserve">UNO-DM-3.8-TL-PLUS-US-SE-RA </t>
    </r>
    <r>
      <rPr>
        <sz val="11"/>
        <color rgb="FF006666"/>
        <rFont val="Calibri"/>
        <family val="2"/>
        <scheme val="minor"/>
      </rPr>
      <t>[208V]</t>
    </r>
  </si>
  <si>
    <r>
      <t xml:space="preserve">UNO-DM-3.8-TL-PLUS-US-SZM-RA </t>
    </r>
    <r>
      <rPr>
        <sz val="11"/>
        <color rgb="FF006666"/>
        <rFont val="Calibri"/>
        <family val="2"/>
        <scheme val="minor"/>
      </rPr>
      <t>[208V]</t>
    </r>
  </si>
  <si>
    <r>
      <t xml:space="preserve">UNO-DM-3.8-TL-PLUS-US-SZ-RA </t>
    </r>
    <r>
      <rPr>
        <sz val="11"/>
        <color rgb="FF006666"/>
        <rFont val="Calibri"/>
        <family val="2"/>
        <scheme val="minor"/>
      </rPr>
      <t>[208V]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</si>
  <si>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</si>
  <si>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</si>
  <si>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</si>
  <si>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</si>
  <si>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</si>
  <si>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</si>
  <si>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</si>
  <si>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</si>
  <si>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</si>
  <si>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</si>
  <si>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</si>
  <si>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</si>
  <si>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[208V]</t>
    </r>
  </si>
  <si>
    <r>
      <t xml:space="preserve">UNO-DM-4.6-TL-PLUS-US-SE-RA </t>
    </r>
    <r>
      <rPr>
        <sz val="11"/>
        <color rgb="FF006666"/>
        <rFont val="Calibri"/>
        <family val="2"/>
        <scheme val="minor"/>
      </rPr>
      <t>[208V]</t>
    </r>
  </si>
  <si>
    <r>
      <t xml:space="preserve">UNO-DM-4.6-TL-PLUS-US-SZM-RA </t>
    </r>
    <r>
      <rPr>
        <sz val="11"/>
        <color rgb="FF006666"/>
        <rFont val="Calibri"/>
        <family val="2"/>
        <scheme val="minor"/>
      </rPr>
      <t>[208V]</t>
    </r>
  </si>
  <si>
    <r>
      <t xml:space="preserve">UNO-DM-4.6-TL-PLUS-US-SZ-RA </t>
    </r>
    <r>
      <rPr>
        <sz val="11"/>
        <color rgb="FF006666"/>
        <rFont val="Calibri"/>
        <family val="2"/>
        <scheme val="minor"/>
      </rPr>
      <t>[208V]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</si>
  <si>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</si>
  <si>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</si>
  <si>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</si>
  <si>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</si>
  <si>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UNO-DM-5.0-TL-PLUS-US-SB-RA </t>
    </r>
    <r>
      <rPr>
        <sz val="11"/>
        <color rgb="FF006666"/>
        <rFont val="Calibri"/>
        <family val="2"/>
        <scheme val="minor"/>
      </rPr>
      <t>[208V]</t>
    </r>
  </si>
  <si>
    <r>
      <t xml:space="preserve">UNO-DM-5.0-TL-PLUS-US-SE-RA </t>
    </r>
    <r>
      <rPr>
        <sz val="11"/>
        <color rgb="FF006666"/>
        <rFont val="Calibri"/>
        <family val="2"/>
        <scheme val="minor"/>
      </rPr>
      <t>[208V]</t>
    </r>
  </si>
  <si>
    <r>
      <t xml:space="preserve">UNO-DM-5.0-TL-PLUS-US-SZM-RA </t>
    </r>
    <r>
      <rPr>
        <sz val="11"/>
        <color rgb="FF006666"/>
        <rFont val="Calibri"/>
        <family val="2"/>
        <scheme val="minor"/>
      </rPr>
      <t>[208V]</t>
    </r>
  </si>
  <si>
    <r>
      <t xml:space="preserve">UNO-DM-5.0-TL-PLUS-US-SZ-RA </t>
    </r>
    <r>
      <rPr>
        <sz val="11"/>
        <color rgb="FF006666"/>
        <rFont val="Calibri"/>
        <family val="2"/>
        <scheme val="minor"/>
      </rPr>
      <t>[208V]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</si>
  <si>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</si>
  <si>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</si>
  <si>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</si>
  <si>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UNO-DM-5.0-TL-PLUS-US-SB-RA </t>
    </r>
    <r>
      <rPr>
        <sz val="11"/>
        <color rgb="FF006666"/>
        <rFont val="Calibri"/>
        <family val="2"/>
        <scheme val="minor"/>
      </rPr>
      <t>[240V]</t>
    </r>
  </si>
  <si>
    <r>
      <t xml:space="preserve">UNO-DM-5.0-TL-PLUS-US-SE-RA </t>
    </r>
    <r>
      <rPr>
        <sz val="11"/>
        <color rgb="FF006666"/>
        <rFont val="Calibri"/>
        <family val="2"/>
        <scheme val="minor"/>
      </rPr>
      <t>[240V]</t>
    </r>
  </si>
  <si>
    <r>
      <t xml:space="preserve">UNO-DM-5.0-TL-PLUS-US-SZM-RA </t>
    </r>
    <r>
      <rPr>
        <sz val="11"/>
        <color rgb="FF006666"/>
        <rFont val="Calibri"/>
        <family val="2"/>
        <scheme val="minor"/>
      </rPr>
      <t>[240V]</t>
    </r>
  </si>
  <si>
    <r>
      <t xml:space="preserve">UNO-DM-5.0-TL-PLUS-US-SZ-RA </t>
    </r>
    <r>
      <rPr>
        <sz val="11"/>
        <color rgb="FF006666"/>
        <rFont val="Calibri"/>
        <family val="2"/>
        <scheme val="minor"/>
      </rPr>
      <t>[240V]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</si>
  <si>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</si>
  <si>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</si>
  <si>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</si>
  <si>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UNO-DM-6.0-TL-PLUS-US-SB-RA </t>
    </r>
    <r>
      <rPr>
        <sz val="11"/>
        <color rgb="FF006666"/>
        <rFont val="Calibri"/>
        <family val="2"/>
        <scheme val="minor"/>
      </rPr>
      <t>[208V]</t>
    </r>
  </si>
  <si>
    <r>
      <t xml:space="preserve">UNO-DM-6.0-TL-PLUS-US-SB-RA </t>
    </r>
    <r>
      <rPr>
        <sz val="11"/>
        <color rgb="FF006666"/>
        <rFont val="Calibri"/>
        <family val="2"/>
        <scheme val="minor"/>
      </rPr>
      <t>[240V]</t>
    </r>
  </si>
  <si>
    <r>
      <t xml:space="preserve">UNO-DM-6.0-TL-PLUS-US-SC-RA </t>
    </r>
    <r>
      <rPr>
        <sz val="11"/>
        <color rgb="FF006666"/>
        <rFont val="Calibri"/>
        <family val="2"/>
        <scheme val="minor"/>
      </rPr>
      <t>[208V]</t>
    </r>
  </si>
  <si>
    <r>
      <t xml:space="preserve">UNO-DM-6.0-TL-PLUS-US-SC-RA </t>
    </r>
    <r>
      <rPr>
        <sz val="11"/>
        <color rgb="FF006666"/>
        <rFont val="Calibri"/>
        <family val="2"/>
        <scheme val="minor"/>
      </rPr>
      <t>[240V]</t>
    </r>
  </si>
  <si>
    <r>
      <t xml:space="preserve">UNO-DM-6.0-TL-PLUS-US-SE-RA </t>
    </r>
    <r>
      <rPr>
        <sz val="11"/>
        <color rgb="FF006666"/>
        <rFont val="Calibri"/>
        <family val="2"/>
        <scheme val="minor"/>
      </rPr>
      <t>[208V]</t>
    </r>
  </si>
  <si>
    <r>
      <t xml:space="preserve">UNO-DM-6.0-TL-PLUS-US-SE-RA </t>
    </r>
    <r>
      <rPr>
        <sz val="11"/>
        <color rgb="FF006666"/>
        <rFont val="Calibri"/>
        <family val="2"/>
        <scheme val="minor"/>
      </rPr>
      <t>[240V]</t>
    </r>
  </si>
  <si>
    <r>
      <t xml:space="preserve">UNO-DM-6.0-TL-PLUS-US-S-XRA </t>
    </r>
    <r>
      <rPr>
        <sz val="11"/>
        <color rgb="FF006666"/>
        <rFont val="Calibri"/>
        <family val="2"/>
        <scheme val="minor"/>
      </rPr>
      <t>[208V]</t>
    </r>
  </si>
  <si>
    <r>
      <t xml:space="preserve">UNO-DM-6.0-TL-PLUS-US-S-XRA </t>
    </r>
    <r>
      <rPr>
        <sz val="11"/>
        <color rgb="FF006666"/>
        <rFont val="Calibri"/>
        <family val="2"/>
        <scheme val="minor"/>
      </rPr>
      <t>[240V]</t>
    </r>
  </si>
  <si>
    <r>
      <t xml:space="preserve">UNO-DM-6.0-TL-PLUS-US-SZM-RA </t>
    </r>
    <r>
      <rPr>
        <sz val="11"/>
        <color rgb="FF006666"/>
        <rFont val="Calibri"/>
        <family val="2"/>
        <scheme val="minor"/>
      </rPr>
      <t>[208V]</t>
    </r>
  </si>
  <si>
    <r>
      <t xml:space="preserve">UNO-DM-6.0-TL-PLUS-US-SZM-RA </t>
    </r>
    <r>
      <rPr>
        <sz val="11"/>
        <color rgb="FF006666"/>
        <rFont val="Calibri"/>
        <family val="2"/>
        <scheme val="minor"/>
      </rPr>
      <t>[240V]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</si>
  <si>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</si>
  <si>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</si>
  <si>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</si>
  <si>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</si>
  <si>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</si>
  <si>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</si>
  <si>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</si>
  <si>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TRIO-TM-60.0-US-480 </t>
    </r>
    <r>
      <rPr>
        <sz val="11"/>
        <color rgb="FF006666"/>
        <rFont val="Calibri"/>
        <family val="2"/>
        <scheme val="minor"/>
      </rPr>
      <t>[480V]</t>
    </r>
  </si>
  <si>
    <r>
      <t xml:space="preserve">CSI-25KTL-GS-FL </t>
    </r>
    <r>
      <rPr>
        <sz val="11"/>
        <color rgb="FF006666"/>
        <rFont val="Calibri"/>
        <family val="2"/>
        <scheme val="minor"/>
      </rPr>
      <t>[480V]</t>
    </r>
  </si>
  <si>
    <r>
      <t xml:space="preserve">CSI-30KTL-GS-FL </t>
    </r>
    <r>
      <rPr>
        <sz val="11"/>
        <color rgb="FF006666"/>
        <rFont val="Calibri"/>
        <family val="2"/>
        <scheme val="minor"/>
      </rPr>
      <t>[480V]</t>
    </r>
  </si>
  <si>
    <r>
      <t xml:space="preserve">CSI-36KTL-CT </t>
    </r>
    <r>
      <rPr>
        <sz val="11"/>
        <color rgb="FF006666"/>
        <rFont val="Calibri"/>
        <family val="2"/>
        <scheme val="minor"/>
      </rPr>
      <t>[480V]</t>
    </r>
  </si>
  <si>
    <r>
      <t xml:space="preserve">CSI-36KTL-GS-FL </t>
    </r>
    <r>
      <rPr>
        <sz val="11"/>
        <color rgb="FF006666"/>
        <rFont val="Calibri"/>
        <family val="2"/>
        <scheme val="minor"/>
      </rPr>
      <t>[480V]</t>
    </r>
  </si>
  <si>
    <r>
      <t xml:space="preserve">CSI-40KTL-GS </t>
    </r>
    <r>
      <rPr>
        <sz val="11"/>
        <color rgb="FF006666"/>
        <rFont val="Calibri"/>
        <family val="2"/>
        <scheme val="minor"/>
      </rPr>
      <t>[480V]</t>
    </r>
  </si>
  <si>
    <r>
      <t xml:space="preserve">CSI-40KTL-GS-FL </t>
    </r>
    <r>
      <rPr>
        <sz val="11"/>
        <color rgb="FF006666"/>
        <rFont val="Calibri"/>
        <family val="2"/>
        <scheme val="minor"/>
      </rPr>
      <t>[480V]</t>
    </r>
  </si>
  <si>
    <r>
      <t xml:space="preserve">CSI-50KTL-GS </t>
    </r>
    <r>
      <rPr>
        <sz val="11"/>
        <color rgb="FF006666"/>
        <rFont val="Calibri"/>
        <family val="2"/>
        <scheme val="minor"/>
      </rPr>
      <t>[480V]  </t>
    </r>
  </si>
  <si>
    <r>
      <t xml:space="preserve">CSI-50KTL-GS-FL </t>
    </r>
    <r>
      <rPr>
        <sz val="11"/>
        <color rgb="FF006666"/>
        <rFont val="Calibri"/>
        <family val="2"/>
        <scheme val="minor"/>
      </rPr>
      <t>[480V] </t>
    </r>
  </si>
  <si>
    <r>
      <t xml:space="preserve">CSI-60KTL-GS </t>
    </r>
    <r>
      <rPr>
        <sz val="11"/>
        <color rgb="FF006666"/>
        <rFont val="Calibri"/>
        <family val="2"/>
        <scheme val="minor"/>
      </rPr>
      <t>[480V]</t>
    </r>
  </si>
  <si>
    <r>
      <t xml:space="preserve">CSI-66KTL-GS </t>
    </r>
    <r>
      <rPr>
        <sz val="11"/>
        <color rgb="FF006666"/>
        <rFont val="Calibri"/>
        <family val="2"/>
        <scheme val="minor"/>
      </rPr>
      <t>[480V]</t>
    </r>
  </si>
  <si>
    <r>
      <t xml:space="preserve">CSI-50KTL-GS-B </t>
    </r>
    <r>
      <rPr>
        <sz val="11"/>
        <color rgb="FF006666"/>
        <rFont val="Calibri"/>
        <family val="2"/>
        <scheme val="minor"/>
      </rPr>
      <t>[480V]</t>
    </r>
  </si>
  <si>
    <r>
      <t xml:space="preserve">CSI-50KTL-GS-FLB </t>
    </r>
    <r>
      <rPr>
        <sz val="11"/>
        <color rgb="FF006666"/>
        <rFont val="Calibri"/>
        <family val="2"/>
        <scheme val="minor"/>
      </rPr>
      <t>[480V]</t>
    </r>
  </si>
  <si>
    <r>
      <t xml:space="preserve">CSI-60KTL-GS-B </t>
    </r>
    <r>
      <rPr>
        <sz val="11"/>
        <color rgb="FF006666"/>
        <rFont val="Calibri"/>
        <family val="2"/>
        <scheme val="minor"/>
      </rPr>
      <t>[480V]</t>
    </r>
  </si>
  <si>
    <r>
      <t xml:space="preserve">CSI-66KTL-GS-B </t>
    </r>
    <r>
      <rPr>
        <sz val="11"/>
        <color rgb="FF006666"/>
        <rFont val="Calibri"/>
        <family val="2"/>
        <scheme val="minor"/>
      </rPr>
      <t>[480V]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</si>
  <si>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</si>
  <si>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</si>
  <si>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</si>
  <si>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</si>
  <si>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SOLIVIA 3.8 NA G4 TL </t>
    </r>
    <r>
      <rPr>
        <sz val="11"/>
        <color rgb="FF006666"/>
        <rFont val="Calibri"/>
        <family val="2"/>
        <scheme val="minor"/>
      </rPr>
      <t>[208V]</t>
    </r>
  </si>
  <si>
    <r>
      <t xml:space="preserve">M4-TL-US </t>
    </r>
    <r>
      <rPr>
        <sz val="11"/>
        <color rgb="FF006666"/>
        <rFont val="Calibri"/>
        <family val="2"/>
        <scheme val="minor"/>
      </rPr>
      <t>[208V]</t>
    </r>
  </si>
  <si>
    <r>
      <t xml:space="preserve">SOLIVIA 3.8 NA G4 TL </t>
    </r>
    <r>
      <rPr>
        <sz val="11"/>
        <color rgb="FF006666"/>
        <rFont val="Calibri"/>
        <family val="2"/>
        <scheme val="minor"/>
      </rPr>
      <t>[240V]</t>
    </r>
  </si>
  <si>
    <r>
      <t xml:space="preserve">M4-TL-US </t>
    </r>
    <r>
      <rPr>
        <sz val="11"/>
        <color rgb="FF006666"/>
        <rFont val="Calibri"/>
        <family val="2"/>
        <scheme val="minor"/>
      </rPr>
      <t>[240V]</t>
    </r>
  </si>
  <si>
    <r>
      <t xml:space="preserve">M5-TL-US </t>
    </r>
    <r>
      <rPr>
        <sz val="11"/>
        <color rgb="FF006666"/>
        <rFont val="Calibri"/>
        <family val="2"/>
        <scheme val="minor"/>
      </rPr>
      <t>[208V]</t>
    </r>
  </si>
  <si>
    <r>
      <t xml:space="preserve">M5-TL-US </t>
    </r>
    <r>
      <rPr>
        <sz val="11"/>
        <color rgb="FF006666"/>
        <rFont val="Calibri"/>
        <family val="2"/>
        <scheme val="minor"/>
      </rPr>
      <t>[240V]</t>
    </r>
  </si>
  <si>
    <r>
      <t xml:space="preserve">M6-TL-US </t>
    </r>
    <r>
      <rPr>
        <sz val="11"/>
        <color rgb="FF006666"/>
        <rFont val="Calibri"/>
        <family val="2"/>
        <scheme val="minor"/>
      </rPr>
      <t>[208V]</t>
    </r>
  </si>
  <si>
    <r>
      <t xml:space="preserve">E6-TL-US </t>
    </r>
    <r>
      <rPr>
        <sz val="11"/>
        <color rgb="FF006666"/>
        <rFont val="Calibri"/>
        <family val="2"/>
        <scheme val="minor"/>
      </rPr>
      <t>[208V]</t>
    </r>
  </si>
  <si>
    <r>
      <t xml:space="preserve">E6-TL-US(AC) </t>
    </r>
    <r>
      <rPr>
        <sz val="11"/>
        <color rgb="FF006666"/>
        <rFont val="Calibri"/>
        <family val="2"/>
        <scheme val="minor"/>
      </rPr>
      <t>[208V]</t>
    </r>
  </si>
  <si>
    <r>
      <t xml:space="preserve">E6-TL-US(AC)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</si>
  <si>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</si>
  <si>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</si>
  <si>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E6-TL-US </t>
    </r>
    <r>
      <rPr>
        <sz val="11"/>
        <color rgb="FF006666"/>
        <rFont val="Calibri"/>
        <family val="2"/>
        <scheme val="minor"/>
      </rPr>
      <t>[240V]</t>
    </r>
  </si>
  <si>
    <r>
      <t xml:space="preserve">M6-TL-US </t>
    </r>
    <r>
      <rPr>
        <sz val="11"/>
        <color rgb="FF006666"/>
        <rFont val="Calibri"/>
        <family val="2"/>
        <scheme val="minor"/>
      </rPr>
      <t>[240V]</t>
    </r>
  </si>
  <si>
    <r>
      <t xml:space="preserve">E8-TL-US(AC) </t>
    </r>
    <r>
      <rPr>
        <sz val="11"/>
        <color rgb="FF006666"/>
        <rFont val="Calibri"/>
        <family val="2"/>
        <scheme val="minor"/>
      </rPr>
      <t>[240V]</t>
    </r>
  </si>
  <si>
    <r>
      <t xml:space="preserve">E8-TL-US(AC) </t>
    </r>
    <r>
      <rPr>
        <sz val="11"/>
        <color rgb="FF006666"/>
        <rFont val="Calibri"/>
        <family val="2"/>
        <scheme val="minor"/>
      </rPr>
      <t>[208V]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</si>
  <si>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</si>
  <si>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</si>
  <si>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</si>
  <si>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E8-TL-US </t>
    </r>
    <r>
      <rPr>
        <sz val="11"/>
        <color rgb="FF006666"/>
        <rFont val="Calibri"/>
        <family val="2"/>
        <scheme val="minor"/>
      </rPr>
      <t>[208V]</t>
    </r>
  </si>
  <si>
    <r>
      <t xml:space="preserve">M8-TL-US </t>
    </r>
    <r>
      <rPr>
        <sz val="11"/>
        <color rgb="FF006666"/>
        <rFont val="Calibri"/>
        <family val="2"/>
        <scheme val="minor"/>
      </rPr>
      <t>[208V]</t>
    </r>
  </si>
  <si>
    <r>
      <t xml:space="preserve">SOLIVIA 7.6 NA G4 TL </t>
    </r>
    <r>
      <rPr>
        <sz val="11"/>
        <color rgb="FF006666"/>
        <rFont val="Calibri"/>
        <family val="2"/>
        <scheme val="minor"/>
      </rPr>
      <t>[240V]</t>
    </r>
  </si>
  <si>
    <r>
      <t xml:space="preserve">E8-TL-US </t>
    </r>
    <r>
      <rPr>
        <sz val="11"/>
        <color rgb="FF006666"/>
        <rFont val="Calibri"/>
        <family val="2"/>
        <scheme val="minor"/>
      </rPr>
      <t>[240V]</t>
    </r>
  </si>
  <si>
    <r>
      <t xml:space="preserve">M8-TL-US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</si>
  <si>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</si>
  <si>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</si>
  <si>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</si>
  <si>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</si>
  <si>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</si>
  <si>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</si>
  <si>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DES10JB125K01 </t>
    </r>
    <r>
      <rPr>
        <sz val="11"/>
        <color rgb="FF006666"/>
        <rFont val="Calibri"/>
        <family val="2"/>
        <scheme val="minor"/>
      </rPr>
      <t>[480V]</t>
    </r>
  </si>
  <si>
    <r>
      <t xml:space="preserve">MPS-100 </t>
    </r>
    <r>
      <rPr>
        <sz val="11"/>
        <color rgb="FF006666"/>
        <rFont val="Calibri"/>
        <family val="2"/>
        <scheme val="minor"/>
      </rPr>
      <t>[480]</t>
    </r>
  </si>
  <si>
    <r>
      <t xml:space="preserve">MPS-250 </t>
    </r>
    <r>
      <rPr>
        <sz val="11"/>
        <color rgb="FF006666"/>
        <rFont val="Calibri"/>
        <family val="2"/>
        <scheme val="minor"/>
      </rPr>
      <t>[480V]</t>
    </r>
  </si>
  <si>
    <r>
      <t xml:space="preserve">MPS-250HV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</si>
  <si>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</si>
  <si>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</si>
  <si>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</si>
  <si>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</si>
  <si>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</si>
  <si>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</si>
  <si>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</si>
  <si>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</si>
  <si>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</si>
  <si>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</si>
  <si>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</si>
  <si>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</si>
  <si>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</si>
  <si>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</si>
  <si>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</si>
  <si>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</si>
  <si>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</si>
  <si>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</si>
  <si>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</si>
  <si>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</si>
  <si>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</si>
  <si>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</si>
  <si>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</si>
  <si>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</si>
  <si>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</si>
  <si>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</si>
  <si>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</si>
  <si>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</si>
  <si>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</si>
  <si>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</si>
  <si>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</si>
  <si>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</si>
  <si>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</si>
  <si>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SUN2000-33KTL-US </t>
    </r>
    <r>
      <rPr>
        <sz val="11"/>
        <color rgb="FF006666"/>
        <rFont val="Calibri"/>
        <family val="2"/>
        <scheme val="minor"/>
      </rPr>
      <t>[480V]</t>
    </r>
  </si>
  <si>
    <r>
      <t xml:space="preserve">SUN2000-36KTL-US </t>
    </r>
    <r>
      <rPr>
        <sz val="11"/>
        <color rgb="FF006666"/>
        <rFont val="Calibri"/>
        <family val="2"/>
        <scheme val="minor"/>
      </rPr>
      <t>[480V]</t>
    </r>
  </si>
  <si>
    <r>
      <t xml:space="preserve">SUN2000-40KTL-US </t>
    </r>
    <r>
      <rPr>
        <sz val="11"/>
        <color rgb="FF006666"/>
        <rFont val="Calibri"/>
        <family val="2"/>
        <scheme val="minor"/>
      </rPr>
      <t>[480V]</t>
    </r>
  </si>
  <si>
    <r>
      <t xml:space="preserve">SUN2000-45KTL-US-HV-D0 </t>
    </r>
    <r>
      <rPr>
        <sz val="11"/>
        <color rgb="FF006666"/>
        <rFont val="Calibri"/>
        <family val="2"/>
        <scheme val="minor"/>
      </rPr>
      <t>[600V]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</si>
  <si>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</si>
  <si>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</si>
  <si>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</si>
  <si>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</si>
  <si>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JKMS260M-60B-EP </t>
    </r>
    <r>
      <rPr>
        <sz val="11"/>
        <color rgb="FF006666"/>
        <rFont val="Calibri"/>
        <family val="2"/>
        <scheme val="minor"/>
      </rPr>
      <t>[240V]</t>
    </r>
  </si>
  <si>
    <r>
      <t xml:space="preserve">JKMS265M-60B-EP </t>
    </r>
    <r>
      <rPr>
        <sz val="11"/>
        <color rgb="FF006666"/>
        <rFont val="Calibri"/>
        <family val="2"/>
        <scheme val="minor"/>
      </rPr>
      <t>[240V]</t>
    </r>
  </si>
  <si>
    <r>
      <t xml:space="preserve">JKMS270M-60B-EP </t>
    </r>
    <r>
      <rPr>
        <sz val="11"/>
        <color rgb="FF006666"/>
        <rFont val="Calibri"/>
        <family val="2"/>
        <scheme val="minor"/>
      </rPr>
      <t>[240V]</t>
    </r>
  </si>
  <si>
    <r>
      <t xml:space="preserve">JKMS275M-60B-EP </t>
    </r>
    <r>
      <rPr>
        <sz val="11"/>
        <color rgb="FF006666"/>
        <rFont val="Calibri"/>
        <family val="2"/>
        <scheme val="minor"/>
      </rPr>
      <t>[240V]</t>
    </r>
  </si>
  <si>
    <r>
      <t xml:space="preserve">JKMS275M-60-EP </t>
    </r>
    <r>
      <rPr>
        <sz val="11"/>
        <color rgb="FF006666"/>
        <rFont val="Calibri"/>
        <family val="2"/>
        <scheme val="minor"/>
      </rPr>
      <t>[240V]</t>
    </r>
  </si>
  <si>
    <r>
      <t xml:space="preserve">JKMS280M-60B-EP </t>
    </r>
    <r>
      <rPr>
        <sz val="11"/>
        <color rgb="FF006666"/>
        <rFont val="Calibri"/>
        <family val="2"/>
        <scheme val="minor"/>
      </rPr>
      <t>[240V]</t>
    </r>
  </si>
  <si>
    <r>
      <t xml:space="preserve">JKMS280M-60-EP </t>
    </r>
    <r>
      <rPr>
        <sz val="11"/>
        <color rgb="FF006666"/>
        <rFont val="Calibri"/>
        <family val="2"/>
        <scheme val="minor"/>
      </rPr>
      <t>[240V]</t>
    </r>
  </si>
  <si>
    <r>
      <t xml:space="preserve">JKMS285M-60B-EP </t>
    </r>
    <r>
      <rPr>
        <sz val="11"/>
        <color rgb="FF006666"/>
        <rFont val="Calibri"/>
        <family val="2"/>
        <scheme val="minor"/>
      </rPr>
      <t>[240V]</t>
    </r>
  </si>
  <si>
    <r>
      <t xml:space="preserve">JKMS285M-60-EP </t>
    </r>
    <r>
      <rPr>
        <sz val="11"/>
        <color rgb="FF006666"/>
        <rFont val="Calibri"/>
        <family val="2"/>
        <scheme val="minor"/>
      </rPr>
      <t>[240V]</t>
    </r>
  </si>
  <si>
    <r>
      <t xml:space="preserve">JKMS290M-60B-EP </t>
    </r>
    <r>
      <rPr>
        <sz val="11"/>
        <color rgb="FF006666"/>
        <rFont val="Calibri"/>
        <family val="2"/>
        <scheme val="minor"/>
      </rPr>
      <t>[240V]</t>
    </r>
  </si>
  <si>
    <r>
      <t xml:space="preserve">JKMS290M-60-EP </t>
    </r>
    <r>
      <rPr>
        <sz val="11"/>
        <color rgb="FF006666"/>
        <rFont val="Calibri"/>
        <family val="2"/>
        <scheme val="minor"/>
      </rPr>
      <t>[240V]</t>
    </r>
  </si>
  <si>
    <r>
      <t xml:space="preserve">JKMS295M-60B-EP </t>
    </r>
    <r>
      <rPr>
        <sz val="11"/>
        <color rgb="FF006666"/>
        <rFont val="Calibri"/>
        <family val="2"/>
        <scheme val="minor"/>
      </rPr>
      <t>[240V]</t>
    </r>
  </si>
  <si>
    <r>
      <t xml:space="preserve">JKMS295M-60-EP </t>
    </r>
    <r>
      <rPr>
        <sz val="11"/>
        <color rgb="FF006666"/>
        <rFont val="Calibri"/>
        <family val="2"/>
        <scheme val="minor"/>
      </rPr>
      <t>[240V]</t>
    </r>
  </si>
  <si>
    <r>
      <t xml:space="preserve">JKMS300M-60-EP </t>
    </r>
    <r>
      <rPr>
        <sz val="11"/>
        <color rgb="FF006666"/>
        <rFont val="Calibri"/>
        <family val="2"/>
        <scheme val="minor"/>
      </rPr>
      <t>[240V]</t>
    </r>
  </si>
  <si>
    <r>
      <t xml:space="preserve">LS600 </t>
    </r>
    <r>
      <rPr>
        <sz val="11"/>
        <color rgb="FF006666"/>
        <rFont val="Calibri"/>
        <family val="2"/>
        <scheme val="minor"/>
      </rPr>
      <t>[240V]</t>
    </r>
  </si>
  <si>
    <r>
      <t xml:space="preserve">LS600X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</si>
  <si>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</si>
  <si>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</si>
  <si>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</si>
  <si>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</si>
  <si>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</si>
  <si>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</si>
  <si>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</si>
  <si>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</si>
  <si>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</si>
  <si>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</si>
  <si>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</si>
  <si>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</si>
  <si>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LG355A1C-A5  </t>
    </r>
    <r>
      <rPr>
        <sz val="11"/>
        <color rgb="FF006666"/>
        <rFont val="Calibri"/>
        <family val="2"/>
        <scheme val="minor"/>
      </rPr>
      <t>[208V]</t>
    </r>
  </si>
  <si>
    <r>
      <t xml:space="preserve">LG355A1C-A5 </t>
    </r>
    <r>
      <rPr>
        <sz val="11"/>
        <color rgb="FF006666"/>
        <rFont val="Calibri"/>
        <family val="2"/>
        <scheme val="minor"/>
      </rPr>
      <t>[240V]</t>
    </r>
  </si>
  <si>
    <r>
      <t xml:space="preserve">LG360A1C-A5 </t>
    </r>
    <r>
      <rPr>
        <sz val="11"/>
        <color rgb="FF006666"/>
        <rFont val="Calibri"/>
        <family val="2"/>
        <scheme val="minor"/>
      </rPr>
      <t>[208V]</t>
    </r>
  </si>
  <si>
    <r>
      <t xml:space="preserve">LG360A1C-A5 </t>
    </r>
    <r>
      <rPr>
        <sz val="11"/>
        <color rgb="FF006666"/>
        <rFont val="Calibri"/>
        <family val="2"/>
        <scheme val="minor"/>
      </rPr>
      <t>[240V]</t>
    </r>
  </si>
  <si>
    <r>
      <t xml:space="preserve">LG365A1C-A5 </t>
    </r>
    <r>
      <rPr>
        <sz val="11"/>
        <color rgb="FF006666"/>
        <rFont val="Calibri"/>
        <family val="2"/>
        <scheme val="minor"/>
      </rPr>
      <t>[208V]</t>
    </r>
  </si>
  <si>
    <r>
      <t xml:space="preserve">LG365A1C-A5 </t>
    </r>
    <r>
      <rPr>
        <sz val="11"/>
        <color rgb="FF006666"/>
        <rFont val="Calibri"/>
        <family val="2"/>
        <scheme val="minor"/>
      </rPr>
      <t>[240V]</t>
    </r>
  </si>
  <si>
    <r>
      <t xml:space="preserve">LG370A1C-A5 </t>
    </r>
    <r>
      <rPr>
        <sz val="11"/>
        <color rgb="FF006666"/>
        <rFont val="Calibri"/>
        <family val="2"/>
        <scheme val="minor"/>
      </rPr>
      <t>[208V]</t>
    </r>
  </si>
  <si>
    <r>
      <t xml:space="preserve">LG370A1C-A5 </t>
    </r>
    <r>
      <rPr>
        <sz val="11"/>
        <color rgb="FF006666"/>
        <rFont val="Calibri"/>
        <family val="2"/>
        <scheme val="minor"/>
      </rPr>
      <t>[240V]</t>
    </r>
  </si>
  <si>
    <r>
      <t xml:space="preserve">LM320UE-A2 </t>
    </r>
    <r>
      <rPr>
        <sz val="11"/>
        <color rgb="FF006666"/>
        <rFont val="Calibri"/>
        <family val="2"/>
        <scheme val="minor"/>
      </rPr>
      <t>[208V]</t>
    </r>
  </si>
  <si>
    <r>
      <t xml:space="preserve">LM320UE-A2 </t>
    </r>
    <r>
      <rPr>
        <sz val="11"/>
        <color rgb="FF006666"/>
        <rFont val="Calibri"/>
        <family val="2"/>
        <scheme val="minor"/>
      </rPr>
      <t>[240V]</t>
    </r>
  </si>
  <si>
    <r>
      <t xml:space="preserve">A005KEEN261 </t>
    </r>
    <r>
      <rPr>
        <sz val="11"/>
        <color rgb="FF006666"/>
        <rFont val="Calibri"/>
        <family val="2"/>
        <scheme val="minor"/>
      </rPr>
      <t>[208V]</t>
    </r>
  </si>
  <si>
    <r>
      <t xml:space="preserve">A005KEEN261 </t>
    </r>
    <r>
      <rPr>
        <sz val="11"/>
        <color rgb="FF006666"/>
        <rFont val="Calibri"/>
        <family val="2"/>
        <scheme val="minor"/>
      </rPr>
      <t>[240V]</t>
    </r>
  </si>
  <si>
    <r>
      <t xml:space="preserve">D007KEEN261 </t>
    </r>
    <r>
      <rPr>
        <sz val="11"/>
        <color rgb="FF006666"/>
        <rFont val="Calibri"/>
        <family val="2"/>
        <scheme val="minor"/>
      </rPr>
      <t>[208V]</t>
    </r>
  </si>
  <si>
    <r>
      <t xml:space="preserve">D007KEEN261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</si>
  <si>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</si>
  <si>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</si>
  <si>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</si>
  <si>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</si>
  <si>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</si>
  <si>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</si>
  <si>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</si>
  <si>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Solis-1P6K-4G-US </t>
    </r>
    <r>
      <rPr>
        <sz val="11"/>
        <color rgb="FF006666"/>
        <rFont val="Calibri"/>
        <family val="2"/>
        <scheme val="minor"/>
      </rPr>
      <t>[240V]</t>
    </r>
  </si>
  <si>
    <r>
      <t xml:space="preserve">Solis-1P7K-4G-US </t>
    </r>
    <r>
      <rPr>
        <sz val="11"/>
        <color rgb="FF006666"/>
        <rFont val="Calibri"/>
        <family val="2"/>
        <scheme val="minor"/>
      </rPr>
      <t>[240V]</t>
    </r>
  </si>
  <si>
    <r>
      <t xml:space="preserve">Solis-1P7.6K-4G-US </t>
    </r>
    <r>
      <rPr>
        <sz val="11"/>
        <color rgb="FF006666"/>
        <rFont val="Calibri"/>
        <family val="2"/>
        <scheme val="minor"/>
      </rPr>
      <t>[240V]</t>
    </r>
  </si>
  <si>
    <r>
      <t xml:space="preserve">Solis-1P8K-4G-US </t>
    </r>
    <r>
      <rPr>
        <sz val="11"/>
        <color rgb="FF006666"/>
        <rFont val="Calibri"/>
        <family val="2"/>
        <scheme val="minor"/>
      </rPr>
      <t>[240V]</t>
    </r>
  </si>
  <si>
    <r>
      <t xml:space="preserve">Solis-1P9K-4G-US </t>
    </r>
    <r>
      <rPr>
        <sz val="11"/>
        <color rgb="FF006666"/>
        <rFont val="Calibri"/>
        <family val="2"/>
        <scheme val="minor"/>
      </rPr>
      <t>[240V]</t>
    </r>
  </si>
  <si>
    <r>
      <t xml:space="preserve">Solis-1P10K-4G-US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</si>
  <si>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</si>
  <si>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</si>
  <si>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</si>
  <si>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</si>
  <si>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Solis-50K-US-F-SW </t>
    </r>
    <r>
      <rPr>
        <sz val="11"/>
        <color rgb="FF006666"/>
        <rFont val="Calibri"/>
        <family val="2"/>
        <scheme val="minor"/>
      </rPr>
      <t>[480V]</t>
    </r>
  </si>
  <si>
    <r>
      <t xml:space="preserve">Solis-50K-US-SW </t>
    </r>
    <r>
      <rPr>
        <sz val="11"/>
        <color rgb="FF006666"/>
        <rFont val="Calibri"/>
        <family val="2"/>
        <scheme val="minor"/>
      </rPr>
      <t>[480V]</t>
    </r>
  </si>
  <si>
    <r>
      <t xml:space="preserve">Solis-60K-US-F-SW </t>
    </r>
    <r>
      <rPr>
        <sz val="11"/>
        <color rgb="FF006666"/>
        <rFont val="Calibri"/>
        <family val="2"/>
        <scheme val="minor"/>
      </rPr>
      <t>[480V]</t>
    </r>
  </si>
  <si>
    <r>
      <t xml:space="preserve">Solis-66K-US-F-SW </t>
    </r>
    <r>
      <rPr>
        <sz val="11"/>
        <color rgb="FF006666"/>
        <rFont val="Calibri"/>
        <family val="2"/>
        <scheme val="minor"/>
      </rPr>
      <t>[480V]</t>
    </r>
  </si>
  <si>
    <r>
      <t xml:space="preserve">FXR3048A </t>
    </r>
    <r>
      <rPr>
        <sz val="11"/>
        <color rgb="FF006666"/>
        <rFont val="Calibri"/>
        <family val="2"/>
        <scheme val="minor"/>
      </rPr>
      <t>[120V]</t>
    </r>
  </si>
  <si>
    <r>
      <t xml:space="preserve">VFXR3524A </t>
    </r>
    <r>
      <rPr>
        <sz val="11"/>
        <color rgb="FF006666"/>
        <rFont val="Calibri"/>
        <family val="2"/>
        <scheme val="minor"/>
      </rPr>
      <t>[120V]</t>
    </r>
  </si>
  <si>
    <r>
      <t xml:space="preserve">VFXR3648A </t>
    </r>
    <r>
      <rPr>
        <sz val="11"/>
        <color rgb="FF006666"/>
        <rFont val="Calibri"/>
        <family val="2"/>
        <scheme val="minor"/>
      </rPr>
      <t>[120V]</t>
    </r>
  </si>
  <si>
    <r>
      <t xml:space="preserve">GS4048A </t>
    </r>
    <r>
      <rPr>
        <sz val="11"/>
        <color rgb="FF006666"/>
        <rFont val="Calibri"/>
        <family val="2"/>
        <scheme val="minor"/>
      </rPr>
      <t>[240V]</t>
    </r>
  </si>
  <si>
    <r>
      <t xml:space="preserve">SBX5048-120/240 </t>
    </r>
    <r>
      <rPr>
        <sz val="11"/>
        <color rgb="FF006666"/>
        <rFont val="Calibri"/>
        <family val="2"/>
        <scheme val="minor"/>
      </rPr>
      <t>[240V]</t>
    </r>
  </si>
  <si>
    <r>
      <t xml:space="preserve">GS8048A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</si>
  <si>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</si>
  <si>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</si>
  <si>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</si>
  <si>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</si>
  <si>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</si>
  <si>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</si>
  <si>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</si>
  <si>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</si>
  <si>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</si>
  <si>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</si>
  <si>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</si>
  <si>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</si>
  <si>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</si>
  <si>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</si>
  <si>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</si>
  <si>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</si>
  <si>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</si>
  <si>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</si>
  <si>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</si>
  <si>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</si>
  <si>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</si>
  <si>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</si>
  <si>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</si>
  <si>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</si>
  <si>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</si>
  <si>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</si>
  <si>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</si>
  <si>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</si>
  <si>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</si>
  <si>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</si>
  <si>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</si>
  <si>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</si>
  <si>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</si>
  <si>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</si>
  <si>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Conext CL125 </t>
    </r>
    <r>
      <rPr>
        <sz val="11"/>
        <color rgb="FF006666"/>
        <rFont val="Calibri"/>
        <family val="2"/>
        <scheme val="minor"/>
      </rPr>
      <t>[600V]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</si>
  <si>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</si>
  <si>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</si>
  <si>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</si>
  <si>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</si>
  <si>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</si>
  <si>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</si>
  <si>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PWS2-30K-NA </t>
    </r>
    <r>
      <rPr>
        <sz val="11"/>
        <color rgb="FF006666"/>
        <rFont val="Calibri"/>
        <family val="2"/>
        <scheme val="minor"/>
      </rPr>
      <t>[480V]</t>
    </r>
  </si>
  <si>
    <r>
      <t xml:space="preserve">PWS1-50K-NA </t>
    </r>
    <r>
      <rPr>
        <sz val="11"/>
        <color rgb="FF006666"/>
        <rFont val="Calibri"/>
        <family val="2"/>
        <scheme val="minor"/>
      </rPr>
      <t>[480V]</t>
    </r>
  </si>
  <si>
    <r>
      <t xml:space="preserve">PWS1-100K-NA </t>
    </r>
    <r>
      <rPr>
        <sz val="11"/>
        <color rgb="FF006666"/>
        <rFont val="Calibri"/>
        <family val="2"/>
        <scheme val="minor"/>
      </rPr>
      <t>[480V]</t>
    </r>
  </si>
  <si>
    <r>
      <t xml:space="preserve">PWS1-150K-NA </t>
    </r>
    <r>
      <rPr>
        <sz val="11"/>
        <color rgb="FF006666"/>
        <rFont val="Calibri"/>
        <family val="2"/>
        <scheme val="minor"/>
      </rPr>
      <t>[480V]</t>
    </r>
  </si>
  <si>
    <r>
      <t xml:space="preserve">PWS1-250K-NA </t>
    </r>
    <r>
      <rPr>
        <sz val="11"/>
        <color rgb="FF006666"/>
        <rFont val="Calibri"/>
        <family val="2"/>
        <scheme val="minor"/>
      </rPr>
      <t>[480V]</t>
    </r>
  </si>
  <si>
    <r>
      <t xml:space="preserve">PWS1-500KTL-NA </t>
    </r>
    <r>
      <rPr>
        <sz val="11"/>
        <color rgb="FF006666"/>
        <rFont val="Calibri"/>
        <family val="2"/>
        <scheme val="minor"/>
      </rPr>
      <t>[400V]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</si>
  <si>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</si>
  <si>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</si>
  <si>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</si>
  <si>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</si>
  <si>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</si>
  <si>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</si>
  <si>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SBS3.8-US-10 </t>
    </r>
    <r>
      <rPr>
        <sz val="11"/>
        <color rgb="FF006666"/>
        <rFont val="Calibri"/>
        <family val="2"/>
        <scheme val="minor"/>
      </rPr>
      <t>[240V]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</si>
  <si>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</si>
  <si>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</si>
  <si>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SBS5.0-US-10 </t>
    </r>
    <r>
      <rPr>
        <sz val="11"/>
        <color rgb="FF006666"/>
        <rFont val="Calibri"/>
        <family val="2"/>
        <scheme val="minor"/>
      </rPr>
      <t>[240V]</t>
    </r>
  </si>
  <si>
    <r>
      <t xml:space="preserve">SBS6.0-US-10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</si>
  <si>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</si>
  <si>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</si>
  <si>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</si>
  <si>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</si>
  <si>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</si>
  <si>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</si>
  <si>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</si>
  <si>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SC 2500-EV-US </t>
    </r>
    <r>
      <rPr>
        <sz val="11"/>
        <color rgb="FF006666"/>
        <rFont val="Calibri"/>
        <family val="2"/>
        <scheme val="minor"/>
      </rPr>
      <t>[550V]</t>
    </r>
  </si>
  <si>
    <r>
      <t xml:space="preserve">SC 2750-EV-US </t>
    </r>
    <r>
      <rPr>
        <sz val="11"/>
        <color rgb="FF006666"/>
        <rFont val="Calibri"/>
        <family val="2"/>
        <scheme val="minor"/>
      </rPr>
      <t>[600V]</t>
    </r>
  </si>
  <si>
    <r>
      <t xml:space="preserve">SE3000H-US </t>
    </r>
    <r>
      <rPr>
        <sz val="11"/>
        <color rgb="FF006666"/>
        <rFont val="Calibri"/>
        <family val="2"/>
        <scheme val="minor"/>
      </rPr>
      <t>[240V]</t>
    </r>
  </si>
  <si>
    <r>
      <t xml:space="preserve">SE3000x </t>
    </r>
    <r>
      <rPr>
        <sz val="11"/>
        <color rgb="FF006666"/>
        <rFont val="Calibri"/>
        <family val="2"/>
        <scheme val="minor"/>
      </rPr>
      <t>[240V]</t>
    </r>
  </si>
  <si>
    <r>
      <t xml:space="preserve">SE3000x </t>
    </r>
    <r>
      <rPr>
        <sz val="11"/>
        <color rgb="FF006666"/>
        <rFont val="Calibri"/>
        <family val="2"/>
        <scheme val="minor"/>
      </rPr>
      <t>[208V]</t>
    </r>
  </si>
  <si>
    <r>
      <t xml:space="preserve">SE3300x </t>
    </r>
    <r>
      <rPr>
        <sz val="11"/>
        <color rgb="FF006666"/>
        <rFont val="Calibri"/>
        <family val="2"/>
        <scheme val="minor"/>
      </rPr>
      <t>[240V]</t>
    </r>
  </si>
  <si>
    <r>
      <t xml:space="preserve">SE3800H-US </t>
    </r>
    <r>
      <rPr>
        <sz val="11"/>
        <color rgb="FF006666"/>
        <rFont val="Calibri"/>
        <family val="2"/>
        <scheme val="minor"/>
      </rPr>
      <t>[208V]</t>
    </r>
  </si>
  <si>
    <r>
      <t xml:space="preserve">SE3300x </t>
    </r>
    <r>
      <rPr>
        <sz val="11"/>
        <color rgb="FF006666"/>
        <rFont val="Calibri"/>
        <family val="2"/>
        <scheme val="minor"/>
      </rPr>
      <t>[208V]</t>
    </r>
  </si>
  <si>
    <r>
      <t xml:space="preserve">SE3800H-US </t>
    </r>
    <r>
      <rPr>
        <sz val="11"/>
        <color rgb="FF006666"/>
        <rFont val="Calibri"/>
        <family val="2"/>
        <scheme val="minor"/>
      </rPr>
      <t>[240V]</t>
    </r>
  </si>
  <si>
    <r>
      <t xml:space="preserve">SE3800x </t>
    </r>
    <r>
      <rPr>
        <sz val="11"/>
        <color rgb="FF006666"/>
        <rFont val="Calibri"/>
        <family val="2"/>
        <scheme val="minor"/>
      </rPr>
      <t>[240V]</t>
    </r>
  </si>
  <si>
    <r>
      <t xml:space="preserve">SE3800x </t>
    </r>
    <r>
      <rPr>
        <sz val="11"/>
        <color rgb="FF006666"/>
        <rFont val="Calibri"/>
        <family val="2"/>
        <scheme val="minor"/>
      </rPr>
      <t>[208V]</t>
    </r>
  </si>
  <si>
    <r>
      <t xml:space="preserve">SE5000H-US </t>
    </r>
    <r>
      <rPr>
        <sz val="11"/>
        <color rgb="FF006666"/>
        <rFont val="Calibri"/>
        <family val="2"/>
        <scheme val="minor"/>
      </rPr>
      <t>[208V]</t>
    </r>
  </si>
  <si>
    <r>
      <t xml:space="preserve">SE5000x </t>
    </r>
    <r>
      <rPr>
        <sz val="11"/>
        <color rgb="FF006666"/>
        <rFont val="Calibri"/>
        <family val="2"/>
        <scheme val="minor"/>
      </rPr>
      <t>[208V]</t>
    </r>
  </si>
  <si>
    <r>
      <t xml:space="preserve">SE5000x </t>
    </r>
    <r>
      <rPr>
        <sz val="11"/>
        <color rgb="FF006666"/>
        <rFont val="Calibri"/>
        <family val="2"/>
        <scheme val="minor"/>
      </rPr>
      <t>[240V]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</si>
  <si>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</si>
  <si>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</si>
  <si>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SE6000x </t>
    </r>
    <r>
      <rPr>
        <sz val="11"/>
        <color rgb="FF006666"/>
        <rFont val="Calibri"/>
        <family val="2"/>
        <scheme val="minor"/>
      </rPr>
      <t>[208V]</t>
    </r>
  </si>
  <si>
    <r>
      <t xml:space="preserve">SE6000x </t>
    </r>
    <r>
      <rPr>
        <sz val="11"/>
        <color rgb="FF006666"/>
        <rFont val="Calibri"/>
        <family val="2"/>
        <scheme val="minor"/>
      </rPr>
      <t>[240V]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</si>
  <si>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</si>
  <si>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</si>
  <si>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</si>
  <si>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</si>
  <si>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SE9KUS </t>
    </r>
    <r>
      <rPr>
        <sz val="11"/>
        <color rgb="FF006666"/>
        <rFont val="Calibri"/>
        <family val="2"/>
        <scheme val="minor"/>
      </rPr>
      <t>[208V]</t>
    </r>
  </si>
  <si>
    <r>
      <t xml:space="preserve">SE10KUS </t>
    </r>
    <r>
      <rPr>
        <sz val="11"/>
        <color rgb="FF006666"/>
        <rFont val="Calibri"/>
        <family val="2"/>
        <scheme val="minor"/>
      </rPr>
      <t>[480V]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</si>
  <si>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</si>
  <si>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</si>
  <si>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</si>
  <si>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</si>
  <si>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</si>
  <si>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</si>
  <si>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</si>
  <si>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</si>
  <si>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SE20KUS </t>
    </r>
    <r>
      <rPr>
        <sz val="11"/>
        <color rgb="FF006666"/>
        <rFont val="Calibri"/>
        <family val="2"/>
        <scheme val="minor"/>
      </rPr>
      <t>[480V]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</si>
  <si>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</si>
  <si>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</si>
  <si>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</si>
  <si>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</si>
  <si>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</si>
  <si>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</si>
  <si>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</si>
  <si>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</si>
  <si>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</si>
  <si>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</si>
  <si>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</si>
  <si>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</si>
  <si>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</si>
  <si>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</si>
  <si>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</si>
  <si>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</si>
  <si>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</si>
  <si>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</si>
  <si>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</si>
  <si>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</si>
  <si>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</si>
  <si>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THD-S55P3BB-US </t>
    </r>
    <r>
      <rPr>
        <sz val="11"/>
        <color rgb="FF006666"/>
        <rFont val="Calibri"/>
        <family val="2"/>
        <scheme val="minor"/>
      </rPr>
      <t>[240V]</t>
    </r>
  </si>
  <si>
    <r>
      <t xml:space="preserve">THD-S55P3B-US </t>
    </r>
    <r>
      <rPr>
        <sz val="11"/>
        <color rgb="FF006666"/>
        <rFont val="Calibri"/>
        <family val="2"/>
        <scheme val="minor"/>
      </rPr>
      <t>[240V]</t>
    </r>
  </si>
  <si>
    <r>
      <t xml:space="preserve">THE-S55P3BB-USW </t>
    </r>
    <r>
      <rPr>
        <sz val="11"/>
        <color rgb="FF006666"/>
        <rFont val="Calibri"/>
        <family val="2"/>
        <scheme val="minor"/>
      </rPr>
      <t>[240V]</t>
    </r>
  </si>
  <si>
    <r>
      <t xml:space="preserve">TB6000SHU </t>
    </r>
    <r>
      <rPr>
        <sz val="11"/>
        <color rgb="FF006666"/>
        <rFont val="Calibri"/>
        <family val="2"/>
        <scheme val="minor"/>
      </rPr>
      <t>[208V]</t>
    </r>
  </si>
  <si>
    <r>
      <t xml:space="preserve">TB6000SHU </t>
    </r>
    <r>
      <rPr>
        <sz val="11"/>
        <color rgb="FF006666"/>
        <rFont val="Calibri"/>
        <family val="2"/>
        <scheme val="minor"/>
      </rPr>
      <t>[240V]</t>
    </r>
  </si>
  <si>
    <r>
      <t xml:space="preserve">TB8000SHU </t>
    </r>
    <r>
      <rPr>
        <sz val="11"/>
        <color rgb="FF006666"/>
        <rFont val="Calibri"/>
        <family val="2"/>
        <scheme val="minor"/>
      </rPr>
      <t>[208V]</t>
    </r>
  </si>
  <si>
    <r>
      <t xml:space="preserve">TB8000SHU </t>
    </r>
    <r>
      <rPr>
        <sz val="11"/>
        <color rgb="FF006666"/>
        <rFont val="Calibri"/>
        <family val="2"/>
        <scheme val="minor"/>
      </rPr>
      <t>[240V]</t>
    </r>
  </si>
  <si>
    <r>
      <t xml:space="preserve">SPI50K-BHV </t>
    </r>
    <r>
      <rPr>
        <sz val="11"/>
        <color rgb="FF006666"/>
        <rFont val="Calibri"/>
        <family val="2"/>
        <scheme val="minor"/>
      </rPr>
      <t>[480V]</t>
    </r>
  </si>
  <si>
    <r>
      <t xml:space="preserve">SPI60K-BHV </t>
    </r>
    <r>
      <rPr>
        <sz val="11"/>
        <color rgb="FF006666"/>
        <rFont val="Calibri"/>
        <family val="2"/>
        <scheme val="minor"/>
      </rPr>
      <t>[480V]</t>
    </r>
  </si>
  <si>
    <r>
      <t xml:space="preserve">PVI 36TL-480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</si>
  <si>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</si>
  <si>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</si>
  <si>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t>y</t>
  </si>
  <si>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</si>
  <si>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</si>
  <si>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</si>
  <si>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</si>
  <si>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t>SI-1R Listing Date (mo/day/yr)</t>
  </si>
  <si>
    <r>
      <t>TSXL480-10k</t>
    </r>
    <r>
      <rPr>
        <sz val="11"/>
        <color rgb="FF006666"/>
        <rFont val="Calibri"/>
        <family val="2"/>
        <scheme val="minor"/>
      </rPr>
      <t xml:space="preserve"> [480V]</t>
    </r>
  </si>
  <si>
    <t>[09/28/2018]</t>
  </si>
  <si>
    <t>[0.28]</t>
  </si>
  <si>
    <t>Destin Power Inc.</t>
  </si>
  <si>
    <r>
      <t xml:space="preserve">SAVEEN1000-ES02H.US </t>
    </r>
    <r>
      <rPr>
        <sz val="11"/>
        <color rgb="FF006666"/>
        <rFont val="Calibri"/>
        <family val="2"/>
        <scheme val="minor"/>
      </rPr>
      <t>[440V]</t>
    </r>
  </si>
  <si>
    <t>1000 kW, 440 Vac, Grid Support Utility Interactive Inverter ESS for Indoor ESS PCS</t>
  </si>
  <si>
    <t>[01/11/2018]</t>
  </si>
  <si>
    <t>[1.00.4]</t>
  </si>
  <si>
    <t>Weighted Efficiency includes efficiency of 3000 kVA ABB Korea distribution transformer.</t>
  </si>
  <si>
    <t>Shenzhen Growatt New Energy Technology Co., Ltd</t>
  </si>
  <si>
    <r>
      <t>GROWATT 33000TL3-US</t>
    </r>
    <r>
      <rPr>
        <sz val="11"/>
        <color rgb="FF006666"/>
        <rFont val="Calibri"/>
        <family val="2"/>
        <scheme val="minor"/>
      </rPr>
      <t xml:space="preserve"> [480V]</t>
    </r>
  </si>
  <si>
    <t>33 kW, 480 Vac, three phases, 3/N/PE, Transformerless Grid Support Utility Interactive Inverter</t>
  </si>
  <si>
    <t>[09/05/2018]</t>
  </si>
  <si>
    <t>[teba0101]</t>
  </si>
  <si>
    <r>
      <t>GROWATT 36000TL3-US</t>
    </r>
    <r>
      <rPr>
        <sz val="11"/>
        <color rgb="FF006666"/>
        <rFont val="Calibri"/>
        <family val="2"/>
        <scheme val="minor"/>
      </rPr>
      <t xml:space="preserve"> [480V]</t>
    </r>
  </si>
  <si>
    <t>36 kW, 480 Vac, three phases, 3/N/PE, Transformerless Grid Support Utility Interactive Inverter</t>
  </si>
  <si>
    <r>
      <t>GROWATT 40000TL3-US</t>
    </r>
    <r>
      <rPr>
        <sz val="11"/>
        <color rgb="FF006666"/>
        <rFont val="Calibri"/>
        <family val="2"/>
        <scheme val="minor"/>
      </rPr>
      <t xml:space="preserve"> [480V]</t>
    </r>
  </si>
  <si>
    <t>40 kW, 480Vac, three phases, 3/N/PE, Transformerless Grid Support Utility Interactive Inverter</t>
  </si>
  <si>
    <r>
      <t>SPR-X21-350-BLK-E-AC</t>
    </r>
    <r>
      <rPr>
        <sz val="11"/>
        <color rgb="FF006666"/>
        <rFont val="Calibri"/>
        <family val="2"/>
        <scheme val="minor"/>
      </rPr>
      <t xml:space="preserve"> [208V]</t>
    </r>
  </si>
  <si>
    <t>350 W, 208 Vac, Grid Support Utility Interactive, monocrystalline ACPV module, black backsheet. DC Module: SPR-X21-350-BLK. Micro-inverter: IQ7XS-96-y-ACM-z [208V].</t>
  </si>
  <si>
    <t>[09/22/2018]</t>
  </si>
  <si>
    <r>
      <t>SPR-X21-335-BLK-E-AC</t>
    </r>
    <r>
      <rPr>
        <sz val="11"/>
        <color rgb="FF006666"/>
        <rFont val="Calibri"/>
        <family val="2"/>
        <scheme val="minor"/>
      </rPr>
      <t xml:space="preserve"> [208V]</t>
    </r>
  </si>
  <si>
    <t>335 W, 208 Vac, Grid Support Utility Interactive, monocrystalline ACPV module, black backsheet. DC Module: SPR-X21-335-BLK. Micro-inverter: IQ7XS-96-y-ACM-z [208V].</t>
  </si>
  <si>
    <r>
      <t>SPR-X20-327-BLK-E-AC</t>
    </r>
    <r>
      <rPr>
        <sz val="11"/>
        <color rgb="FF006666"/>
        <rFont val="Calibri"/>
        <family val="2"/>
        <scheme val="minor"/>
      </rPr>
      <t xml:space="preserve"> [208V]</t>
    </r>
  </si>
  <si>
    <t>327 W, 208 Vac, Grid Support Utility Interactive, monocrystalline ACPV module, black backsheet. DC Module: SPR-X20-327-BLK. Micro-inverter: IQ7XS-96-y-ACM-z [208V].</t>
  </si>
  <si>
    <r>
      <t>SPR-X21-350-BLK-E-AC</t>
    </r>
    <r>
      <rPr>
        <sz val="11"/>
        <color rgb="FF006666"/>
        <rFont val="Calibri"/>
        <family val="2"/>
        <scheme val="minor"/>
      </rPr>
      <t xml:space="preserve"> [240V]</t>
    </r>
  </si>
  <si>
    <t>350 W, 240 Vac, Grid Support Utility Interactive, monocrystalline ACPV module, black backsheet. DC Module: SPR-X21-350-BLK. Micro-inverter: IQ7XS-96-y-ACM-z [240V].</t>
  </si>
  <si>
    <r>
      <t xml:space="preserve">SPR-X21-335-BLK-E-AC </t>
    </r>
    <r>
      <rPr>
        <sz val="11"/>
        <color rgb="FF006666"/>
        <rFont val="Calibri"/>
        <family val="2"/>
        <scheme val="minor"/>
      </rPr>
      <t>[240V]</t>
    </r>
  </si>
  <si>
    <t>335 W, 240 Vac, Grid Support Utility Interactive, monocrystalline ACPV module, black backsheet. DC Module: SPR-X21-335-BLK. Micro-inverter: IQ7XS-96-y-ACM-z [240V].</t>
  </si>
  <si>
    <r>
      <t>SPR-X20-327-BLK-E-AC</t>
    </r>
    <r>
      <rPr>
        <sz val="11"/>
        <color rgb="FF006666"/>
        <rFont val="Calibri"/>
        <family val="2"/>
        <scheme val="minor"/>
      </rPr>
      <t xml:space="preserve"> [240V]</t>
    </r>
  </si>
  <si>
    <t>327 W, 240 Vac, Grid Support Utility Interactive, monocrystalline ACPV module, black backsheet. DC Module: SPR-X20-327-BLK. Micro-inverter: IQ7XS-96-y-ACM-z [240V].</t>
  </si>
  <si>
    <t>370 W, 208 Vac, Grid Support Utility Interactive, monocrystalline ACPV module, white backsheet. DC Module: SPR-X22-370. Micro-inverter: IQ7XS-96-y-ACM-z [208V].</t>
  </si>
  <si>
    <r>
      <t>SPR-X22-360-E-AC</t>
    </r>
    <r>
      <rPr>
        <sz val="11"/>
        <color rgb="FF006666"/>
        <rFont val="Calibri"/>
        <family val="2"/>
        <scheme val="minor"/>
      </rPr>
      <t xml:space="preserve"> [208V]</t>
    </r>
  </si>
  <si>
    <t>360 W, 208 Vac, Grid Support Utility Interactive, monocrystalline ACPV module, white backsheet. DC Module: SPR-X22-360. Micro-inverter: IQ7XS-96-y-ACM-z [208V].</t>
  </si>
  <si>
    <r>
      <t>SPR-X21-345-E-AC</t>
    </r>
    <r>
      <rPr>
        <sz val="11"/>
        <color rgb="FF006666"/>
        <rFont val="Calibri"/>
        <family val="2"/>
        <scheme val="minor"/>
      </rPr>
      <t xml:space="preserve"> [208V]</t>
    </r>
  </si>
  <si>
    <t>345 W, 208 Vac, Grid Support Utility Interactive, monocrystalline ACPV module, white backsheet. DC Module: SPR-X21-345. Micro-inverter: IQ7XS-96-y-ACM-z [208V].</t>
  </si>
  <si>
    <r>
      <t>SPR-X21-335-E-AC</t>
    </r>
    <r>
      <rPr>
        <sz val="11"/>
        <color rgb="FF006666"/>
        <rFont val="Calibri"/>
        <family val="2"/>
        <scheme val="minor"/>
      </rPr>
      <t xml:space="preserve"> [208V]</t>
    </r>
  </si>
  <si>
    <t>335 W, 208 Vac, Grid Support Utility Interactive, monocrystalline ACPV module, white backsheet. DC Module: SPR-X21-335. Micro-inverter: IQ7XS-96-y-ACM-z [208V].</t>
  </si>
  <si>
    <r>
      <t>SPR-X20-327-E-AC</t>
    </r>
    <r>
      <rPr>
        <sz val="11"/>
        <color rgb="FF006666"/>
        <rFont val="Calibri"/>
        <family val="2"/>
        <scheme val="minor"/>
      </rPr>
      <t xml:space="preserve"> [208V]</t>
    </r>
  </si>
  <si>
    <t>327 W, 208 Vac, Grid Support Utility Interactive, monocrystalline ACPV module, white backsheet. DC Module: SPR-X20-327. Micro-inverter: IQ7XS-96-y-ACM-z [208V].</t>
  </si>
  <si>
    <r>
      <t>SPR-X22-370-E-AC</t>
    </r>
    <r>
      <rPr>
        <sz val="11"/>
        <color rgb="FF006666"/>
        <rFont val="Calibri"/>
        <family val="2"/>
        <scheme val="minor"/>
      </rPr>
      <t xml:space="preserve"> [240V]</t>
    </r>
  </si>
  <si>
    <t>370 W, 240 Vac, Grid Support Utility Interactive, monocrystalline ACPV module, white backsheet. DC Module: SPR-X22-370. Micro-inverter: IQ7XS-96-y-ACM-z [240V].</t>
  </si>
  <si>
    <r>
      <t>SPR-X22-360-E-AC</t>
    </r>
    <r>
      <rPr>
        <sz val="11"/>
        <color rgb="FF006666"/>
        <rFont val="Calibri"/>
        <family val="2"/>
        <scheme val="minor"/>
      </rPr>
      <t xml:space="preserve"> [240V]</t>
    </r>
  </si>
  <si>
    <t>360 W, 240 Vac, Grid Support Utility Interactive, monocrystalline ACPV module, white backsheet. DC Module: SPR-X22-360. Micro-inverter: IQ7XS-96-y-ACM-z [240V].</t>
  </si>
  <si>
    <r>
      <t>SPR-X21-345-E-AC</t>
    </r>
    <r>
      <rPr>
        <sz val="11"/>
        <color rgb="FF006666"/>
        <rFont val="Calibri"/>
        <family val="2"/>
        <scheme val="minor"/>
      </rPr>
      <t xml:space="preserve"> [240V]</t>
    </r>
  </si>
  <si>
    <t>345 W, 240 Vac, Grid Support Utility Interactive, monocrystalline ACPV module, white backsheet. DC Module: SPR-X21-345. Micro-inverter: IQ7XS-96-y-ACM-z [240V].</t>
  </si>
  <si>
    <r>
      <t>SPR-X21-335-E-AC</t>
    </r>
    <r>
      <rPr>
        <sz val="11"/>
        <color rgb="FF006666"/>
        <rFont val="Calibri"/>
        <family val="2"/>
        <scheme val="minor"/>
      </rPr>
      <t xml:space="preserve"> [240V]</t>
    </r>
  </si>
  <si>
    <t>335 W, 240 Vac, Grid Support Utility Interactive, monocrystalline ACPV module, white backsheet. DC Module: SPR-X21-335. Micro-inverter: IQ7XS-96-y-ACM-z [240V].</t>
  </si>
  <si>
    <r>
      <t>SPR-X20-327-E-AC</t>
    </r>
    <r>
      <rPr>
        <sz val="11"/>
        <color rgb="FF006666"/>
        <rFont val="Calibri"/>
        <family val="2"/>
        <scheme val="minor"/>
      </rPr>
      <t xml:space="preserve"> [240V]</t>
    </r>
  </si>
  <si>
    <t>327 W, 240 Vac, Grid Support Utility Interactive, monocrystalline ACPV module, white backsheet. DC Module: SPR-X20-327. Micro-inverter: IQ7XS-96-y-ACM-z [240V].</t>
  </si>
  <si>
    <t>ONE SUN, MEXICO S.A. DE C.V.</t>
  </si>
  <si>
    <r>
      <t>1S480-10k</t>
    </r>
    <r>
      <rPr>
        <sz val="11"/>
        <color rgb="FF006666"/>
        <rFont val="Calibri"/>
        <family val="2"/>
        <scheme val="minor"/>
      </rPr>
      <t xml:space="preserve"> [480V]</t>
    </r>
  </si>
  <si>
    <t>10 kW, 480 Vac, Grid Support Utility Interactive Inverter</t>
  </si>
  <si>
    <t>[10/26/2018]</t>
  </si>
  <si>
    <t>Multiple Listing of HiQ Solar, TSXL480-10k</t>
  </si>
  <si>
    <t>[10/16/2018]</t>
  </si>
  <si>
    <r>
      <t>STP 33-US-41</t>
    </r>
    <r>
      <rPr>
        <sz val="11"/>
        <color rgb="FF006666"/>
        <rFont val="Calibri"/>
        <family val="2"/>
        <scheme val="minor"/>
      </rPr>
      <t xml:space="preserve"> [480V]</t>
    </r>
  </si>
  <si>
    <t>33.3 kW, 480 Vac, 3-phase, transformerless, Grid Support Utility Interactive Inverter</t>
  </si>
  <si>
    <t>[11/08/2018]</t>
  </si>
  <si>
    <t>[01.09.03.R]</t>
  </si>
  <si>
    <r>
      <t>STP 50-US-41</t>
    </r>
    <r>
      <rPr>
        <sz val="11"/>
        <color rgb="FF006666"/>
        <rFont val="Calibri"/>
        <family val="2"/>
        <scheme val="minor"/>
      </rPr>
      <t xml:space="preserve"> [480V]</t>
    </r>
  </si>
  <si>
    <t>50 kW, 480 Vac, 3-phase, transformerless, Grid Support Utility Interactive Inverter</t>
  </si>
  <si>
    <r>
      <t>STP 62-US-41</t>
    </r>
    <r>
      <rPr>
        <sz val="11"/>
        <color rgb="FF006666"/>
        <rFont val="Calibri"/>
        <family val="2"/>
        <scheme val="minor"/>
      </rPr>
      <t xml:space="preserve"> [480V]</t>
    </r>
  </si>
  <si>
    <t>62.5 kW, 480 Vac, 3-phase, transformerless, Grid Support Utility Interactive Inverter</t>
  </si>
  <si>
    <r>
      <t>SPR-E19-320-E-AC</t>
    </r>
    <r>
      <rPr>
        <sz val="11"/>
        <color rgb="FF006666"/>
        <rFont val="Calibri"/>
        <family val="2"/>
        <scheme val="minor"/>
      </rPr>
      <t xml:space="preserve"> [208V]</t>
    </r>
  </si>
  <si>
    <t>This component is specific to ACPV modules and is not available as an individual unit</t>
  </si>
  <si>
    <r>
      <t>SPR-E19-320-E-AC</t>
    </r>
    <r>
      <rPr>
        <sz val="11"/>
        <color rgb="FF006666"/>
        <rFont val="Calibri"/>
        <family val="2"/>
        <scheme val="minor"/>
      </rPr>
      <t xml:space="preserve"> [240V]</t>
    </r>
  </si>
  <si>
    <r>
      <t>SPR-E20-327-E-AC</t>
    </r>
    <r>
      <rPr>
        <sz val="11"/>
        <color rgb="FF006666"/>
        <rFont val="Calibri"/>
        <family val="2"/>
        <scheme val="minor"/>
      </rPr>
      <t xml:space="preserve"> [208V]</t>
    </r>
  </si>
  <si>
    <r>
      <t>SPR-E20-327-E-AC</t>
    </r>
    <r>
      <rPr>
        <sz val="11"/>
        <color rgb="FF006666"/>
        <rFont val="Calibri"/>
        <family val="2"/>
        <scheme val="minor"/>
      </rPr>
      <t xml:space="preserve"> [240V]</t>
    </r>
  </si>
  <si>
    <t>327 W, 240 Vac, Grid Support Utility Interactive,  monocrystalline ACPV Module, white backsheet. DC Module:  SPR-E20-327. Micro-inverter:  IQ7XS-96-y-ACM-z [240V].</t>
  </si>
  <si>
    <t>327 W, 208 Vac, Grid Support Utility Interactive, monocrystalline ACPV Module, white backsheet. DC Module:  SPR-E20-327. Micro-inverter:  IQ7XS-96-y-ACM-z [208V].</t>
  </si>
  <si>
    <t>320 W, 240 Vac, Grid Support Utility Interactive, monocrystalline ACPV Module, white backsheet. DC Module:  SPR-E19-320. Micro-inverter:  IQ7XS-96-y-ACM-z [240V].</t>
  </si>
  <si>
    <t>320 W, 208 Vac, Grid Support Utility Interactive, monocrystalline ACPV Module, white backsheet. DC Module:  SPR-E19-320. Micro-inverter:  IQ7XS-96-y-ACM-z [208V].</t>
  </si>
  <si>
    <t>UL 1741 Supplement SA Testing</t>
  </si>
  <si>
    <t>UL 1741 SA13 Volt-Var</t>
  </si>
  <si>
    <t>UL 1741 SA
Freq-Watt
Volt-Watt</t>
  </si>
  <si>
    <t>Common Smart Inverter Profile Conformance</t>
  </si>
  <si>
    <t>SA8-SA13</t>
  </si>
  <si>
    <r>
      <t>RPP</t>
    </r>
    <r>
      <rPr>
        <b/>
        <vertAlign val="superscript"/>
        <sz val="12"/>
        <color theme="1"/>
        <rFont val="Calibri"/>
        <family val="2"/>
        <scheme val="minor"/>
      </rPr>
      <t>2</t>
    </r>
  </si>
  <si>
    <t>SA14-SA15</t>
  </si>
  <si>
    <t>CSIP</t>
  </si>
  <si>
    <r>
      <t>UL 1741 Supplement SA 
Certification (SA8-SA13)</t>
    </r>
    <r>
      <rPr>
        <b/>
        <vertAlign val="superscript"/>
        <sz val="12"/>
        <color theme="1"/>
        <rFont val="Calibri"/>
        <family val="2"/>
        <scheme val="minor"/>
      </rPr>
      <t>3</t>
    </r>
  </si>
  <si>
    <t>Certifying Entity</t>
  </si>
  <si>
    <t>CSIP Certification</t>
  </si>
  <si>
    <t>TUV Rheinland of North America</t>
  </si>
  <si>
    <t>CSA Group</t>
  </si>
  <si>
    <t>Intertek</t>
  </si>
  <si>
    <t>TUV SUD America</t>
  </si>
  <si>
    <t>UL</t>
  </si>
  <si>
    <t>SGS North America</t>
  </si>
  <si>
    <t>Grid Support Inverter List (Full Data)</t>
  </si>
  <si>
    <t xml:space="preserve">% Equipment is in the process of being removed from the list of eligible equipment pursuant to Appendix A, Section B, of the Guidelines for California's Solar Electric Incentive Programs (Senate Bill 1) at:  </t>
  </si>
  <si>
    <r>
      <t xml:space="preserve">(2) </t>
    </r>
    <r>
      <rPr>
        <b/>
        <sz val="11"/>
        <color theme="1"/>
        <rFont val="Calibri"/>
        <family val="2"/>
        <scheme val="minor"/>
      </rPr>
      <t>RPP</t>
    </r>
    <r>
      <rPr>
        <sz val="11"/>
        <color theme="1"/>
        <rFont val="Calibri"/>
        <family val="2"/>
        <scheme val="minor"/>
      </rPr>
      <t>: UL 1741 SA13 tested with reactive power priority (when operating at apparent power capacity, inverter will reduce active power as needed to ensure curve-required reactive power is provided)</t>
    </r>
  </si>
  <si>
    <t>(3) The listed Firmware Version is the version that was used during the inverter's UL 1741 Supplement SA testing and was certified on the listed Certificate Date; multiple firmware versions may be listed for a single certificate date if all are required to comply with Supplement SA. Multiple certificate dates with different firmware versions may be listed if new firmware versions were certified under Supplement SA and reported by the manufacturer. Additional firmware versions may be certified but not reported. Check with NRTL for the most current information.</t>
  </si>
  <si>
    <t>* Microinverter has not been certified according to CSIP. Manufacturer declared that microinverter complies with CSIP when installed with certified external device mentioned in Notes. Certification information pertains to external device.</t>
  </si>
  <si>
    <t>Grid Support Listing Date</t>
  </si>
  <si>
    <r>
      <t xml:space="preserve">GROWATT 4000MTLP-US </t>
    </r>
    <r>
      <rPr>
        <sz val="11"/>
        <color rgb="FF006666"/>
        <rFont val="Calibri"/>
        <family val="2"/>
        <scheme val="minor"/>
      </rPr>
      <t>[208V]</t>
    </r>
  </si>
  <si>
    <r>
      <t>GROWATT 4000MTLP-US</t>
    </r>
    <r>
      <rPr>
        <sz val="11"/>
        <color rgb="FF006666"/>
        <rFont val="Calibri"/>
        <family val="2"/>
        <scheme val="minor"/>
      </rPr>
      <t xml:space="preserve"> [240V]</t>
    </r>
  </si>
  <si>
    <r>
      <t xml:space="preserve">GROWATT 4000MTLP-US </t>
    </r>
    <r>
      <rPr>
        <sz val="11"/>
        <color rgb="FF006666"/>
        <rFont val="Calibri"/>
        <family val="2"/>
        <scheme val="minor"/>
      </rPr>
      <t>[277V]</t>
    </r>
  </si>
  <si>
    <r>
      <t xml:space="preserve">GROWATT 5000MTLP-US </t>
    </r>
    <r>
      <rPr>
        <sz val="11"/>
        <color rgb="FF006666"/>
        <rFont val="Calibri"/>
        <family val="2"/>
        <scheme val="minor"/>
      </rPr>
      <t>[208V]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</si>
  <si>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</si>
  <si>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</si>
  <si>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</si>
  <si>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</si>
  <si>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</si>
  <si>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</si>
  <si>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</si>
  <si>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</si>
  <si>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</si>
  <si>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8000MTLP-US </t>
    </r>
    <r>
      <rPr>
        <sz val="11"/>
        <color rgb="FF006666"/>
        <rFont val="Calibri"/>
        <family val="2"/>
        <scheme val="minor"/>
      </rPr>
      <t>[208V]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</si>
  <si>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</si>
  <si>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</si>
  <si>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9000MTLP-US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</si>
  <si>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</si>
  <si>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</si>
  <si>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</si>
  <si>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</si>
  <si>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</si>
  <si>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</si>
  <si>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</si>
  <si>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SUN2000-100KTL-USH0 </t>
    </r>
    <r>
      <rPr>
        <sz val="11"/>
        <color rgb="FF006666"/>
        <rFont val="Calibri"/>
        <family val="2"/>
        <scheme val="minor"/>
      </rPr>
      <t>[800V]</t>
    </r>
  </si>
  <si>
    <t>100 kW, 800 Vac, 3-phase transformerless Grid Support Utility Interactive Inverter </t>
  </si>
  <si>
    <t>[SUN2000HA V200 R001]</t>
  </si>
  <si>
    <t>[10/31/2018]</t>
  </si>
  <si>
    <t xml:space="preserve">EPC Power Corp. </t>
  </si>
  <si>
    <r>
      <t>HY LC12/6-7</t>
    </r>
    <r>
      <rPr>
        <sz val="11"/>
        <color rgb="FF006666"/>
        <rFont val="Calibri"/>
        <family val="2"/>
        <scheme val="minor"/>
      </rPr>
      <t xml:space="preserve"> [480V]</t>
    </r>
  </si>
  <si>
    <t>[09/25/2018]</t>
  </si>
  <si>
    <t>[042C314]</t>
  </si>
  <si>
    <r>
      <t xml:space="preserve">220 </t>
    </r>
    <r>
      <rPr>
        <sz val="10"/>
        <color theme="1"/>
        <rFont val="Calibri"/>
        <family val="2"/>
        <scheme val="minor"/>
      </rPr>
      <t>k</t>
    </r>
    <r>
      <rPr>
        <sz val="11"/>
        <color theme="1"/>
        <rFont val="Calibri"/>
        <family val="2"/>
        <scheme val="minor"/>
      </rPr>
      <t>VA</t>
    </r>
    <r>
      <rPr>
        <sz val="10"/>
        <color theme="1"/>
        <rFont val="Calibri"/>
        <family val="2"/>
        <scheme val="minor"/>
      </rPr>
      <t xml:space="preserve">, </t>
    </r>
    <r>
      <rPr>
        <sz val="11"/>
        <color theme="1"/>
        <rFont val="Calibri"/>
        <family val="2"/>
        <scheme val="minor"/>
      </rPr>
      <t xml:space="preserve">480 </t>
    </r>
    <r>
      <rPr>
        <sz val="10"/>
        <color theme="1"/>
        <rFont val="Calibri"/>
        <family val="2"/>
        <scheme val="minor"/>
      </rPr>
      <t>Vac</t>
    </r>
    <r>
      <rPr>
        <sz val="11"/>
        <color theme="1"/>
        <rFont val="Calibri"/>
        <family val="2"/>
        <scheme val="minor"/>
      </rPr>
      <t>, 3 phase</t>
    </r>
    <r>
      <rPr>
        <sz val="10"/>
        <color theme="1"/>
        <rFont val="Calibri"/>
        <family val="2"/>
        <scheme val="minor"/>
      </rPr>
      <t xml:space="preserve"> Grid Support Utility Interactive Hybrid Inverter with PV MPPT and DC input</t>
    </r>
  </si>
  <si>
    <t>45kW, 600 Vac, Transformerlss Grid Support Utility Interactive Inverter</t>
  </si>
  <si>
    <t>Chilicon Power, LLC</t>
  </si>
  <si>
    <t>9.975 kW, 480 Vac Grid Support Utility Interactive Inverter    </t>
  </si>
  <si>
    <t>1200 W, 240 Vac, 60 Hz Grid Support Utility Interactive Inverter    </t>
  </si>
  <si>
    <t xml:space="preserve">1000 kW, 540 Vac Grid Support Utility Interactive Storage Inverter,  bi-directional for use with battery management system, intended to be used in conjunction with a 1000 KVA (min) rated isolation transformer
 </t>
  </si>
  <si>
    <t>[09/19/2019]</t>
  </si>
  <si>
    <t>[DSP_SC1000KU_V1_B_M]</t>
  </si>
  <si>
    <t>Efficiency data inclusive of transformer effect based on 1000 kVA Low-Voltage Dry-Type Distribution Transformers Table in DOE2016.</t>
  </si>
  <si>
    <t>720 W, 208 Vac, Grid Support Utility Interactive Twin Microinverter (2 PV modules per inverter)</t>
  </si>
  <si>
    <t>[12/17/2018]</t>
  </si>
  <si>
    <t>[3441]</t>
  </si>
  <si>
    <t>720 W, 204 Vac, Grid Support Utility Interactive Twin Microinverter (2 PV modules per inverter)</t>
  </si>
  <si>
    <t xml:space="preserve">250 kW, 480 Vac Grid Support Utility Interactive Storage Inverter, bi-directional for use with battery management system
</t>
  </si>
  <si>
    <r>
      <t xml:space="preserve">CP-720-60/72/96-208/240-MC4 </t>
    </r>
    <r>
      <rPr>
        <sz val="11"/>
        <color rgb="FF006666"/>
        <rFont val="Calibri"/>
        <family val="2"/>
        <scheme val="minor"/>
      </rPr>
      <t>[240V]</t>
    </r>
  </si>
  <si>
    <r>
      <t xml:space="preserve">CP-720-60/72/96-208/240-MC4 </t>
    </r>
    <r>
      <rPr>
        <sz val="11"/>
        <color rgb="FF006666"/>
        <rFont val="Calibri"/>
        <family val="2"/>
        <scheme val="minor"/>
      </rPr>
      <t>[208V]</t>
    </r>
  </si>
  <si>
    <r>
      <t xml:space="preserve">Q1200-4102 </t>
    </r>
    <r>
      <rPr>
        <sz val="11"/>
        <color rgb="FF006666"/>
        <rFont val="Calibri"/>
        <family val="2"/>
        <scheme val="minor"/>
      </rPr>
      <t>[240V]</t>
    </r>
  </si>
  <si>
    <r>
      <t xml:space="preserve">SC250KU </t>
    </r>
    <r>
      <rPr>
        <sz val="11"/>
        <color rgb="FF006666"/>
        <rFont val="Calibri"/>
        <family val="2"/>
        <scheme val="minor"/>
      </rPr>
      <t>[480V]</t>
    </r>
  </si>
  <si>
    <r>
      <t xml:space="preserve">SC1000KU </t>
    </r>
    <r>
      <rPr>
        <sz val="11"/>
        <color rgb="FF006666"/>
        <rFont val="Calibri"/>
        <family val="2"/>
        <scheme val="minor"/>
      </rPr>
      <t>[540V]</t>
    </r>
  </si>
  <si>
    <r>
      <t xml:space="preserve">SPR-X22-370-E-AC </t>
    </r>
    <r>
      <rPr>
        <sz val="11"/>
        <color rgb="FF006666"/>
        <rFont val="Calibri"/>
        <family val="2"/>
        <scheme val="minor"/>
      </rPr>
      <t>[208V]</t>
    </r>
  </si>
  <si>
    <t>[11/22/2018]</t>
  </si>
  <si>
    <t>10 kW, 480 Vac, 3 phase Grid Support Utility Interactive Inverter    </t>
  </si>
  <si>
    <t>[11/27/2018]</t>
  </si>
  <si>
    <t>Multiple Listing of HiQ Solar, Inc., TSXL480-10k.</t>
  </si>
  <si>
    <t>Multiple Listing of ONE SUN, MEXICO S.A. DE C.V., 1S480-10k and OutBack Power Technologies, Inc., PHXL480-10k.</t>
  </si>
  <si>
    <t>[10/16/2017];[03/28/2018]</t>
  </si>
  <si>
    <t>[ReCerbo V0.3.14.8
Roach V0.26.18.0
Guard V0.10.7.0];[ReCerbo V0.3.14.8,
Roach V0.26.25.0
Guard V0.10.9.0]</t>
  </si>
  <si>
    <t>[7/27/2017];[03/28/2018]</t>
  </si>
  <si>
    <t>[ReCerbo V0.3.14.7, Roach V0.26.9.0, Guard V0.10.2.10];[ReCerbo V0.3.14.8, Roach V0.26.25.0, Guard V0.10.9.0]</t>
  </si>
  <si>
    <t>[7/11/2017];[06/07/2018];[06/07/2018]</t>
  </si>
  <si>
    <t>[15732];[16143];[16332]</t>
  </si>
  <si>
    <t>[06/07/2018]</t>
  </si>
  <si>
    <t>320 W, 208 Vac, Grid Support Utility Interactive, monocrystalline ACPV Module, white backsheet. DC Module:  SPR-E19-320. Micro-inverter:  MI-C-320-US208/240-1X [208V].</t>
  </si>
  <si>
    <t>[10/03/2017]</t>
  </si>
  <si>
    <t>327 W, 208 Vac, Grid Support Utility Interactive, monocrystalline ACPV Module, white backsheet. DC Module: SPR-E20-327. Micro-inverter:  MI-C-320-US208/240-1X [208V].</t>
  </si>
  <si>
    <t>335 W, 208 Vac, Grid Support Utility Interactive, monocrystalline ACPV Module, white backsheet. DC Module:  SPR-X21-335. Micro-inverter:  MI-C-320-US208/240-1X [208V].</t>
  </si>
  <si>
    <t>320 W, 240 Vac, Grid Support Utility Interactive, monocrystalline ACPV Module, white backsheet. DC Module:  SPR-E19-320. Micro-inverter:  MI-C-320-US208/240-1X [240V].</t>
  </si>
  <si>
    <t>327 W, 240 Vac, Grid Support Utility Interactive, monocrystalline ACPV Module, white backsheet. DC Module: SPR-E20-327. Micro-inverter:  MI-C-320-US208/240-1X [240V].</t>
  </si>
  <si>
    <t>335 W, 240 Vac, Grid Support Utility Interactive, monocrystalline ACPV Module, white backsheet. DC Module:  SPR-X21-335. Micro-inverter:  MI-C-320-US208/240-1X [240V].</t>
  </si>
  <si>
    <t>345 W, 208 Vac, Grid Support Utility Interactive, monocrystalline ACPV Module, white backsheet. DC Module:  SPR-X21-345. Micro-inverter:  MI-C-320-US208/240-1X [208V].</t>
  </si>
  <si>
    <t>360 W, 208 Vac, Grid Support Utility Interactive, monocrystalline ACPV Module, white backsheet. DC Module:  SPR-X22-360. Micro-inverter:  MI-C-320-US208/240-1X [208V].</t>
  </si>
  <si>
    <t>370 W, 208 Vac, Grid Support Utility Interactive, monocrystalline ACPV Module, white backsheet. DC Module:  SPR-X22-370. Micro-inverter:  MI-C-320-US208/240-1X [208V].</t>
  </si>
  <si>
    <t>345 W, 240 Vac, Grid Support Utility Interactive, monocrystalline ACPV Module, white backsheet. DC Module:  SPR-X21-345. Micro-inverter:  MI-C-320-US208/240-1X [240V].</t>
  </si>
  <si>
    <t>360 W, 240 Vac, Grid Support Utility Interactive, monocrystalline ACPV Module, white backsheet. DC Module:  SPR-X22-360. Micro-inverter:  MI-C-320-US208/240-1X [240V].</t>
  </si>
  <si>
    <t>370 W, 240 Vac, Grid Support Utility Interactive, monocrystalline ACPV Module, white backsheet. DC Module:  SPR-X22-370. Micro-inverter:  MI-C-320-US208/240-1X [240V].</t>
  </si>
  <si>
    <r>
      <t xml:space="preserve">Fronius Symo Advanced 10.0-3 208-240 </t>
    </r>
    <r>
      <rPr>
        <sz val="11"/>
        <color rgb="FF006666"/>
        <rFont val="Calibri"/>
        <family val="2"/>
        <scheme val="minor"/>
      </rPr>
      <t>[208V]</t>
    </r>
  </si>
  <si>
    <r>
      <t xml:space="preserve">Fronius Symo Advanced 10.0-3 208-240 </t>
    </r>
    <r>
      <rPr>
        <sz val="11"/>
        <color rgb="FF006666"/>
        <rFont val="Calibri"/>
        <family val="2"/>
        <scheme val="minor"/>
      </rPr>
      <t>[240V]</t>
    </r>
  </si>
  <si>
    <r>
      <t xml:space="preserve">Fronius Symo Advanced 12.0-3 208-240 </t>
    </r>
    <r>
      <rPr>
        <sz val="11"/>
        <color rgb="FF006666"/>
        <rFont val="Calibri"/>
        <family val="2"/>
        <scheme val="minor"/>
      </rPr>
      <t>[240V]</t>
    </r>
  </si>
  <si>
    <r>
      <t xml:space="preserve">Fronius Symo Advanced 12.0-3 208-240 </t>
    </r>
    <r>
      <rPr>
        <sz val="11"/>
        <color rgb="FF006666"/>
        <rFont val="Calibri"/>
        <family val="2"/>
        <scheme val="minor"/>
      </rPr>
      <t>[208V]</t>
    </r>
  </si>
  <si>
    <r>
      <t xml:space="preserve">Fronius Symo Advanced 15.0-3 480 </t>
    </r>
    <r>
      <rPr>
        <sz val="11"/>
        <color rgb="FF006666"/>
        <rFont val="Calibri"/>
        <family val="2"/>
        <scheme val="minor"/>
      </rPr>
      <t>[480V]</t>
    </r>
  </si>
  <si>
    <r>
      <t xml:space="preserve">Fronius Symo Advanced 20.0-3 480 </t>
    </r>
    <r>
      <rPr>
        <sz val="11"/>
        <color rgb="FF006666"/>
        <rFont val="Calibri"/>
        <family val="2"/>
        <scheme val="minor"/>
      </rPr>
      <t>[480V]</t>
    </r>
  </si>
  <si>
    <r>
      <t xml:space="preserve">Fronius Symo Advanced 22.7-3 480 </t>
    </r>
    <r>
      <rPr>
        <sz val="11"/>
        <color rgb="FF006666"/>
        <rFont val="Calibri"/>
        <family val="2"/>
        <scheme val="minor"/>
      </rPr>
      <t>[480V]</t>
    </r>
  </si>
  <si>
    <r>
      <t xml:space="preserve">Fronius Symo Advanced 24.0-3 480  </t>
    </r>
    <r>
      <rPr>
        <sz val="11"/>
        <color rgb="FF006666"/>
        <rFont val="Calibri"/>
        <family val="2"/>
        <scheme val="minor"/>
      </rPr>
      <t>[480V]</t>
    </r>
  </si>
  <si>
    <r>
      <t xml:space="preserve">PHXL480-10k </t>
    </r>
    <r>
      <rPr>
        <sz val="11"/>
        <color rgb="FF006666"/>
        <rFont val="Calibri"/>
        <family val="2"/>
        <scheme val="minor"/>
      </rPr>
      <t>[480V]</t>
    </r>
  </si>
  <si>
    <r>
      <t xml:space="preserve">Fronius Symo 15.0-3 208 </t>
    </r>
    <r>
      <rPr>
        <sz val="11"/>
        <color rgb="FF006666"/>
        <rFont val="Calibri"/>
        <family val="2"/>
        <scheme val="minor"/>
      </rPr>
      <t>[208V]</t>
    </r>
  </si>
  <si>
    <t>[ReCerbo V0.3.14.8,
Roach V0.26.14.0,
Guard V0.10.9.0]</t>
  </si>
  <si>
    <t xml:space="preserve">Model number formerly listed as Fronius Symo 15.0-3 [208V]. </t>
  </si>
  <si>
    <r>
      <t>YC600</t>
    </r>
    <r>
      <rPr>
        <sz val="11"/>
        <color rgb="FF006666"/>
        <rFont val="Calibri"/>
        <family val="2"/>
        <scheme val="minor"/>
      </rPr>
      <t xml:space="preserve"> [240V]</t>
    </r>
  </si>
  <si>
    <t>[01/25/2019]</t>
  </si>
  <si>
    <r>
      <t>Fronius Primo 10.0-1 208-240</t>
    </r>
    <r>
      <rPr>
        <sz val="11"/>
        <color rgb="FF006666"/>
        <rFont val="Calibri"/>
        <family val="2"/>
        <scheme val="minor"/>
      </rPr>
      <t xml:space="preserve"> [208V]</t>
    </r>
  </si>
  <si>
    <r>
      <t>Fronius Primo 10.0-1 208-240</t>
    </r>
    <r>
      <rPr>
        <sz val="11"/>
        <color rgb="FF006666"/>
        <rFont val="Calibri"/>
        <family val="2"/>
        <scheme val="minor"/>
      </rPr>
      <t xml:space="preserve"> [240V]</t>
    </r>
  </si>
  <si>
    <r>
      <t>Fronius Primo 11.4-1 208-240</t>
    </r>
    <r>
      <rPr>
        <sz val="11"/>
        <color rgb="FF006666"/>
        <rFont val="Calibri"/>
        <family val="2"/>
        <scheme val="minor"/>
      </rPr>
      <t xml:space="preserve"> [208V]</t>
    </r>
  </si>
  <si>
    <r>
      <t>Fronius Primo 11.4-1 208-240</t>
    </r>
    <r>
      <rPr>
        <sz val="11"/>
        <color rgb="FF006666"/>
        <rFont val="Calibri"/>
        <family val="2"/>
        <scheme val="minor"/>
      </rPr>
      <t xml:space="preserve"> [240V]</t>
    </r>
  </si>
  <si>
    <r>
      <t>Fronius Primo 12.5-1 208-240</t>
    </r>
    <r>
      <rPr>
        <sz val="11"/>
        <color rgb="FF006666"/>
        <rFont val="Calibri"/>
        <family val="2"/>
        <scheme val="minor"/>
      </rPr>
      <t xml:space="preserve"> [208V]</t>
    </r>
  </si>
  <si>
    <r>
      <t>Fronius Primo 12.5-1 208-240</t>
    </r>
    <r>
      <rPr>
        <sz val="11"/>
        <color rgb="FF006666"/>
        <rFont val="Calibri"/>
        <family val="2"/>
        <scheme val="minor"/>
      </rPr>
      <t xml:space="preserve"> [240V]</t>
    </r>
  </si>
  <si>
    <r>
      <t>Fronius Primo 15.0-1 208-240</t>
    </r>
    <r>
      <rPr>
        <sz val="11"/>
        <color rgb="FF006666"/>
        <rFont val="Calibri"/>
        <family val="2"/>
        <scheme val="minor"/>
      </rPr>
      <t xml:space="preserve"> [208V]</t>
    </r>
  </si>
  <si>
    <r>
      <t>Fronius Primo 15.0-1 208-240</t>
    </r>
    <r>
      <rPr>
        <sz val="11"/>
        <color rgb="FF006666"/>
        <rFont val="Calibri"/>
        <family val="2"/>
        <scheme val="minor"/>
      </rPr>
      <t xml:space="preserve"> [240V]</t>
    </r>
  </si>
  <si>
    <t>25 kW, 480 Vac, 3-phase Grid Support Utility Interactive Inverter</t>
  </si>
  <si>
    <t>36 kW, 480 Vac, 3-phase Grid Support Utility Interactive Inverter</t>
  </si>
  <si>
    <t>40 kW, 480 Vac, 3-phase Grid Support Utility Interactive Inverter</t>
  </si>
  <si>
    <t>40 kW, 480 Vac, 3-phase Grid Support Utility Interactive Inverter with external Fan</t>
  </si>
  <si>
    <t>50 kW, 480 Vac, 3-phase Grid Support Utility Interactive Inverter</t>
  </si>
  <si>
    <t>50 kW, 480 Vac, Fanless, 3-phase Grid Support Utility Interactive Inverter</t>
  </si>
  <si>
    <t>60 kW, 480 Vac, 3-phase Grid Support Utility Interactive Inverter</t>
  </si>
  <si>
    <t>66 kW, 480 Vac, 3-phase Grid Support Utility Interactive Inverter</t>
  </si>
  <si>
    <t>1.2 kW, 240 Vac Grid Support Utility Interactive Microinverter</t>
  </si>
  <si>
    <t>[01/28/2019]</t>
  </si>
  <si>
    <t>25 kW, 480 Vac, 3-phase Grid Support Utility Interactive Inverter, with seperable wiring box</t>
  </si>
  <si>
    <t>[12/21/2018]</t>
  </si>
  <si>
    <t>30 kW, 480 Vac, 3-phase Grid Support Utility Interactive Inverter, with seperable wiring box</t>
  </si>
  <si>
    <t>36 kW, 480 Vac, 3-phase Grid Support Utility Interactive Inverter, with seperable wiring box</t>
  </si>
  <si>
    <t>40 kW, 480 Vac, 3-phase Grid Support Utility Interactive Inverter, with seperable wiring box</t>
  </si>
  <si>
    <t>36 kW, 480 Vac, 3-phase Grid Support Utility Interactive Inverter, with seperable wiring box and external Fan </t>
  </si>
  <si>
    <t>40 kW, 480 Vac, 3-phase Grid Support Utility Interactive Inverter, with seperable wiring box and external Fan   </t>
  </si>
  <si>
    <t>10 kW, 208 Vac, three phase Grid Support Utility Interactive Inverter with arc detector and meter</t>
  </si>
  <si>
    <t>[ReCerbo V0.3.17.2, Roach V0.28.4.0, Guard V0.11.05.3]</t>
  </si>
  <si>
    <t>10 kW, 240 Vac, three phase Grid Support Utility Interactive Inverter with arc detector and meter</t>
  </si>
  <si>
    <t>12 kW, 208 Vac, three phase Grid Support Utility Interactive Inverter with arc detector and meter</t>
  </si>
  <si>
    <t>12 kW, 240 Vac, three phase Grid Support Utility Interactive Inverter with arc detector and meter</t>
  </si>
  <si>
    <t>15 kW, 480 Vac, three phase Grid Support Utility Interactive Inverter with arc detector and meter</t>
  </si>
  <si>
    <t>20 kW, 480 Vac, three phase Grid Support Utility Interactive Inverter with arc detector and meter</t>
  </si>
  <si>
    <t>22.7 kW, 480 Vac, three phase Grid Support Utility Interactive Inverter with arc detector and meter</t>
  </si>
  <si>
    <t>24 kW, 480 Vac, three phase Grid Support Utility Interactive Inverter with arc detector and meter</t>
  </si>
  <si>
    <t>15 kW, 208 Vac, three phase Grid Support Utility Interactive Inverter with arc detector and meter</t>
  </si>
  <si>
    <t>10 kW, 480 Vac, three phase Grid Support Utility Interactive Inverter with arc detector and meter</t>
  </si>
  <si>
    <t>12.5 kW, 480 Vac, three phase Grid Support Utility Interactive Inverter with arc detector and meter</t>
  </si>
  <si>
    <t>17.5 kW, 480 Vac, three phase Grid Support Utility Interactive Inverter with arc detector and meter</t>
  </si>
  <si>
    <t>[7/7/2017];[12/21/2017]</t>
  </si>
  <si>
    <t>[ReCerbo V0.3.14.7, Roach V0.26.9.0, Guard V0.10.2.10];[ReCerbo V0.3.14.7, Roach V0.26.9.10, Guard V0.10.9.0]</t>
  </si>
  <si>
    <t>[ReCerbo V0.3.14.8
Roach V0.26.16.0
Guard V0.10.7.0];[ReCerbo V0.3.14.8
Roach V0.26.16.0
Guard V0.10.9.0]</t>
  </si>
  <si>
    <t xml:space="preserve">Model number formerly listed as Fronius Primo 10.0-1 [208V]. </t>
  </si>
  <si>
    <t xml:space="preserve">Model number formerly listed as Fronius Primo 10.0-1 [240V]. </t>
  </si>
  <si>
    <t xml:space="preserve">Model number formerly listed as Fronius Primo 11.4-1 [208V]. </t>
  </si>
  <si>
    <t xml:space="preserve">Model number formerly listed as Fronius Primo 11.4-1 [240V]. </t>
  </si>
  <si>
    <t xml:space="preserve">Model number formerly listed as Fronius Primo 12.5-1 [208V]. </t>
  </si>
  <si>
    <t xml:space="preserve">Model number formerly listed as Fronius Primo 12.5-1 [240V]. </t>
  </si>
  <si>
    <t xml:space="preserve">Model number formerly listed as Fronius Primo 15.0-1 [208V]. </t>
  </si>
  <si>
    <t xml:space="preserve">Model number formerly listed as Fronius Primo 15.0-1 [240V]. </t>
  </si>
  <si>
    <r>
      <t xml:space="preserve">QS1 </t>
    </r>
    <r>
      <rPr>
        <sz val="11"/>
        <color rgb="FF006666"/>
        <rFont val="Calibri"/>
        <family val="2"/>
        <scheme val="minor"/>
      </rPr>
      <t>[240V]</t>
    </r>
  </si>
  <si>
    <r>
      <t xml:space="preserve">QS1200 </t>
    </r>
    <r>
      <rPr>
        <sz val="11"/>
        <color rgb="FF006666"/>
        <rFont val="Calibri"/>
        <family val="2"/>
        <scheme val="minor"/>
      </rPr>
      <t>[240V]</t>
    </r>
  </si>
  <si>
    <r>
      <t xml:space="preserve">Solis-25K-US-SW </t>
    </r>
    <r>
      <rPr>
        <sz val="11"/>
        <color rgb="FF006666"/>
        <rFont val="Calibri"/>
        <family val="2"/>
        <scheme val="minor"/>
      </rPr>
      <t>[480V]</t>
    </r>
  </si>
  <si>
    <r>
      <t xml:space="preserve">Solis-30K-US-SW </t>
    </r>
    <r>
      <rPr>
        <sz val="11"/>
        <color rgb="FF006666"/>
        <rFont val="Calibri"/>
        <family val="2"/>
        <scheme val="minor"/>
      </rPr>
      <t>[480V]</t>
    </r>
  </si>
  <si>
    <r>
      <t xml:space="preserve">Solis-36K-US-F-SW </t>
    </r>
    <r>
      <rPr>
        <sz val="11"/>
        <color rgb="FF006666"/>
        <rFont val="Calibri"/>
        <family val="2"/>
        <scheme val="minor"/>
      </rPr>
      <t>[480V]</t>
    </r>
  </si>
  <si>
    <r>
      <t xml:space="preserve">Solis-36K-US-SW </t>
    </r>
    <r>
      <rPr>
        <sz val="11"/>
        <color rgb="FF006666"/>
        <rFont val="Calibri"/>
        <family val="2"/>
        <scheme val="minor"/>
      </rPr>
      <t>[480V]</t>
    </r>
  </si>
  <si>
    <r>
      <t xml:space="preserve">Solis-40K-US-F-SW </t>
    </r>
    <r>
      <rPr>
        <sz val="11"/>
        <color rgb="FF006666"/>
        <rFont val="Calibri"/>
        <family val="2"/>
        <scheme val="minor"/>
      </rPr>
      <t>[480V]</t>
    </r>
  </si>
  <si>
    <r>
      <t xml:space="preserve">Solis-40K-US-SW </t>
    </r>
    <r>
      <rPr>
        <sz val="11"/>
        <color rgb="FF006666"/>
        <rFont val="Calibri"/>
        <family val="2"/>
        <scheme val="minor"/>
      </rPr>
      <t>[480V]</t>
    </r>
  </si>
  <si>
    <t>3000 kW, 34 kV, Grid Support Utility Interactive Inverter with internal transformer</t>
  </si>
  <si>
    <t>MET</t>
  </si>
  <si>
    <t>[05/23/2018]</t>
  </si>
  <si>
    <t>[1.0.0.]</t>
  </si>
  <si>
    <t>Inverters are modular and can be composed by 4 or 6 modules. No differences between modules, they use the same components. Each module can have a different internal working voltage (600V, 615V, 630V, 645V, 660V) but the equipment always incorporates internal Medium Voltage transformer (ABB Model: 1LES500018-000), in order to provide the same maximum output voltage (34.5 kV + or - 10%).</t>
  </si>
  <si>
    <t>2840 kW, 34 kV, Grid Support Utility Interactive Inverter with internal transformer</t>
  </si>
  <si>
    <t>2000 kW, 34 kV, Grid Support Utility Interactive Inverter with internal transformer</t>
  </si>
  <si>
    <t>3150 kW, 34 kV, Grid Support Utility Interactive Inverter with internal transformer</t>
  </si>
  <si>
    <t>3225 kW, 34 kV, Grid Support Utility Interactive Inverter with internal transformer</t>
  </si>
  <si>
    <t>NeoVolta Inc.</t>
  </si>
  <si>
    <t>7680 W, 208 Vac, 1-phase hybrid Grid Support Utility Interactive Inverter that works with PV and energy storage.</t>
  </si>
  <si>
    <t>SGS</t>
  </si>
  <si>
    <t>[02/18/2019]</t>
  </si>
  <si>
    <t>[Ver1585]</t>
  </si>
  <si>
    <t>7680W, 240 Vac, 1-phase hybrid Grid Support Utility Interactive Inverter that works with PV and energy storage.</t>
  </si>
  <si>
    <t>290 W, 208 Vac Grid Support Utility Interactive Microinverter, where x=blank or NM</t>
  </si>
  <si>
    <t>[01/09/2019]</t>
  </si>
  <si>
    <t>[V04.17.01]</t>
  </si>
  <si>
    <t>349 W, 240 Vac Grid Support Utility Interactive Microinverter, where x=blank or NM</t>
  </si>
  <si>
    <r>
      <t xml:space="preserve">IQ7AS-66-ACM-US-x </t>
    </r>
    <r>
      <rPr>
        <sz val="11"/>
        <color rgb="FF006666"/>
        <rFont val="Calibri"/>
        <family val="2"/>
        <scheme val="minor"/>
      </rPr>
      <t>[208V]</t>
    </r>
  </si>
  <si>
    <r>
      <t xml:space="preserve">IQ7AS-66-ACM-US-x </t>
    </r>
    <r>
      <rPr>
        <sz val="11"/>
        <color rgb="FF006666"/>
        <rFont val="Calibri"/>
        <family val="2"/>
        <scheme val="minor"/>
      </rPr>
      <t>[240V]</t>
    </r>
  </si>
  <si>
    <r>
      <t xml:space="preserve">NV7600 </t>
    </r>
    <r>
      <rPr>
        <sz val="11"/>
        <color rgb="FF006666"/>
        <rFont val="Calibri"/>
        <family val="2"/>
        <scheme val="minor"/>
      </rPr>
      <t>[208V]</t>
    </r>
  </si>
  <si>
    <r>
      <t xml:space="preserve">NV7600 </t>
    </r>
    <r>
      <rPr>
        <sz val="11"/>
        <color rgb="FF006666"/>
        <rFont val="Calibri"/>
        <family val="2"/>
        <scheme val="minor"/>
      </rPr>
      <t>[240V]</t>
    </r>
  </si>
  <si>
    <r>
      <t xml:space="preserve">FS2000M </t>
    </r>
    <r>
      <rPr>
        <sz val="11"/>
        <color rgb="FF006666"/>
        <rFont val="Calibri"/>
        <family val="2"/>
        <scheme val="minor"/>
      </rPr>
      <t>[34000V]</t>
    </r>
  </si>
  <si>
    <r>
      <t xml:space="preserve">FS2840M </t>
    </r>
    <r>
      <rPr>
        <sz val="11"/>
        <color rgb="FF006666"/>
        <rFont val="Calibri"/>
        <family val="2"/>
        <scheme val="minor"/>
      </rPr>
      <t>[34000V]</t>
    </r>
  </si>
  <si>
    <r>
      <t xml:space="preserve">FS3001M </t>
    </r>
    <r>
      <rPr>
        <sz val="11"/>
        <color rgb="FF006666"/>
        <rFont val="Calibri"/>
        <family val="2"/>
        <scheme val="minor"/>
      </rPr>
      <t>[34000V]</t>
    </r>
  </si>
  <si>
    <r>
      <t xml:space="preserve">FS3000M </t>
    </r>
    <r>
      <rPr>
        <sz val="11"/>
        <color rgb="FF006666"/>
        <rFont val="Calibri"/>
        <family val="2"/>
        <scheme val="minor"/>
      </rPr>
      <t>[34000V]</t>
    </r>
  </si>
  <si>
    <r>
      <t xml:space="preserve">FS3150M </t>
    </r>
    <r>
      <rPr>
        <sz val="11"/>
        <color rgb="FF006666"/>
        <rFont val="Calibri"/>
        <family val="2"/>
        <scheme val="minor"/>
      </rPr>
      <t>[34000V]</t>
    </r>
  </si>
  <si>
    <r>
      <t xml:space="preserve">FS3225M </t>
    </r>
    <r>
      <rPr>
        <sz val="11"/>
        <color rgb="FF006666"/>
        <rFont val="Calibri"/>
        <family val="2"/>
        <scheme val="minor"/>
      </rPr>
      <t>[34000V]</t>
    </r>
  </si>
  <si>
    <t>3.8 kW, 208 Vac Grid Support Utility Interactive Inverter with arc detector and meter</t>
  </si>
  <si>
    <t>3.8 kW, 240 Vac Grid Support Utility Interactive Inverter with arc detector and meter</t>
  </si>
  <si>
    <t>5 kW, 208 Vac Grid Support Utility Interactive Inverter with arc detector and meter</t>
  </si>
  <si>
    <t>5 kW, 240 Vac Grid Support Utility Interactive Inverter with arc detector and meter</t>
  </si>
  <si>
    <t>6 kW, 208 Vac Grid Support Utility Interactive Inverter with arc detector and meter</t>
  </si>
  <si>
    <t>6 kW, 240 Vac Grid Support Utility Interactive Inverter with arc detector and meter</t>
  </si>
  <si>
    <t>7.6 kW, 208 Vac Grid Support Utility Interactive Inverter with arc detector and meter</t>
  </si>
  <si>
    <t>7.6 kW, 240 Vac Grid Support Utility Interactive Inverter with arc detector and meter</t>
  </si>
  <si>
    <t>8.2 kW, 208 Vac Grid Support Utility Interactive Inverter with arc detector and meter</t>
  </si>
  <si>
    <t>8.2 kW, 240 Vac Grid Support Utility Interactive Inverter with arc detector and meter</t>
  </si>
  <si>
    <t>10 kW, 208 Vac, Grid Support Utility Interactive Inverter with arc detector and meter</t>
  </si>
  <si>
    <t>10 kW, 240 Vac, Grid Support Utility Interactive Inverter with arc detector and meter</t>
  </si>
  <si>
    <t>11.4 kW, 208 Vac Grid Support Utility Interactive Inverter with arc detector and meter</t>
  </si>
  <si>
    <t>11.4 kW, 240 Vac Grid Support Utility Interactive Inverter with arc detector and meter</t>
  </si>
  <si>
    <t>12.5 kW, 208 Vac Grid Support Utility Interactive Inverter with arc detector and meter</t>
  </si>
  <si>
    <t>12.5 kW, 240 Vac Grid Support Utility Interactive Inverter with arc detector and meter</t>
  </si>
  <si>
    <t>15 kW, 208 Vac Grid Support Utility Interactive Inverter with arc detector and meter</t>
  </si>
  <si>
    <t>15 kW, 240 Vac Grid Support Utility Interactive Inverter with arc detector and meter</t>
  </si>
  <si>
    <t>[6/21/2017]</t>
  </si>
  <si>
    <t>327 W, 208 Vac, Grid Support Utility Interactive, monocrystalline ACPV Module, black backsheet. DC Module:  SPR-X20-327-BLK. Micro-inverter:  MI-C-320-US208/240-1X [208V].</t>
  </si>
  <si>
    <t>327 W, 240 Vac, Grid Support Utility Interactive, monocrystalline ACPV Module, black backsheet. DC Module:  SPR-X20-327-BLK. Micro-inverter:  MI-C-320-US208/240-1X [240V].</t>
  </si>
  <si>
    <t>335 W, 208 Vac, Grid Support Utility Interactive, monocrystalline ACPV Module, black backsheet. DC Module:  SPR-X21-335-BLK. Micro-inverter:  MI-C-320-US208/240-1X [208V].</t>
  </si>
  <si>
    <t>335 W, 240 Vac, Grid Support Utility Interactive, monocrystalline ACPV Module, black backsheet. DC Module:  SPR-X21-335-BLK. Micro-inverter:  MI-C-320-US208/240-1X [240V].</t>
  </si>
  <si>
    <t>350 W, 240 Vac, Grid Support Utility Interactive, monocrystalline ACPV Module, black backsheet. DC Module:  SPR-X21-350-BLK. Micro-inverter:  MI-C-320-US208/240-1X [240V].</t>
  </si>
  <si>
    <t>350 W, 208 Vac, Grid Support Utility Interactive, monocrystalline ACPV Module, black backsheet. DC Module:  SPR-X21-350-BLK. Micro-inverter:  MI-C-320-US208/240-1X [208V].</t>
  </si>
  <si>
    <t>395 W, 240 Vac Grid Support Utility Interactive, monocrystalline ACPV Module, white backsheet. DC Module: SPR-A395. Micro-inverter: IQ7AS-66-ACM [240V].</t>
  </si>
  <si>
    <t>[02/22/2019]</t>
  </si>
  <si>
    <t>400 W, 240 Vac Grid Support Utility Interactive, monocrystalline ACPV Module, white backsheet. DC Module: SPR-A400. Micro-inverter: IQ7AS-66-ACM [240V].</t>
  </si>
  <si>
    <t>405 W, 240 Vac Grid Support Utility Interactive, monocrystalline ACPV Module, white backsheet. DC Module: SPR-A405. Micro-inverter: IQ7AS-66-ACM [240V].</t>
  </si>
  <si>
    <t>410W, 240 Vac Grid Support Utility Interactive, monocrystalline ACPV Module, white backsheet. DC Module: SPR-A410. Micro-inverter: IQ7AS-66-ACM [240V].</t>
  </si>
  <si>
    <t>415 W, 240 Vac Grid Support Utility Interactive, monocrystalline ACPV Module, white backsheet. DC Module: SPR-A415. Micro-inverter: IQ7AS-66-ACM [240V].</t>
  </si>
  <si>
    <t>420 W, 240 Vac Grid Support Utility Interactive, monocrystalline ACPV Module, white backsheet. DC Module: SPR-A420. Micro-inverter: IQ7AS-66-ACM [240V].</t>
  </si>
  <si>
    <t>425 W, 240 Vac Grid Support Utility Interactive, monocrystalline ACPV Module, white backsheet. DC Module: SPR-A425. Micro-inverter: IQ7AS-66-ACM [240V].</t>
  </si>
  <si>
    <t>SANYO ELECTRIC CO LTD OF PANASONIC GROUP</t>
  </si>
  <si>
    <t>330 W, 96 cell heterojunction monocrystalline ACPV module, white backsheet. DC Module: VBHN330SA17. Micro-inverter: IQ7X-96-x-ACM-US [240V].</t>
  </si>
  <si>
    <t>325 W, 96 cell heterojunction monocrystalline ACPV module, white backsheet. DC Module: VBHN325SA17. Micro-inverter: IQ7X-96-x-ACM-US [240V].</t>
  </si>
  <si>
    <t>Apparent Inc.</t>
  </si>
  <si>
    <t>250 W, 120 Vac Grid Support Utility Interactive Microinverter</t>
  </si>
  <si>
    <t>[08/24/2018]</t>
  </si>
  <si>
    <t>[R313]</t>
  </si>
  <si>
    <t>Schneider Electric Solar Inc.</t>
  </si>
  <si>
    <t>5.0 kW, 240 Vac, Multimode Grid Support Utility Interactive PV and Battery Inverter</t>
  </si>
  <si>
    <t>2100 kW, 600 Vac Grid Support Utility Interactive Inverter</t>
  </si>
  <si>
    <t>Efficiency data inclusive of transformer effect based on 2100 kVA Liquid-Immeresed Distribution Transformers Table in DOE2016.
The inverter is central control composed by 4 modules.</t>
  </si>
  <si>
    <t>327 W, 208 Vac, Grid Support Utility Interactive, monocrystalline ACPV Module, white backsheet. DC Module:  SPR-X20-327. Micro-inverter:  MI-C-320-US208/240-1X [208V].</t>
  </si>
  <si>
    <t>327 W, 240 Vac, Grid Support Utility Interactive, monocrystalline ACPV Module, white backsheet. DC Module:  SPR-X20-327. Micro-inverter:  MI-C-320-US208/240-1X [240V].</t>
  </si>
  <si>
    <t>[02/19/2019]</t>
  </si>
  <si>
    <t>[02/15/2019]</t>
  </si>
  <si>
    <t>[02/27/2019]</t>
  </si>
  <si>
    <t>[03/11/2019]</t>
  </si>
  <si>
    <t>[7/6/2017];[03/19/2019]</t>
  </si>
  <si>
    <t>[V5.00];[V01.09.00]</t>
  </si>
  <si>
    <t>[03/19/2019]</t>
  </si>
  <si>
    <r>
      <t xml:space="preserve">SG424U CA, 120VAC, 60Hz </t>
    </r>
    <r>
      <rPr>
        <sz val="11"/>
        <color rgb="FF006666"/>
        <rFont val="Calibri"/>
        <family val="2"/>
        <scheme val="minor"/>
      </rPr>
      <t>[120V]</t>
    </r>
  </si>
  <si>
    <r>
      <t xml:space="preserve">FS2000K </t>
    </r>
    <r>
      <rPr>
        <sz val="11"/>
        <color rgb="FF006666"/>
        <rFont val="Calibri"/>
        <family val="2"/>
        <scheme val="minor"/>
      </rPr>
      <t>[600V]</t>
    </r>
  </si>
  <si>
    <r>
      <t xml:space="preserve">VBHN325SA17E </t>
    </r>
    <r>
      <rPr>
        <sz val="11"/>
        <color rgb="FF006666"/>
        <rFont val="Calibri"/>
        <family val="2"/>
        <scheme val="minor"/>
      </rPr>
      <t>[240V]</t>
    </r>
  </si>
  <si>
    <r>
      <t xml:space="preserve">VBHN330SA17E </t>
    </r>
    <r>
      <rPr>
        <sz val="11"/>
        <color rgb="FF006666"/>
        <rFont val="Calibri"/>
        <family val="2"/>
        <scheme val="minor"/>
      </rPr>
      <t>[240V]</t>
    </r>
  </si>
  <si>
    <r>
      <t xml:space="preserve">SPR-A395-G-AC </t>
    </r>
    <r>
      <rPr>
        <sz val="11"/>
        <color rgb="FF006666"/>
        <rFont val="Calibri"/>
        <family val="2"/>
        <scheme val="minor"/>
      </rPr>
      <t>[240V]</t>
    </r>
  </si>
  <si>
    <r>
      <t xml:space="preserve">SPR-A400-G-AC </t>
    </r>
    <r>
      <rPr>
        <sz val="11"/>
        <color rgb="FF006666"/>
        <rFont val="Calibri"/>
        <family val="2"/>
        <scheme val="minor"/>
      </rPr>
      <t>[240V]</t>
    </r>
  </si>
  <si>
    <r>
      <t xml:space="preserve">SPR-A405-G-AC </t>
    </r>
    <r>
      <rPr>
        <sz val="11"/>
        <color rgb="FF006666"/>
        <rFont val="Calibri"/>
        <family val="2"/>
        <scheme val="minor"/>
      </rPr>
      <t>[240V]</t>
    </r>
  </si>
  <si>
    <r>
      <t xml:space="preserve">SPR-A410-G-AC </t>
    </r>
    <r>
      <rPr>
        <sz val="11"/>
        <color rgb="FF006666"/>
        <rFont val="Calibri"/>
        <family val="2"/>
        <scheme val="minor"/>
      </rPr>
      <t>[240V]</t>
    </r>
  </si>
  <si>
    <r>
      <t xml:space="preserve">SPR-A415-G-AC </t>
    </r>
    <r>
      <rPr>
        <sz val="11"/>
        <color rgb="FF006666"/>
        <rFont val="Calibri"/>
        <family val="2"/>
        <scheme val="minor"/>
      </rPr>
      <t>[240V]</t>
    </r>
  </si>
  <si>
    <r>
      <t xml:space="preserve">SPR-A420-G-AC </t>
    </r>
    <r>
      <rPr>
        <sz val="11"/>
        <color rgb="FF006666"/>
        <rFont val="Calibri"/>
        <family val="2"/>
        <scheme val="minor"/>
      </rPr>
      <t>[240V]</t>
    </r>
  </si>
  <si>
    <r>
      <t xml:space="preserve">SPR-A425-G-AC </t>
    </r>
    <r>
      <rPr>
        <sz val="11"/>
        <color rgb="FF006666"/>
        <rFont val="Calibri"/>
        <family val="2"/>
        <scheme val="minor"/>
      </rPr>
      <t>[240V]</t>
    </r>
  </si>
  <si>
    <t>EPC Power Corp.</t>
  </si>
  <si>
    <t xml:space="preserve">250kVA, 480Vac, 3 phase Grid Support Utility Interactive Battery Inverter. </t>
  </si>
  <si>
    <t>[2/26/2019]</t>
  </si>
  <si>
    <t>[8669C3F]</t>
  </si>
  <si>
    <t>[7/6/2017]; [3/15/2019]</t>
  </si>
  <si>
    <t>[V5.00]; [V01.09.00]</t>
  </si>
  <si>
    <t>[7/6/2017]; [03/15/2019]</t>
  </si>
  <si>
    <r>
      <t xml:space="preserve">50-100122 </t>
    </r>
    <r>
      <rPr>
        <sz val="11"/>
        <color rgb="FF006666"/>
        <rFont val="Calibri"/>
        <family val="2"/>
        <scheme val="minor"/>
      </rPr>
      <t>[480V]</t>
    </r>
  </si>
  <si>
    <t>Ideal Power Inc</t>
  </si>
  <si>
    <t>7600 W, 240 Vac transformerless Grid Support Utility Interactive Inverter. All the SOLIVIA models are same firmare version tested for Grid Support Utility Interactive type.</t>
  </si>
  <si>
    <t xml:space="preserve">6656 W, 208 Vac, transformerless, Bi-dierctional, Muti-mode Grid Support Utility Interactive Solar and Energy Storage Inverter
</t>
  </si>
  <si>
    <t>7600 W, 208 Vac transformerless Grid Support Utility Interactive Inverter. All the SOLIVIA models are same firmare version tested for Grid Support Utility Interactive type.</t>
  </si>
  <si>
    <t>6600 W, 208 Vac transformerless Grid Support Utility Interactive Inverter. All the SOLIVIA models are same firmare version tested for Grid Support Utility Interactive type.</t>
  </si>
  <si>
    <t>5200 W, 240 Vac transformerless Grid Support Utility Interactive Inverter. All the SOLIVIA models are same firmare version tested for Grid Support Utility Interactive type.</t>
  </si>
  <si>
    <t>5200 W, 208 Vac transformerless Grid Support Utility Interactive Inverter. All the SOLIVIA models are same firmare version tested for Grid Support Utility Interactive type.</t>
  </si>
  <si>
    <t>3800 W, 208 Vac transformerless Grid Support Utility Interactive Inverter. All the SOLIVIA models are same firmare version tested for Grid Support Utility Interactive type.</t>
  </si>
  <si>
    <t>[2/14/2019]</t>
  </si>
  <si>
    <t>[8/28/2017]</t>
  </si>
  <si>
    <t>[3/15/2019]</t>
  </si>
  <si>
    <t>INGETEAM POWER TECHNOLOGY S.A.</t>
  </si>
  <si>
    <t>610 kW, 220 Vac Grid Support Utility Interactive Inverter for PV and Battery Applications.</t>
  </si>
  <si>
    <t>[5/5/2018]</t>
  </si>
  <si>
    <t>ABK1000</t>
  </si>
  <si>
    <t>Per SGS, revision I of ABK 1000 was tested per UL 1741 SA. Revisions J, K, and L were considered with no influence regarding grid support compliance.</t>
  </si>
  <si>
    <t>830 kW, 300 Vac Grid Support Utility Interactive Inverter for PV and Battery Applications.</t>
  </si>
  <si>
    <t>915 kW, 330 Vac Grid Support Utility Interactive Inverter for PV and Battery Applications.</t>
  </si>
  <si>
    <t>1000 kW, 360 Vac Grid Support Utility Interactive Inverter for PV and Battery Applications.</t>
  </si>
  <si>
    <t>1110 kW, 400 Vac Grid Support Utility Interactive Inverter for PV and Battery Applications.</t>
  </si>
  <si>
    <t>1165 kW, 420 Vac Grid Support Utility Interactive Inverter for PV and Battery Applications.</t>
  </si>
  <si>
    <t>INGETEAM POWER TECHNOLOGY S.A</t>
  </si>
  <si>
    <t>1247 kVA, 480 Vac Grid Support Utility Interactive Inverter for PV and Battery Applications.</t>
  </si>
  <si>
    <t>Overall efficiency includes Ingeteam transformer packaged with product.
Per SGS, revision I of ABK 1000 was tested per UL 1741 SA. Revisions J, K, and L were considered with no influence regarding grid support compliance.</t>
  </si>
  <si>
    <t>1793 kVA, 690 Vac Grid Support Utility Interactive Inverter for PV and Battery Applications.</t>
  </si>
  <si>
    <t>1741 kVA, 670 Vac Grid Support Utility Interactive Inverter for PV and Battery Applications.</t>
  </si>
  <si>
    <t>1715 kVA, 660 Vac Grid Support Utility Interactive Inverter for PV and Battery Applications.</t>
  </si>
  <si>
    <t>1689 kVA, 650 Vac Grid Support Utility Interactive Inverter for PV and Battery Applications.</t>
  </si>
  <si>
    <t>1663 kVA, 640 Vac Grid Support Utility Interactive Inverter for PV and Battery Applications.</t>
  </si>
  <si>
    <t>1275 kVA, 460 Vac Grid Support Utility Interactive Inverter for PV and Battery Applications.</t>
  </si>
  <si>
    <t>1247 kVA, 450 Vac Grid Support Utility Interactive Inverter for PV and Battery Applications.</t>
  </si>
  <si>
    <t>1217 kVA, 440 Vac Grid Support Utility Interactive Inverter for PV and Battery Applications.</t>
  </si>
  <si>
    <t>1192 kVA, 430 Vac Grid Support Utility Interactive Inverter for PV and Battery Applications.</t>
  </si>
  <si>
    <t>1136 kVA, 410 Vac Grid Support Utility Interactive Inverter for PV and Battery Applications.</t>
  </si>
  <si>
    <t>Huawei Technologies Co., Ltd</t>
  </si>
  <si>
    <t>25kW, 480Vac, 3-phase transformerless Grid Support Utility Interactive Inverter</t>
  </si>
  <si>
    <t>[12/29/2018]</t>
  </si>
  <si>
    <t>[SUN2000 V200 R001]</t>
  </si>
  <si>
    <t>30kW, 480Vac, 3-phase transformerless Grid Support Utility Interactive Inverter </t>
  </si>
  <si>
    <t>500 W, 240 Vac Grid Support Utility Interactive Micro-Inverter</t>
  </si>
  <si>
    <t>[4/26/2019]</t>
  </si>
  <si>
    <t>[V105]</t>
  </si>
  <si>
    <t>30 kW, 480 Vac, Bi-directional Grid Support Utility Interactive Battery Inverter</t>
  </si>
  <si>
    <t>[01/29/2019]</t>
  </si>
  <si>
    <t>[1.01.00]</t>
  </si>
  <si>
    <t>[10/31/2018];[10/31/2018];[10/31/2018];[10/31/2018];[03/22/2019]</t>
  </si>
  <si>
    <t>[3.2.42];[3.2.60];[3.2.90];[3.2.91];[3.2.106]</t>
  </si>
  <si>
    <t>[03/22/2019]</t>
  </si>
  <si>
    <t>500 kVA, 480 Vac, 3 phase, 3 wire, Bi-directional Grid Support Utility Interactive Battery Inverter, where A=099, B=61-64 or 81-84, C=A or B or D or Z, D=1-3, E=A or B, F=1 or 3, G=Re or EX or N.</t>
  </si>
  <si>
    <t>[03/21/2019]</t>
  </si>
  <si>
    <t>[042c314]</t>
  </si>
  <si>
    <t>365 W Monocrystalline ACPV Module. DC Module:  Solaria PowerXT-365R-PD. Microinverter IQ7PLUS-72-x-ACM-US [240V].</t>
  </si>
  <si>
    <t>345 W Monocrystalline ACPV Module. DC Module:  Solaria PowerXT-345R-PD. Microinverter IQ7PLUS-72-x-ACM-US [240V].</t>
  </si>
  <si>
    <t>350 W Monocrystalline ACPV Module. DC Module:  Solaria PowerXT-350R-PD. Microinverter IQ7PLUS-72-x-ACM-US [240V].</t>
  </si>
  <si>
    <t>355 W Monocrystalline ACPV Module. DC Module:  Solaria PowerXT-355R-PD. Microinverter IQ7PLUS-72-x-ACM-US [240V].</t>
  </si>
  <si>
    <t>360 W Monocrystalline ACPV Module. DC Module:  Solaria PowerXT-360R-PD. Microinverter IQ7PLUS-72-x-ACM-US [240V] [SI1].</t>
  </si>
  <si>
    <t>3.0 kW, 208 Vac Grid Support Utility Interactive Inverter</t>
  </si>
  <si>
    <t>[03/13/2019]</t>
  </si>
  <si>
    <t>[V2.04.15.R]</t>
  </si>
  <si>
    <t>3.0 kW, 240 Vac Grid Support Utility Interactive Inverter</t>
  </si>
  <si>
    <t>3.8 kW, 208 Vac Grid Support Utility Interactive Inverter</t>
  </si>
  <si>
    <t>3.8 kW, 240 Vac Grid Support Utility Interactive Inverter</t>
  </si>
  <si>
    <t>5.0 kW, 208 Vac Grid Support Utility Interactive Inverter</t>
  </si>
  <si>
    <t>5.0 kW, 240 Vac Grid Support Utility Interactive Inverter</t>
  </si>
  <si>
    <t>6.0 kW, 208 Vac Grid Support Utility Interactive Inverter</t>
  </si>
  <si>
    <t>6.0 kW, 240 Vac Grid Support Utility Interactive Inverter</t>
  </si>
  <si>
    <t>7.0 kW, 208 Vac Grid Support Utility Interactive Inverter  </t>
  </si>
  <si>
    <t>7.0 kW, 240 Vac Grid Support Utility Interactive Inverter  </t>
  </si>
  <si>
    <t>7.7 kW, 208 Vac Grid Support Utility Interactive Inverter  </t>
  </si>
  <si>
    <t>7.7 kW, 240 Vac Grid Support Utility Interactive Inverter  </t>
  </si>
  <si>
    <t>[03/29/2019]</t>
  </si>
  <si>
    <t>Multiple Listing of Ningbo Ginlong Technologies Co., Ltd. Solis-25K-US-SW</t>
  </si>
  <si>
    <t>Multiple Listing of Ningbo Ginlong Technologies Co., Ltd. Solis-30K-US-SW</t>
  </si>
  <si>
    <t>Multiple Listing of Ningbo Ginlong Technologies Co., Ltd. Solis-36K-US-SW</t>
  </si>
  <si>
    <t>Multiple Listing of Ningbo Ginlong Technologies Co., Ltd. Solis-40K-US-SW</t>
  </si>
  <si>
    <t>Multiple Listing of Canadian Solar Inc. CSI-25KTL-GS-FLB</t>
  </si>
  <si>
    <t>Multiple Listing of Canadian Solar Inc. CSI-30KTL-GS-FLB</t>
  </si>
  <si>
    <t>Multiple Listing of Canadian Solar Inc. CSI-36KTL-GS-FLB</t>
  </si>
  <si>
    <t>Multiple Listing of Canadian Solar Inc. CSI-40KTL-GS-FLB</t>
  </si>
  <si>
    <t>125 kw, 600 Vac Grid Support Utility Interactive Inverter</t>
  </si>
  <si>
    <t>[03/25/2019]</t>
  </si>
  <si>
    <t>[DSP: 1.15, RED: 1.12, COMM: 1.2, ARC: 1.12, SCM: 1.12]</t>
  </si>
  <si>
    <t>600W, 208 Vac Grid Support Utility Interactive Inverter </t>
  </si>
  <si>
    <t>[04/04/2019]</t>
  </si>
  <si>
    <t>[V105LS700G2]</t>
  </si>
  <si>
    <r>
      <t xml:space="preserve">CSI-25KTL-GS-FLB </t>
    </r>
    <r>
      <rPr>
        <sz val="11"/>
        <color rgb="FF006666"/>
        <rFont val="Calibri"/>
        <family val="2"/>
        <scheme val="minor"/>
      </rPr>
      <t>[480V]</t>
    </r>
  </si>
  <si>
    <r>
      <t xml:space="preserve">CSI-30KTL-GS-FLB </t>
    </r>
    <r>
      <rPr>
        <sz val="11"/>
        <color rgb="FF006666"/>
        <rFont val="Calibri"/>
        <family val="2"/>
        <scheme val="minor"/>
      </rPr>
      <t>[480V]</t>
    </r>
  </si>
  <si>
    <r>
      <t xml:space="preserve">CSI-36KTL-GS-FLB </t>
    </r>
    <r>
      <rPr>
        <sz val="11"/>
        <color rgb="FF006666"/>
        <rFont val="Calibri"/>
        <family val="2"/>
        <scheme val="minor"/>
      </rPr>
      <t>[480V]</t>
    </r>
  </si>
  <si>
    <r>
      <t xml:space="preserve">CSI-40KTL-GS-FLB </t>
    </r>
    <r>
      <rPr>
        <sz val="11"/>
        <color rgb="FF006666"/>
        <rFont val="Calibri"/>
        <family val="2"/>
        <scheme val="minor"/>
      </rPr>
      <t>[480V]</t>
    </r>
  </si>
  <si>
    <r>
      <t xml:space="preserve">CPS ECB30KTL-O/US </t>
    </r>
    <r>
      <rPr>
        <sz val="11"/>
        <color rgb="FF006666"/>
        <rFont val="Calibri"/>
        <family val="2"/>
        <scheme val="minor"/>
      </rPr>
      <t>[480V]</t>
    </r>
  </si>
  <si>
    <r>
      <t xml:space="preserve">M125HV </t>
    </r>
    <r>
      <rPr>
        <sz val="11"/>
        <color rgb="FF006666"/>
        <rFont val="Calibri"/>
        <family val="2"/>
        <scheme val="minor"/>
      </rPr>
      <t>[600V]</t>
    </r>
  </si>
  <si>
    <r>
      <t xml:space="preserve">50-100A-BCDEF-G </t>
    </r>
    <r>
      <rPr>
        <sz val="11"/>
        <color rgb="FF006666"/>
        <rFont val="Calibri"/>
        <family val="2"/>
        <scheme val="minor"/>
      </rPr>
      <t>[480V]</t>
    </r>
  </si>
  <si>
    <r>
      <t xml:space="preserve">SUN2000-25KTL-US </t>
    </r>
    <r>
      <rPr>
        <sz val="11"/>
        <color rgb="FF006666"/>
        <rFont val="Calibri"/>
        <family val="2"/>
        <scheme val="minor"/>
      </rPr>
      <t>[480V]</t>
    </r>
  </si>
  <si>
    <r>
      <t xml:space="preserve">SUN2000-30KTL-US </t>
    </r>
    <r>
      <rPr>
        <sz val="11"/>
        <color rgb="FF006666"/>
        <rFont val="Calibri"/>
        <family val="2"/>
        <scheme val="minor"/>
      </rPr>
      <t>[480V]</t>
    </r>
  </si>
  <si>
    <r>
      <t xml:space="preserve">INGECON SUN 1140TL U B410 </t>
    </r>
    <r>
      <rPr>
        <sz val="11"/>
        <color rgb="FF006666"/>
        <rFont val="Calibri"/>
        <family val="2"/>
        <scheme val="minor"/>
      </rPr>
      <t>[410V]</t>
    </r>
  </si>
  <si>
    <r>
      <t xml:space="preserve">INGECON SUN 1245TL U B480 </t>
    </r>
    <r>
      <rPr>
        <sz val="11"/>
        <color rgb="FF006666"/>
        <rFont val="Calibri"/>
        <family val="2"/>
        <scheme val="minor"/>
      </rPr>
      <t>[480V]</t>
    </r>
  </si>
  <si>
    <r>
      <t xml:space="preserve">INGECON SUN 1190TL U B430 </t>
    </r>
    <r>
      <rPr>
        <sz val="11"/>
        <color rgb="FF006666"/>
        <rFont val="Calibri"/>
        <family val="2"/>
        <scheme val="minor"/>
      </rPr>
      <t>[430V]</t>
    </r>
  </si>
  <si>
    <r>
      <t xml:space="preserve">INGECON SUN 1220TL U B440 </t>
    </r>
    <r>
      <rPr>
        <sz val="11"/>
        <color rgb="FF006666"/>
        <rFont val="Calibri"/>
        <family val="2"/>
        <scheme val="minor"/>
      </rPr>
      <t>[440V]</t>
    </r>
  </si>
  <si>
    <r>
      <t xml:space="preserve">INGECON SUN 1250TL U B450 </t>
    </r>
    <r>
      <rPr>
        <sz val="11"/>
        <color rgb="FF006666"/>
        <rFont val="Calibri"/>
        <family val="2"/>
        <scheme val="minor"/>
      </rPr>
      <t>[450V]</t>
    </r>
  </si>
  <si>
    <r>
      <t xml:space="preserve">INGECON SUN 1275TL U B460 </t>
    </r>
    <r>
      <rPr>
        <sz val="11"/>
        <color rgb="FF006666"/>
        <rFont val="Calibri"/>
        <family val="2"/>
        <scheme val="minor"/>
      </rPr>
      <t>[460V]</t>
    </r>
  </si>
  <si>
    <r>
      <t xml:space="preserve">INGECON SUN 1740TL U B670 </t>
    </r>
    <r>
      <rPr>
        <sz val="11"/>
        <color rgb="FF006666"/>
        <rFont val="Calibri"/>
        <family val="2"/>
        <scheme val="minor"/>
      </rPr>
      <t>[670V]</t>
    </r>
  </si>
  <si>
    <r>
      <t xml:space="preserve">INGECON SUN 1800TL U B690 </t>
    </r>
    <r>
      <rPr>
        <sz val="11"/>
        <color rgb="FF006666"/>
        <rFont val="Calibri"/>
        <family val="2"/>
        <scheme val="minor"/>
      </rPr>
      <t>[690V]</t>
    </r>
  </si>
  <si>
    <r>
      <t xml:space="preserve">INGECON SUN 1665TL U B640 </t>
    </r>
    <r>
      <rPr>
        <sz val="11"/>
        <color rgb="FF006666"/>
        <rFont val="Calibri"/>
        <family val="2"/>
        <scheme val="minor"/>
      </rPr>
      <t>[640V]</t>
    </r>
  </si>
  <si>
    <r>
      <t xml:space="preserve">INGECON SUN 1690TL U B650 </t>
    </r>
    <r>
      <rPr>
        <sz val="11"/>
        <color rgb="FF006666"/>
        <rFont val="Calibri"/>
        <family val="2"/>
        <scheme val="minor"/>
      </rPr>
      <t>[650V]</t>
    </r>
  </si>
  <si>
    <r>
      <t xml:space="preserve">INGECON SUN 1715TL U B660 </t>
    </r>
    <r>
      <rPr>
        <sz val="11"/>
        <color rgb="FF006666"/>
        <rFont val="Calibri"/>
        <family val="2"/>
        <scheme val="minor"/>
      </rPr>
      <t>[660V]</t>
    </r>
  </si>
  <si>
    <r>
      <t xml:space="preserve">INGECON SUN 610TL U B220 </t>
    </r>
    <r>
      <rPr>
        <sz val="11"/>
        <color rgb="FF006666"/>
        <rFont val="Calibri"/>
        <family val="2"/>
        <scheme val="minor"/>
      </rPr>
      <t>[220V]</t>
    </r>
  </si>
  <si>
    <r>
      <t xml:space="preserve">INGECON SUN 830TL U B300 </t>
    </r>
    <r>
      <rPr>
        <sz val="11"/>
        <color rgb="FF006666"/>
        <rFont val="Calibri"/>
        <family val="2"/>
        <scheme val="minor"/>
      </rPr>
      <t>[300V]</t>
    </r>
  </si>
  <si>
    <r>
      <t xml:space="preserve">INGECON SUN 915TL U B330 </t>
    </r>
    <r>
      <rPr>
        <sz val="11"/>
        <color rgb="FF006666"/>
        <rFont val="Calibri"/>
        <family val="2"/>
        <scheme val="minor"/>
      </rPr>
      <t>[330V]</t>
    </r>
  </si>
  <si>
    <r>
      <t xml:space="preserve">INGECON SUN 1000TL U B360 </t>
    </r>
    <r>
      <rPr>
        <sz val="11"/>
        <color rgb="FF006666"/>
        <rFont val="Calibri"/>
        <family val="2"/>
        <scheme val="minor"/>
      </rPr>
      <t>[360V]</t>
    </r>
  </si>
  <si>
    <r>
      <t xml:space="preserve">INGECON SUN 1110TL U B400 </t>
    </r>
    <r>
      <rPr>
        <sz val="11"/>
        <color rgb="FF006666"/>
        <rFont val="Calibri"/>
        <family val="2"/>
        <scheme val="minor"/>
      </rPr>
      <t>[400V]</t>
    </r>
  </si>
  <si>
    <r>
      <t xml:space="preserve">INGECON SUN 1165TL U B420 </t>
    </r>
    <r>
      <rPr>
        <sz val="11"/>
        <color rgb="FF006666"/>
        <rFont val="Calibri"/>
        <family val="2"/>
        <scheme val="minor"/>
      </rPr>
      <t>[420V]</t>
    </r>
  </si>
  <si>
    <r>
      <t xml:space="preserve">LS700S </t>
    </r>
    <r>
      <rPr>
        <sz val="11"/>
        <color rgb="FF006666"/>
        <rFont val="Calibri"/>
        <family val="2"/>
        <scheme val="minor"/>
      </rPr>
      <t>[208V]</t>
    </r>
  </si>
  <si>
    <r>
      <t xml:space="preserve">SB3.0-1SP-US-41 </t>
    </r>
    <r>
      <rPr>
        <sz val="11"/>
        <color rgb="FF006666"/>
        <rFont val="Calibri"/>
        <family val="2"/>
        <scheme val="minor"/>
      </rPr>
      <t>[208V]</t>
    </r>
  </si>
  <si>
    <r>
      <t xml:space="preserve">SB3.0-1SP-US-41 </t>
    </r>
    <r>
      <rPr>
        <sz val="11"/>
        <color rgb="FF006666"/>
        <rFont val="Calibri"/>
        <family val="2"/>
        <scheme val="minor"/>
      </rPr>
      <t>[240V]</t>
    </r>
  </si>
  <si>
    <r>
      <t xml:space="preserve">SB3.8-1SP-US-41 </t>
    </r>
    <r>
      <rPr>
        <sz val="11"/>
        <color rgb="FF006666"/>
        <rFont val="Calibri"/>
        <family val="2"/>
        <scheme val="minor"/>
      </rPr>
      <t>[208V]</t>
    </r>
  </si>
  <si>
    <r>
      <t xml:space="preserve">SB3.8-1SP-US-41 </t>
    </r>
    <r>
      <rPr>
        <sz val="11"/>
        <color rgb="FF006666"/>
        <rFont val="Calibri"/>
        <family val="2"/>
        <scheme val="minor"/>
      </rPr>
      <t>[240V]</t>
    </r>
  </si>
  <si>
    <r>
      <t xml:space="preserve">SB5.0-1SP-US-41 </t>
    </r>
    <r>
      <rPr>
        <sz val="11"/>
        <color rgb="FF006666"/>
        <rFont val="Calibri"/>
        <family val="2"/>
        <scheme val="minor"/>
      </rPr>
      <t>[208V]</t>
    </r>
  </si>
  <si>
    <r>
      <t xml:space="preserve">SB5.0-1SP-US-41 </t>
    </r>
    <r>
      <rPr>
        <sz val="11"/>
        <color rgb="FF006666"/>
        <rFont val="Calibri"/>
        <family val="2"/>
        <scheme val="minor"/>
      </rPr>
      <t>[240V]</t>
    </r>
  </si>
  <si>
    <r>
      <t xml:space="preserve">SB6.0-1SP-US-41 </t>
    </r>
    <r>
      <rPr>
        <sz val="11"/>
        <color rgb="FF006666"/>
        <rFont val="Calibri"/>
        <family val="2"/>
        <scheme val="minor"/>
      </rPr>
      <t>[208V]</t>
    </r>
  </si>
  <si>
    <r>
      <t xml:space="preserve">SB6.0-1SP-US-41 </t>
    </r>
    <r>
      <rPr>
        <sz val="11"/>
        <color rgb="FF006666"/>
        <rFont val="Calibri"/>
        <family val="2"/>
        <scheme val="minor"/>
      </rPr>
      <t>[240V]</t>
    </r>
  </si>
  <si>
    <r>
      <t xml:space="preserve">SB7.0-1SP-US-41 </t>
    </r>
    <r>
      <rPr>
        <sz val="11"/>
        <color rgb="FF006666"/>
        <rFont val="Calibri"/>
        <family val="2"/>
        <scheme val="minor"/>
      </rPr>
      <t>[208V]</t>
    </r>
  </si>
  <si>
    <r>
      <t xml:space="preserve">SB7.7-1SP-US-41 </t>
    </r>
    <r>
      <rPr>
        <sz val="11"/>
        <color rgb="FF006666"/>
        <rFont val="Calibri"/>
        <family val="2"/>
        <scheme val="minor"/>
      </rPr>
      <t>[208V]</t>
    </r>
  </si>
  <si>
    <r>
      <t xml:space="preserve">SB7.0-1SP-US-41 </t>
    </r>
    <r>
      <rPr>
        <sz val="11"/>
        <color rgb="FF006666"/>
        <rFont val="Calibri"/>
        <family val="2"/>
        <scheme val="minor"/>
      </rPr>
      <t>[240V]</t>
    </r>
  </si>
  <si>
    <r>
      <t xml:space="preserve">SB7.7-1SP-US-41 </t>
    </r>
    <r>
      <rPr>
        <sz val="11"/>
        <color rgb="FF006666"/>
        <rFont val="Calibri"/>
        <family val="2"/>
        <scheme val="minor"/>
      </rPr>
      <t>[240V]</t>
    </r>
  </si>
  <si>
    <r>
      <t xml:space="preserve">Solaria PowerXT-365R-AC </t>
    </r>
    <r>
      <rPr>
        <sz val="11"/>
        <color rgb="FF006666"/>
        <rFont val="Calibri"/>
        <family val="2"/>
        <scheme val="minor"/>
      </rPr>
      <t>[240V]</t>
    </r>
  </si>
  <si>
    <t>[7/31/2017];[04/19/2019]</t>
  </si>
  <si>
    <t>[V0.60];[V0.70]</t>
  </si>
  <si>
    <t>[04/19/2019]</t>
  </si>
  <si>
    <t xml:space="preserve">40 kW, 480 Vac, 3-phase Grid Support Utility Interactive Inverter, with seperable wiring box and external Fan </t>
  </si>
  <si>
    <t>Multiple Listing of Canadian Solar Inc. CSI-40KTL-GS-B</t>
  </si>
  <si>
    <t>9.6 kW, 208 Vac Transformerless, Bi-directional Grid Support Utility Interactive Inverter</t>
  </si>
  <si>
    <t>[02/21/2019]</t>
  </si>
  <si>
    <t>9.6 kW, 240 Vac Transformerless, Bi-directional Grid Support Utility Interactive Inverter</t>
  </si>
  <si>
    <t>[8/2/2017];[04/19/2019]</t>
  </si>
  <si>
    <r>
      <t xml:space="preserve">CSI-40KTL-GS-B </t>
    </r>
    <r>
      <rPr>
        <sz val="11"/>
        <color rgb="FF006666"/>
        <rFont val="Calibri"/>
        <family val="2"/>
        <scheme val="minor"/>
      </rPr>
      <t>[480V]</t>
    </r>
  </si>
  <si>
    <r>
      <t xml:space="preserve">M10-TL-US </t>
    </r>
    <r>
      <rPr>
        <sz val="11"/>
        <color rgb="FF006666"/>
        <rFont val="Calibri"/>
        <family val="2"/>
        <scheme val="minor"/>
      </rPr>
      <t>[208V]</t>
    </r>
  </si>
  <si>
    <r>
      <t xml:space="preserve">M10-TL-US </t>
    </r>
    <r>
      <rPr>
        <sz val="11"/>
        <color rgb="FF006666"/>
        <rFont val="Calibri"/>
        <family val="2"/>
        <scheme val="minor"/>
      </rPr>
      <t>[240V]</t>
    </r>
  </si>
  <si>
    <t>5000 W, 240 Vac, hybrid PV and battery Grid Support Utility Interactive  Inverter, where x = 0-9, A-Z or blank, (0-9 for color; A-Z for customer)</t>
  </si>
  <si>
    <r>
      <t>PVS-60-TL-US</t>
    </r>
    <r>
      <rPr>
        <sz val="11"/>
        <color rgb="FF006666"/>
        <rFont val="Calibri"/>
        <family val="2"/>
        <scheme val="minor"/>
      </rPr>
      <t xml:space="preserve"> [480V]</t>
    </r>
  </si>
  <si>
    <t>60 kW, 480 V transformerless Grid Support Uitlity Interactive Inverter</t>
  </si>
  <si>
    <t>[04/08/2019]</t>
  </si>
  <si>
    <t>[A.0.2.7; B.0.2.9; C.0.5.1]</t>
  </si>
  <si>
    <r>
      <t>PVS-60-TL-S-US</t>
    </r>
    <r>
      <rPr>
        <sz val="11"/>
        <color rgb="FF006666"/>
        <rFont val="Calibri"/>
        <family val="2"/>
        <scheme val="minor"/>
      </rPr>
      <t xml:space="preserve"> [480V]</t>
    </r>
  </si>
  <si>
    <r>
      <t>PVS-60-TL-SC-US</t>
    </r>
    <r>
      <rPr>
        <sz val="11"/>
        <color rgb="FF006666"/>
        <rFont val="Calibri"/>
        <family val="2"/>
        <scheme val="minor"/>
      </rPr>
      <t xml:space="preserve"> [480V]</t>
    </r>
  </si>
  <si>
    <t>SolaX Power Network Technology (Zhe jiang) Co., Ltd.</t>
  </si>
  <si>
    <t>[12/24/2018]</t>
  </si>
  <si>
    <t>[V1.06, V1.02]</t>
  </si>
  <si>
    <r>
      <t>XGI 1500-166/166</t>
    </r>
    <r>
      <rPr>
        <sz val="11"/>
        <color rgb="FF006666"/>
        <rFont val="Calibri"/>
        <family val="2"/>
        <scheme val="minor"/>
      </rPr>
      <t xml:space="preserve"> [600V]</t>
    </r>
  </si>
  <si>
    <t>166 KW, 166KVA, 600 Vac, 3-phase Grid Support Utility Interactive Inverter </t>
  </si>
  <si>
    <t>[05/13/2019]</t>
  </si>
  <si>
    <t>[3.0.0]</t>
  </si>
  <si>
    <r>
      <t>XGI 1500-150/166</t>
    </r>
    <r>
      <rPr>
        <sz val="11"/>
        <color rgb="FF006666"/>
        <rFont val="Calibri"/>
        <family val="2"/>
        <scheme val="minor"/>
      </rPr>
      <t xml:space="preserve"> [600V]</t>
    </r>
  </si>
  <si>
    <t>150 KW, 166KVA, 600 Vac, 3-phase Grid Support Utility Interactive Inverter</t>
  </si>
  <si>
    <r>
      <t>XGI 1500-125/150</t>
    </r>
    <r>
      <rPr>
        <sz val="11"/>
        <color rgb="FF006666"/>
        <rFont val="Calibri"/>
        <family val="2"/>
        <scheme val="minor"/>
      </rPr>
      <t xml:space="preserve"> [600V]</t>
    </r>
  </si>
  <si>
    <t>125 KW, 150KVA, 600 Vac, 3-phase Grid Support Utility Interactive Inverter</t>
  </si>
  <si>
    <r>
      <t>XGI 1500-125/125</t>
    </r>
    <r>
      <rPr>
        <sz val="11"/>
        <color rgb="FF006666"/>
        <rFont val="Calibri"/>
        <family val="2"/>
        <scheme val="minor"/>
      </rPr>
      <t xml:space="preserve"> [600V]</t>
    </r>
  </si>
  <si>
    <t>125 KW, 125KVA, 600 Vac, 3-phase Grid Support Utility Interactive Inverter </t>
  </si>
  <si>
    <t>8.6 kW, 240 Vac, 1-phase, transformerless, bidirectional, hybrid PV and Battery Grid Support Utility Interactive Inverter with PV arc detector</t>
  </si>
  <si>
    <t>7.6 kW, 240 Vac, 1-phase, transformerless, bidirectional, hybrid PV and Battery Grid Support Utility Interactive Inverter with PV arc detector</t>
  </si>
  <si>
    <t>8.6 kW, 240 Vac, 1-phase, transformerless, bidirectional, battery Grid Support Utility Interactive Inverter</t>
  </si>
  <si>
    <t>7.6 kW, 240 Vac, 1-phase, transformerless, bidirectional, battery Grid Support Utility Interactive Inverter</t>
  </si>
  <si>
    <t>[05/22/2019]</t>
  </si>
  <si>
    <r>
      <t>SG125HV</t>
    </r>
    <r>
      <rPr>
        <sz val="11"/>
        <color rgb="FF006666"/>
        <rFont val="Calibri"/>
        <family val="2"/>
        <scheme val="minor"/>
      </rPr>
      <t xml:space="preserve"> [600V]</t>
    </r>
  </si>
  <si>
    <t>125 kW, 600 Vac transformerless Grid Support Utility Interactive Inverter.</t>
  </si>
  <si>
    <t>[DSP_SG125KHV_V11_A];[DSP_SG125KHV_V11_B]</t>
  </si>
  <si>
    <r>
      <t>SG60KU-M</t>
    </r>
    <r>
      <rPr>
        <sz val="11"/>
        <color rgb="FF006666"/>
        <rFont val="Calibri"/>
        <family val="2"/>
        <scheme val="minor"/>
      </rPr>
      <t xml:space="preserve"> [480V]</t>
    </r>
  </si>
  <si>
    <t>60 kW, 480 Vac transformerless Grid Support Utility Interactive Inverter</t>
  </si>
  <si>
    <t>[DSP_SG60KU-M_V14_A];[DSP_SG60KU-M_V14_B]</t>
  </si>
  <si>
    <t>[07/07/2017];[05/13/2019]</t>
  </si>
  <si>
    <t>BYD Auto Industry Company Limited</t>
  </si>
  <si>
    <r>
      <t>BEG500KTL-U/01</t>
    </r>
    <r>
      <rPr>
        <sz val="11"/>
        <color rgb="FF006666"/>
        <rFont val="Calibri"/>
        <family val="2"/>
        <scheme val="minor"/>
      </rPr>
      <t xml:space="preserve"> [480V]</t>
    </r>
  </si>
  <si>
    <r>
      <t>BEG500KTL-U</t>
    </r>
    <r>
      <rPr>
        <sz val="11"/>
        <color rgb="FF006666"/>
        <rFont val="Calibri"/>
        <family val="2"/>
        <scheme val="minor"/>
      </rPr>
      <t xml:space="preserve"> [480V]</t>
    </r>
  </si>
  <si>
    <t>Princeton Power Systems, Inc.</t>
  </si>
  <si>
    <r>
      <t>GTIB-480-30-ZZZZZZ-G1.3</t>
    </r>
    <r>
      <rPr>
        <sz val="11"/>
        <color rgb="FF006666"/>
        <rFont val="Calibri"/>
        <family val="2"/>
        <scheme val="minor"/>
      </rPr>
      <t xml:space="preserve"> [480V]</t>
    </r>
  </si>
  <si>
    <r>
      <t>GTIB-480-30-WZZZZZZ-G1.3</t>
    </r>
    <r>
      <rPr>
        <sz val="11"/>
        <color rgb="FF006666"/>
        <rFont val="Calibri"/>
        <family val="2"/>
        <scheme val="minor"/>
      </rPr>
      <t xml:space="preserve"> [480V]</t>
    </r>
  </si>
  <si>
    <r>
      <t>GTIB-480-125XXXXXX-G1.5</t>
    </r>
    <r>
      <rPr>
        <sz val="11"/>
        <color rgb="FF006666"/>
        <rFont val="Calibri"/>
        <family val="2"/>
        <scheme val="minor"/>
      </rPr>
      <t xml:space="preserve"> [480V]</t>
    </r>
  </si>
  <si>
    <r>
      <t>GTIB-480-125XXXXXX-W-G1.5</t>
    </r>
    <r>
      <rPr>
        <sz val="11"/>
        <color rgb="FF006666"/>
        <rFont val="Calibri"/>
        <family val="2"/>
        <scheme val="minor"/>
      </rPr>
      <t xml:space="preserve"> [480V]</t>
    </r>
  </si>
  <si>
    <t>500 kVA, 480 Vac, Grid Support Utility Interactive Battery Inverter, permanently connected, bi-directional for use with battery management system. This model does not have protective cover for cooling fans.</t>
  </si>
  <si>
    <t>500 kVA, 480 Vac, Grid Support Utility Interactive Battery Inverter, permanently connected, bi-directional for use with battery management system</t>
  </si>
  <si>
    <t>30 kVA, 480 Vac, 830Vdc, Transformerless, Non-isolated, Bi-directional, Grid Support Utility Interactive PV or Battery Inverter; where Z can be -ATS, -GA, -F, -GN-W-H, -H, -EMOS, or blank (Z≠-W).
Cannot accept PV and Battery DC input simultaneously.</t>
  </si>
  <si>
    <t>30 kVA, 480 Vac, 830Vdc, Non-isolated, Bi-directional, Grid Support Utility Interactive PV or Battery Inverter; where Z can be -ATS, -GA, -F, -GN-W-H, -H, -EMOS, or blank.
Cannot accept PV and Battery DC input simultaneously.</t>
  </si>
  <si>
    <t>125 kVA, 480 Vac, 830Vdc, Transformerless, Non-isolated, Grid Support Utility Interactive PV or Battery Inverter; where X can be -B, -D, -DH, -DA, -DD, -GN, -M, -OV, -V, or blank.
Cannot accept PV and Battery DC input simultaneously.</t>
  </si>
  <si>
    <t>125 kVA, 480 Vac, 830Vdc, Non-isolated, Grid Support Utility Interactive PV or Battery Inverter; where X can be -B, -D, -DH, -DA, -DD, -GN, -M, -OV, -V, or blank.
Cannot accept PV and Battery DC input simultaneously.</t>
  </si>
  <si>
    <t>[01/31/2019]</t>
  </si>
  <si>
    <t>[V002.18]</t>
  </si>
  <si>
    <t>[05/09/2019]</t>
  </si>
  <si>
    <t>[V2.4.2]</t>
  </si>
  <si>
    <t>[05/07/2019]</t>
  </si>
  <si>
    <t>[V2.72]</t>
  </si>
  <si>
    <t>[V2.7.2]</t>
  </si>
  <si>
    <t>Weighted Efficiency includes efficiency of 125 kVA Jefferson Electric 423-D007-013 distribution transformer.</t>
  </si>
  <si>
    <t>Sunny Highpower PEAK3, 125 kW, 1500 VDC, 480 VAC, 3-phase, transformerless, Grid Support Utility Interactive Inverter</t>
  </si>
  <si>
    <t>[V02.02.29.R]</t>
  </si>
  <si>
    <t>Sunny Highpower PEAK3, 150 kW, 1500 VDC, 600 VAC, 3-phase, transformerless, Grid Support Utility Interactive Inverter</t>
  </si>
  <si>
    <r>
      <t xml:space="preserve">H5000x </t>
    </r>
    <r>
      <rPr>
        <sz val="11"/>
        <color rgb="FF006666"/>
        <rFont val="Calibri"/>
        <family val="2"/>
        <scheme val="minor"/>
      </rPr>
      <t>[240V]</t>
    </r>
  </si>
  <si>
    <r>
      <t xml:space="preserve">SHP 125-US-20 </t>
    </r>
    <r>
      <rPr>
        <sz val="11"/>
        <color rgb="FF006666"/>
        <rFont val="Calibri"/>
        <family val="2"/>
        <scheme val="minor"/>
      </rPr>
      <t>[480V]</t>
    </r>
  </si>
  <si>
    <r>
      <t xml:space="preserve">SHP 150-US-20 </t>
    </r>
    <r>
      <rPr>
        <sz val="11"/>
        <color rgb="FF006666"/>
        <rFont val="Calibri"/>
        <family val="2"/>
        <scheme val="minor"/>
      </rPr>
      <t>[600V]</t>
    </r>
  </si>
  <si>
    <r>
      <t xml:space="preserve">A1-Hybrid-7.6-US </t>
    </r>
    <r>
      <rPr>
        <sz val="11"/>
        <color rgb="FF006666"/>
        <rFont val="Calibri"/>
        <family val="2"/>
        <scheme val="minor"/>
      </rPr>
      <t>[240V]</t>
    </r>
  </si>
  <si>
    <r>
      <t xml:space="preserve">A1-Fit-7.6-US </t>
    </r>
    <r>
      <rPr>
        <sz val="11"/>
        <color rgb="FF006666"/>
        <rFont val="Calibri"/>
        <family val="2"/>
        <scheme val="minor"/>
      </rPr>
      <t>[240V]</t>
    </r>
  </si>
  <si>
    <r>
      <t xml:space="preserve">A1-Hybrid-8.6-US </t>
    </r>
    <r>
      <rPr>
        <sz val="11"/>
        <color rgb="FF006666"/>
        <rFont val="Calibri"/>
        <family val="2"/>
        <scheme val="minor"/>
      </rPr>
      <t>[240V]</t>
    </r>
  </si>
  <si>
    <r>
      <t>A1-Fit-8.6-US</t>
    </r>
    <r>
      <rPr>
        <sz val="11"/>
        <color rgb="FF008080"/>
        <rFont val="Calibri"/>
        <family val="2"/>
        <scheme val="minor"/>
      </rPr>
      <t xml:space="preserve"> </t>
    </r>
    <r>
      <rPr>
        <sz val="11"/>
        <color rgb="FF006666"/>
        <rFont val="Calibri"/>
        <family val="2"/>
        <scheme val="minor"/>
      </rPr>
      <t>[240V]</t>
    </r>
  </si>
  <si>
    <t>305 W, 208 Vac, Grid Support Utility Interactive, monocrystalline ACPV Module, white substrate. DC Module: JKM305M-60L. Microinverter: IQ7-60-ACM-US [208V].</t>
  </si>
  <si>
    <t>[04/18/2019]</t>
  </si>
  <si>
    <t>[V02.14.02]</t>
  </si>
  <si>
    <t>310 W, 208 Vac, Grid Support Utility Interactive, monocrystalline ACPV Module, white substrate. DC Module: JKM310M-60L. Microinverter: IQ7-60-ACM-US [208V].</t>
  </si>
  <si>
    <t>315 W, 208 Vac, Grid Support Utility Interactive, monocrystalline ACPV Module, white substrate. DC Module: JKM315M-60L. Microinverter: IQ7-60-ACM-US [208V].</t>
  </si>
  <si>
    <t>320 W, 208 Vac, Grid Support Utility Interactive, monocrystalline ACPV Module, white substrate. DC Module: JKM320M-60L. Microinverter: IQ7-60-ACM-US [208V].</t>
  </si>
  <si>
    <t>325 W, 208 Vac, Grid Support Utility Interactive, monocrystalline ACPV Module, white substrate. DC Module: JKM325M-60L. Microinverter: IQ7-60-ACM-US [208V].</t>
  </si>
  <si>
    <t>330 W, 208 Vac, Grid Support Utility Interactive, monocrystalline ACPV Module, white substrate. DC Module: JKM330M-60L. Microinverter: IQ7-60-ACM-US [208V].</t>
  </si>
  <si>
    <t>310 W, 208 Vac, Grid Support Utility Interactive, monocrystalline ACPV Module, white substrate. DC Module: JKM310M-60L. Microinverter: IQ7-60-ACM-US [240V].</t>
  </si>
  <si>
    <t>315 W, 208 Vac, Grid Support Utility Interactive, monocrystalline ACPV Module, white substrate. DC Module: JKM315M-60L. Microinverter: IQ7-60-ACM-US [240V].</t>
  </si>
  <si>
    <t>320 W, 208 Vac, Grid Support Utility Interactive, monocrystalline ACPV Module, white substrate. DC Module: JKM320M-60L. Microinverter: IQ7-60-ACM-US [240V].</t>
  </si>
  <si>
    <t>325 W, 208 Vac, Grid Support Utility Interactive, monocrystalline ACPV Module, white substrate. DC Module: JKM325M-60L. Microinverter: IQ7-60-ACM-US [240V].</t>
  </si>
  <si>
    <t>330 W, 208 Vac, Grid Support Utility Interactive, monocrystalline ACPV Module, white substrate. DC Module: JKM330M-60L. Microinverter: IQ7-60-ACM-US [240V].</t>
  </si>
  <si>
    <t>300 W, 208 Vac, Grid Support Utility Interactive, monocrystalline ACPV Module, black substrate. DC Module: JKM300M-60BL. Microinverter: IQ7-60-ACM-US [208V].</t>
  </si>
  <si>
    <t>305 W, 208 Vac, Grid Support Utility Interactive, monocrystalline ACPV Module, black substrate. DC Module: JKM305M-60BL. Microinverter: IQ7-60-ACM-US [208V].</t>
  </si>
  <si>
    <t>310 W, 208 Vac, Grid Support Utility Interactive, monocrystalline ACPV Module, black substrate. DC Module: JKM310M-60BL. Microinverter: IQ7-60-ACM-US [208V].</t>
  </si>
  <si>
    <t>315 W, 208 Vac, Grid Support Utility Interactive, monocrystalline ACPV Module, black substrate. DC Module: JKM315M-60BL. Microinverter: IQ7-60-ACM-US [208V].</t>
  </si>
  <si>
    <t>320 W, 208 Vac, Grid Support Utility Interactive, monocrystalline ACPV Module, black substrate. DC Module: JKM320M-60BL. Microinverter: IQ7-60-ACM-US [208V].</t>
  </si>
  <si>
    <t>325 W, 208 Vac, Grid Support Utility Interactive, monocrystalline ACPV Module, black substrate. DC Module: JKM325M-60BL. Microinverter: IQ7-60-ACM-US [208V].</t>
  </si>
  <si>
    <t>300 W, 240 Vac, Grid Support Utility Interactive, monocrystalline ACPV Module, black substrate. DC Module: JKM300M-60BL. Microinverter: IQ7-60-ACM-US [240V].</t>
  </si>
  <si>
    <t>305 W, 240 Vac, Grid Support Utility Interactive, monocrystalline ACPV Module, black substrate. DC Module: JKM305M-60BL. Microinverter: IQ7-60-ACM-US [240V].</t>
  </si>
  <si>
    <t>310 W, 240 Vac, Grid Support Utility Interactive, monocrystalline ACPV Module, black substrate. DC Module: JKM310M-60BL. Microinverter: IQ7-60-ACM-US [240V].</t>
  </si>
  <si>
    <t>315 W, 240 Vac, Grid Support Utility Interactive, monocrystalline ACPV Module, black substrate. DC Module: JKM315M-60BL. Microinverter: IQ7-60-ACM-US [240V].</t>
  </si>
  <si>
    <t>320 W, 240 Vac, Grid Support Utility Interactive, monocrystalline ACPV Module, black substrate. DC Module: JKM320M-60BL. Microinverter: IQ7-60-ACM-US [240V].</t>
  </si>
  <si>
    <t>325 W, 240 Vac, Grid Support Utility Interactive, monocrystalline ACPV Module, black substrate. DC Module: JKM325M-60BL. Microinverter: IQ7-60-ACM-US [240V].</t>
  </si>
  <si>
    <t>390 W, 240 Vac, Grid Support Utility Interactive, monocrystalline ACPV module, white backsheet, black frame. DC Module: SPR-A390. Microinverter: IQ7AS-66-ACM-US-x.</t>
  </si>
  <si>
    <r>
      <t xml:space="preserve">JKMS300M-60BL-EP </t>
    </r>
    <r>
      <rPr>
        <sz val="11"/>
        <color rgb="FF006666"/>
        <rFont val="Calibri"/>
        <family val="2"/>
        <scheme val="minor"/>
      </rPr>
      <t>[208V]</t>
    </r>
  </si>
  <si>
    <r>
      <t xml:space="preserve">JKMS300M-60BL-EP </t>
    </r>
    <r>
      <rPr>
        <sz val="11"/>
        <color rgb="FF006666"/>
        <rFont val="Calibri"/>
        <family val="2"/>
        <scheme val="minor"/>
      </rPr>
      <t>[240V]</t>
    </r>
  </si>
  <si>
    <r>
      <t xml:space="preserve">JKMS305M-60BL-EP </t>
    </r>
    <r>
      <rPr>
        <sz val="11"/>
        <color rgb="FF006666"/>
        <rFont val="Calibri"/>
        <family val="2"/>
        <scheme val="minor"/>
      </rPr>
      <t>[208V]</t>
    </r>
  </si>
  <si>
    <r>
      <t xml:space="preserve">JKMS305M-60BL-EP </t>
    </r>
    <r>
      <rPr>
        <sz val="11"/>
        <color rgb="FF006666"/>
        <rFont val="Calibri"/>
        <family val="2"/>
        <scheme val="minor"/>
      </rPr>
      <t>[240V]</t>
    </r>
  </si>
  <si>
    <r>
      <t xml:space="preserve">JKMS305M-60L-EP </t>
    </r>
    <r>
      <rPr>
        <sz val="11"/>
        <color rgb="FF006666"/>
        <rFont val="Calibri"/>
        <family val="2"/>
        <scheme val="minor"/>
      </rPr>
      <t>[208V]</t>
    </r>
  </si>
  <si>
    <r>
      <t xml:space="preserve">JKMS305M-60L-EP </t>
    </r>
    <r>
      <rPr>
        <sz val="11"/>
        <color rgb="FF006666"/>
        <rFont val="Calibri"/>
        <family val="2"/>
        <scheme val="minor"/>
      </rPr>
      <t>[240V]</t>
    </r>
  </si>
  <si>
    <r>
      <t xml:space="preserve">JKMS310M-60BL-EP </t>
    </r>
    <r>
      <rPr>
        <sz val="11"/>
        <color rgb="FF006666"/>
        <rFont val="Calibri"/>
        <family val="2"/>
        <scheme val="minor"/>
      </rPr>
      <t>[208V]</t>
    </r>
  </si>
  <si>
    <r>
      <t xml:space="preserve">JKMS310M-60BL-EP </t>
    </r>
    <r>
      <rPr>
        <sz val="11"/>
        <color rgb="FF006666"/>
        <rFont val="Calibri"/>
        <family val="2"/>
        <scheme val="minor"/>
      </rPr>
      <t>[240V]</t>
    </r>
  </si>
  <si>
    <r>
      <t xml:space="preserve">JKMS310M-60L-EP </t>
    </r>
    <r>
      <rPr>
        <sz val="11"/>
        <color rgb="FF006666"/>
        <rFont val="Calibri"/>
        <family val="2"/>
        <scheme val="minor"/>
      </rPr>
      <t>[208V]</t>
    </r>
  </si>
  <si>
    <r>
      <t xml:space="preserve">JKMS310M-60L-EP </t>
    </r>
    <r>
      <rPr>
        <sz val="11"/>
        <color rgb="FF006666"/>
        <rFont val="Calibri"/>
        <family val="2"/>
        <scheme val="minor"/>
      </rPr>
      <t>[240V]</t>
    </r>
  </si>
  <si>
    <r>
      <t xml:space="preserve">JKMS315M-60BL-EP </t>
    </r>
    <r>
      <rPr>
        <sz val="11"/>
        <color rgb="FF006666"/>
        <rFont val="Calibri"/>
        <family val="2"/>
        <scheme val="minor"/>
      </rPr>
      <t>[208V]</t>
    </r>
  </si>
  <si>
    <r>
      <t xml:space="preserve">JKMS315M-60BL-EP </t>
    </r>
    <r>
      <rPr>
        <sz val="11"/>
        <color rgb="FF006666"/>
        <rFont val="Calibri"/>
        <family val="2"/>
        <scheme val="minor"/>
      </rPr>
      <t>[240V]</t>
    </r>
  </si>
  <si>
    <r>
      <t xml:space="preserve">JKMS315M-60L-EP </t>
    </r>
    <r>
      <rPr>
        <sz val="11"/>
        <color rgb="FF006666"/>
        <rFont val="Calibri"/>
        <family val="2"/>
        <scheme val="minor"/>
      </rPr>
      <t>[208V]</t>
    </r>
  </si>
  <si>
    <r>
      <t xml:space="preserve">JKMS315M-60L-EP </t>
    </r>
    <r>
      <rPr>
        <sz val="11"/>
        <color rgb="FF006666"/>
        <rFont val="Calibri"/>
        <family val="2"/>
        <scheme val="minor"/>
      </rPr>
      <t>[240V]</t>
    </r>
  </si>
  <si>
    <r>
      <t xml:space="preserve">JKMS320M-60BL-EP </t>
    </r>
    <r>
      <rPr>
        <sz val="11"/>
        <color rgb="FF006666"/>
        <rFont val="Calibri"/>
        <family val="2"/>
        <scheme val="minor"/>
      </rPr>
      <t>[208V]</t>
    </r>
  </si>
  <si>
    <r>
      <t xml:space="preserve">JKMS320M-60BL-EP </t>
    </r>
    <r>
      <rPr>
        <sz val="11"/>
        <color rgb="FF006666"/>
        <rFont val="Calibri"/>
        <family val="2"/>
        <scheme val="minor"/>
      </rPr>
      <t>[240V]</t>
    </r>
  </si>
  <si>
    <r>
      <t xml:space="preserve">JKMS320M-60L-EP </t>
    </r>
    <r>
      <rPr>
        <sz val="11"/>
        <color rgb="FF006666"/>
        <rFont val="Calibri"/>
        <family val="2"/>
        <scheme val="minor"/>
      </rPr>
      <t>[208V]</t>
    </r>
  </si>
  <si>
    <r>
      <t xml:space="preserve">JKMS320M-60L-EP </t>
    </r>
    <r>
      <rPr>
        <sz val="11"/>
        <color rgb="FF006666"/>
        <rFont val="Calibri"/>
        <family val="2"/>
        <scheme val="minor"/>
      </rPr>
      <t>[240V]</t>
    </r>
  </si>
  <si>
    <r>
      <t xml:space="preserve">JKMS325M-60BL-EP </t>
    </r>
    <r>
      <rPr>
        <sz val="11"/>
        <color rgb="FF006666"/>
        <rFont val="Calibri"/>
        <family val="2"/>
        <scheme val="minor"/>
      </rPr>
      <t>[208V]</t>
    </r>
  </si>
  <si>
    <r>
      <t xml:space="preserve">JKMS325M-60BL-EP </t>
    </r>
    <r>
      <rPr>
        <sz val="11"/>
        <color rgb="FF006666"/>
        <rFont val="Calibri"/>
        <family val="2"/>
        <scheme val="minor"/>
      </rPr>
      <t>[240V]</t>
    </r>
  </si>
  <si>
    <r>
      <t xml:space="preserve">JKMS325M-60L-EP </t>
    </r>
    <r>
      <rPr>
        <sz val="11"/>
        <color rgb="FF006666"/>
        <rFont val="Calibri"/>
        <family val="2"/>
        <scheme val="minor"/>
      </rPr>
      <t>[208V]</t>
    </r>
  </si>
  <si>
    <r>
      <t xml:space="preserve">JKMS325M-60L-EP </t>
    </r>
    <r>
      <rPr>
        <sz val="11"/>
        <color rgb="FF006666"/>
        <rFont val="Calibri"/>
        <family val="2"/>
        <scheme val="minor"/>
      </rPr>
      <t>[240V]</t>
    </r>
  </si>
  <si>
    <r>
      <t xml:space="preserve">JKMS330M-60L-EP </t>
    </r>
    <r>
      <rPr>
        <sz val="11"/>
        <color rgb="FF006666"/>
        <rFont val="Calibri"/>
        <family val="2"/>
        <scheme val="minor"/>
      </rPr>
      <t>[208V]</t>
    </r>
  </si>
  <si>
    <r>
      <t xml:space="preserve">JKMS330M-60L-EP </t>
    </r>
    <r>
      <rPr>
        <sz val="11"/>
        <color rgb="FF006666"/>
        <rFont val="Calibri"/>
        <family val="2"/>
        <scheme val="minor"/>
      </rPr>
      <t>[240V]</t>
    </r>
  </si>
  <si>
    <r>
      <t xml:space="preserve">SPR-A390-G-AC </t>
    </r>
    <r>
      <rPr>
        <sz val="11"/>
        <color rgb="FF006666"/>
        <rFont val="Calibri"/>
        <family val="2"/>
        <scheme val="minor"/>
      </rPr>
      <t>[240V]</t>
    </r>
  </si>
  <si>
    <t>5000 W, 240 Vac Grid Support Utility Interactive  Battery Inverter, where x = 0-9, A-Z or blank, (0-9 for color; A-Z for customer)  </t>
  </si>
  <si>
    <t>[06/16/2019]</t>
  </si>
  <si>
    <t>[DSP1: PV_Inverter Ver 5.2, DSP2: Charger
Ver33.8]</t>
  </si>
  <si>
    <t>290 W, 208 Vac Grid Support Utility Interactive Microinverter, where x  = 2 or 5, and + may be additional characters</t>
  </si>
  <si>
    <t>349 W, 240 Vac Grid Support Utility Interactive Microinverter, where x  = 2 or 5, and + may be additional characters</t>
  </si>
  <si>
    <t>66 kW, 480 Vac, Bi-directional, Stand-Alone or Grid Support Utility Interactive Energy Storage Inverter</t>
  </si>
  <si>
    <t>[06/14/2019]</t>
  </si>
  <si>
    <t>[MDSP_AGATE-S_V11_V01_A]</t>
  </si>
  <si>
    <t>82.5 kW, 600 Vac, Bi-directional, Stand-Alone or Grid Support Utility Interactive Energy Storage Inverter</t>
  </si>
  <si>
    <t>Sol-Ark</t>
  </si>
  <si>
    <t>8 KW, 208 Vac Grid Support Utility Interactive PV and Battery Inverter</t>
  </si>
  <si>
    <t>[06/04/2019]</t>
  </si>
  <si>
    <t>8 KW, 240 Vac Grid Support Utility Interactive PV and Battery Inverter</t>
  </si>
  <si>
    <t>30 kW, 277 Vac, Bi-directional, Transformerless Grid Support Utility Interactive PV and Battery Inverter</t>
  </si>
  <si>
    <t>[07/01/2019]</t>
  </si>
  <si>
    <t>[Controller A: V1.1.3, Controller B: V1.1.1]</t>
  </si>
  <si>
    <r>
      <t xml:space="preserve">HB51xxxxxx </t>
    </r>
    <r>
      <rPr>
        <sz val="11"/>
        <color rgb="FF006666"/>
        <rFont val="Calibri"/>
        <family val="2"/>
        <scheme val="minor"/>
      </rPr>
      <t>[240V]</t>
    </r>
  </si>
  <si>
    <r>
      <t xml:space="preserve">E30-TL </t>
    </r>
    <r>
      <rPr>
        <sz val="11"/>
        <color rgb="FF006666"/>
        <rFont val="Calibri"/>
        <family val="2"/>
        <scheme val="minor"/>
      </rPr>
      <t>[277V]</t>
    </r>
  </si>
  <si>
    <r>
      <t xml:space="preserve">IQ7A-66-x-US+ </t>
    </r>
    <r>
      <rPr>
        <sz val="11"/>
        <color rgb="FF006666"/>
        <rFont val="Calibri"/>
        <family val="2"/>
        <scheme val="minor"/>
      </rPr>
      <t>[208V]</t>
    </r>
  </si>
  <si>
    <r>
      <t xml:space="preserve">IQ7A-66-x-US+ </t>
    </r>
    <r>
      <rPr>
        <sz val="11"/>
        <color rgb="FF006666"/>
        <rFont val="Calibri"/>
        <family val="2"/>
        <scheme val="minor"/>
      </rPr>
      <t>[240V]</t>
    </r>
  </si>
  <si>
    <r>
      <t xml:space="preserve">Sol-Ark-8k-48-ST </t>
    </r>
    <r>
      <rPr>
        <sz val="11"/>
        <color rgb="FF006666"/>
        <rFont val="Calibri"/>
        <family val="2"/>
        <scheme val="minor"/>
      </rPr>
      <t>[208V]</t>
    </r>
  </si>
  <si>
    <r>
      <t xml:space="preserve">Sol-Ark-8k-48-ST </t>
    </r>
    <r>
      <rPr>
        <sz val="11"/>
        <color rgb="FF006666"/>
        <rFont val="Calibri"/>
        <family val="2"/>
        <scheme val="minor"/>
      </rPr>
      <t>[240V]</t>
    </r>
  </si>
  <si>
    <r>
      <t xml:space="preserve">SC60HV </t>
    </r>
    <r>
      <rPr>
        <sz val="11"/>
        <color rgb="FF006666"/>
        <rFont val="Calibri"/>
        <family val="2"/>
        <scheme val="minor"/>
      </rPr>
      <t>[480V]</t>
    </r>
  </si>
  <si>
    <r>
      <t xml:space="preserve">SC75HV </t>
    </r>
    <r>
      <rPr>
        <sz val="11"/>
        <color rgb="FF006666"/>
        <rFont val="Calibri"/>
        <family val="2"/>
        <scheme val="minor"/>
      </rPr>
      <t>[600V]</t>
    </r>
  </si>
  <si>
    <t>Multiple Listing of Canadian Solar Inc. CSI-50KTL-GS</t>
  </si>
  <si>
    <t>Multiple Listing of Canadian Solar Inc. CSI-50KTL-GS-B</t>
  </si>
  <si>
    <t>Multiple Listing of Canadian Solar Inc. CSI-50KTL-GS-FLB</t>
  </si>
  <si>
    <t>Multiple Listing of Canadian Solar Inc. CSI-50KTL-GS-FL</t>
  </si>
  <si>
    <t>Multiple Listing of Canadian Solar Inc. CSI-60KTL-GS</t>
  </si>
  <si>
    <t>Multiple Listing of Canadian Solar Inc. CSI-60KTL-GS-B</t>
  </si>
  <si>
    <t>Multiple Listing of Canadian Solar Inc. CSI-66KTL-GS</t>
  </si>
  <si>
    <t>Multiple Listing of Ningbo Ginlong Technologies Co., Ltd. Solis-40K-US-F-SW</t>
  </si>
  <si>
    <t>Multiple Listing of Ningbo Ginlong Technologies Co., Ltd. Solis-50K-US-F</t>
  </si>
  <si>
    <t>Multiple Listing of Ningbo Ginlong Technologies Co., Ltd. Solis-50K-US-F-SW</t>
  </si>
  <si>
    <t>Multiple Listing of Ningbo Ginlong Technologies Co., Ltd. Solis-50K-US-SW</t>
  </si>
  <si>
    <t>Multiple Listing of Ningbo Ginlong Technologies Co., Ltd. Solis-50K-US</t>
  </si>
  <si>
    <t>Multiple Listing of Ningbo Ginlong Technologies Co., Ltd. Solis-60K-US-F</t>
  </si>
  <si>
    <t>Multiple Listing of Ningbo Ginlong Technologies Co., Ltd. Solis-60K-US-F-SW</t>
  </si>
  <si>
    <t>Multiple Listing of Ningbo Ginlong Technologies Co., Ltd. Solis-66K-US-F</t>
  </si>
  <si>
    <t>Multiple Listing of Ningbo Ginlong Technologies Co., Ltd. Solis-66K-US-F-SW</t>
  </si>
  <si>
    <t>Night Tare Loss</t>
  </si>
  <si>
    <t>335 W, 240 Vac, Grid Support Utility Interactive,  monocrystalline ACPV Module, white backsheet. DC Module:  SPR-E20-335. Micro-inverter:  IQ7XS-96-y-ACM-z [240V].</t>
  </si>
  <si>
    <t>[06/18/2019]</t>
  </si>
  <si>
    <t>335 W, 208 Vac, Grid Support Utility Interactive,  monocrystalline ACPV Module, white backsheet. DC Module:  SPR-E20-335. Micro-inverter:  IQ7XS-96-y-ACM-z [208V].</t>
  </si>
  <si>
    <t xml:space="preserve">100kW, 600 Vac, 3-phase Grid Support Utility Interactive Inverter
</t>
  </si>
  <si>
    <t>[06/06/2019]</t>
  </si>
  <si>
    <t>[V08]</t>
  </si>
  <si>
    <t xml:space="preserve">125kW, 600 Vac, 3-phase Grid Support Utility Interactive Inverter  
</t>
  </si>
  <si>
    <t>Multiple Listing of Canadian Solar Inc. CSI-125KTL-GS-E</t>
  </si>
  <si>
    <t>[06/17/2019]</t>
  </si>
  <si>
    <t>Multiple Listing of Ningbo Ginlong Technologies Co., Ltd. Solis-125K-EHV-5G</t>
  </si>
  <si>
    <r>
      <t xml:space="preserve">CSI-125KTL-GS-E </t>
    </r>
    <r>
      <rPr>
        <sz val="11"/>
        <color rgb="FF006666"/>
        <rFont val="Calibri"/>
        <family val="2"/>
        <scheme val="minor"/>
      </rPr>
      <t>[600V]</t>
    </r>
  </si>
  <si>
    <r>
      <t xml:space="preserve">Solis-100K-EHV-5G </t>
    </r>
    <r>
      <rPr>
        <sz val="11"/>
        <color rgb="FF006666"/>
        <rFont val="Calibri"/>
        <family val="2"/>
        <scheme val="minor"/>
      </rPr>
      <t>[600V]</t>
    </r>
  </si>
  <si>
    <r>
      <t xml:space="preserve">Solis-125K-EHV-5G </t>
    </r>
    <r>
      <rPr>
        <sz val="11"/>
        <color rgb="FF006666"/>
        <rFont val="Calibri"/>
        <family val="2"/>
        <scheme val="minor"/>
      </rPr>
      <t>[600V]</t>
    </r>
  </si>
  <si>
    <r>
      <t xml:space="preserve">SPR-E20-335-E-AC </t>
    </r>
    <r>
      <rPr>
        <sz val="11"/>
        <color rgb="FF006666"/>
        <rFont val="Calibri"/>
        <family val="2"/>
        <scheme val="minor"/>
      </rPr>
      <t>[208V]</t>
    </r>
  </si>
  <si>
    <r>
      <t xml:space="preserve">SPR-E20-335-E-AC </t>
    </r>
    <r>
      <rPr>
        <sz val="11"/>
        <color rgb="FF006666"/>
        <rFont val="Calibri"/>
        <family val="2"/>
        <scheme val="minor"/>
      </rPr>
      <t>[240V]</t>
    </r>
  </si>
  <si>
    <t>[01/04/2018]; [08/23/2019]</t>
  </si>
  <si>
    <t>[A320UD260C]; [A320UD3005]</t>
  </si>
  <si>
    <t>320 W, 240 Vac Grid Support Utility Interactive Microinverter </t>
  </si>
  <si>
    <t>Hoymiles Converter Technology Co., Ltd.</t>
  </si>
  <si>
    <t>1.0 kW, 240 Vac Grid Support Utility Interactive Microinverters</t>
  </si>
  <si>
    <t>[05/11/2018];[04/29/2019]</t>
  </si>
  <si>
    <t>[DSP_SC250-V13_V1_B_M];[DSP_SC250-V13_V1_C_M]</t>
  </si>
  <si>
    <t>[04/29/2019]</t>
  </si>
  <si>
    <t>365 W, 208 Vac, Grid Support Utility Interactive, monocrystalline ACPV module, white backsheet. DC Module: LG365Q1C-V5. Microinverter : LM320UE-A2 [208V].</t>
  </si>
  <si>
    <t>[09/04/2019]</t>
  </si>
  <si>
    <t>[A320UD3005]</t>
  </si>
  <si>
    <t>370 W, 208 Vac, Grid Support Utility Interactive, monocrystalline ACPV module, white backsheet. DC Module: LG370Q1C-V5. Microinverter : LM320UE-A2 [208V].</t>
  </si>
  <si>
    <t>375 W, 208 Vac, Grid Support Utility Interactive, monocrystalline ACPV module, white backsheet. DC Module: LG375Q1C-V5. Microinverter : LM320UE-A2 [208V].</t>
  </si>
  <si>
    <t>380 W, 208 Vac, Grid Support Utility Interactive, monocrystalline ACPV module, white backsheet. DC Module: LG380Q1C-V5. Microinverter : LM320UE-A2 [208V].</t>
  </si>
  <si>
    <t>365 W, 240 Vac, Grid Support Utility Interactive, monocrystalline ACPV module, white backsheet. DC Module: LG365Q1C-V5. Microinverter : LM320UE-A2 [240V].</t>
  </si>
  <si>
    <t>370 W, 240 Vac, Grid Support Utility Interactive, monocrystalline ACPV module, white backsheet. DC Module: LG370Q1C-V5. Microinverter : LM320UE-A2 [240V].</t>
  </si>
  <si>
    <t>375 W, 240 Vac, Grid Support Utility Interactive, monocrystalline ACPV module, white backsheet. DC Module: LG375Q1C-V5. Microinverter : LM320UE-A2 [240V].</t>
  </si>
  <si>
    <t>380 W, 240 Vac, Grid Support Utility Interactive, monocrystalline ACPV module, white backsheet. DC Module: LG380Q1C-V5. Microinverter : LM320UE-A2 [240V].</t>
  </si>
  <si>
    <t>1.2 kW, 240 Vac Grid Support Utility Interactive Microinverters</t>
  </si>
  <si>
    <t>[V00.02.42]</t>
  </si>
  <si>
    <t>1.5 kW, 240 Vac Grid Support Utility Interactive Microinverters</t>
  </si>
  <si>
    <r>
      <t xml:space="preserve">HM-1200 </t>
    </r>
    <r>
      <rPr>
        <sz val="11"/>
        <color rgb="FF006666"/>
        <rFont val="Calibri"/>
        <family val="2"/>
        <scheme val="minor"/>
      </rPr>
      <t>[240V]</t>
    </r>
  </si>
  <si>
    <r>
      <t xml:space="preserve">HM-1200T </t>
    </r>
    <r>
      <rPr>
        <sz val="11"/>
        <color rgb="FF006666"/>
        <rFont val="Calibri"/>
        <family val="2"/>
        <scheme val="minor"/>
      </rPr>
      <t>[240V]</t>
    </r>
  </si>
  <si>
    <r>
      <t xml:space="preserve">HM-1500 </t>
    </r>
    <r>
      <rPr>
        <sz val="11"/>
        <color rgb="FF006666"/>
        <rFont val="Calibri"/>
        <family val="2"/>
        <scheme val="minor"/>
      </rPr>
      <t>[240V]</t>
    </r>
  </si>
  <si>
    <r>
      <t xml:space="preserve">HM-1500T </t>
    </r>
    <r>
      <rPr>
        <sz val="11"/>
        <color rgb="FF006666"/>
        <rFont val="Calibri"/>
        <family val="2"/>
        <scheme val="minor"/>
      </rPr>
      <t>[240V]</t>
    </r>
  </si>
  <si>
    <r>
      <t xml:space="preserve">HM-1000 </t>
    </r>
    <r>
      <rPr>
        <sz val="11"/>
        <color rgb="FF006666"/>
        <rFont val="Calibri"/>
        <family val="2"/>
        <scheme val="minor"/>
      </rPr>
      <t>[240V]</t>
    </r>
  </si>
  <si>
    <r>
      <t xml:space="preserve">HM-1000T </t>
    </r>
    <r>
      <rPr>
        <sz val="11"/>
        <color rgb="FF006666"/>
        <rFont val="Calibri"/>
        <family val="2"/>
        <scheme val="minor"/>
      </rPr>
      <t>[240V]</t>
    </r>
  </si>
  <si>
    <r>
      <t xml:space="preserve">LG365A1C-V5 </t>
    </r>
    <r>
      <rPr>
        <sz val="11"/>
        <color rgb="FF006666"/>
        <rFont val="Calibri"/>
        <family val="2"/>
        <scheme val="minor"/>
      </rPr>
      <t>[240V]</t>
    </r>
  </si>
  <si>
    <r>
      <t xml:space="preserve">LG370A1C-V5 </t>
    </r>
    <r>
      <rPr>
        <sz val="11"/>
        <color rgb="FF006666"/>
        <rFont val="Calibri"/>
        <family val="2"/>
        <scheme val="minor"/>
      </rPr>
      <t>[240V]</t>
    </r>
  </si>
  <si>
    <r>
      <t xml:space="preserve">LG375A1C-V5 </t>
    </r>
    <r>
      <rPr>
        <sz val="11"/>
        <color rgb="FF006666"/>
        <rFont val="Calibri"/>
        <family val="2"/>
        <scheme val="minor"/>
      </rPr>
      <t>[240V]</t>
    </r>
  </si>
  <si>
    <r>
      <t xml:space="preserve">LG380A1C-V5 </t>
    </r>
    <r>
      <rPr>
        <sz val="11"/>
        <color rgb="FF006666"/>
        <rFont val="Calibri"/>
        <family val="2"/>
        <scheme val="minor"/>
      </rPr>
      <t>[240V]</t>
    </r>
  </si>
  <si>
    <r>
      <t xml:space="preserve">LG365A1C-V5 </t>
    </r>
    <r>
      <rPr>
        <sz val="11"/>
        <color rgb="FF006666"/>
        <rFont val="Calibri"/>
        <family val="2"/>
        <scheme val="minor"/>
      </rPr>
      <t>[208V]</t>
    </r>
  </si>
  <si>
    <r>
      <t xml:space="preserve">LG370A1C-V5 </t>
    </r>
    <r>
      <rPr>
        <sz val="11"/>
        <color rgb="FF006666"/>
        <rFont val="Calibri"/>
        <family val="2"/>
        <scheme val="minor"/>
      </rPr>
      <t>[208V]</t>
    </r>
  </si>
  <si>
    <r>
      <t xml:space="preserve">LG375A1C-V5 </t>
    </r>
    <r>
      <rPr>
        <sz val="11"/>
        <color rgb="FF006666"/>
        <rFont val="Calibri"/>
        <family val="2"/>
        <scheme val="minor"/>
      </rPr>
      <t>[208V]</t>
    </r>
  </si>
  <si>
    <r>
      <t xml:space="preserve">LG380A1C-V5 </t>
    </r>
    <r>
      <rPr>
        <sz val="11"/>
        <color rgb="FF006666"/>
        <rFont val="Calibri"/>
        <family val="2"/>
        <scheme val="minor"/>
      </rPr>
      <t>[208V]</t>
    </r>
  </si>
  <si>
    <t>[09/26/2019]</t>
  </si>
  <si>
    <t>[V4.00]</t>
  </si>
  <si>
    <r>
      <t xml:space="preserve">CPS SCH100KTL-AIO/US-600 </t>
    </r>
    <r>
      <rPr>
        <sz val="11"/>
        <color rgb="FF006666"/>
        <rFont val="Calibri"/>
        <family val="2"/>
        <scheme val="minor"/>
      </rPr>
      <t>[600V]</t>
    </r>
  </si>
  <si>
    <r>
      <t xml:space="preserve">CPS SCH125KTL-AIO/US-600 </t>
    </r>
    <r>
      <rPr>
        <sz val="11"/>
        <color rgb="FF006666"/>
        <rFont val="Calibri"/>
        <family val="2"/>
        <scheme val="minor"/>
      </rPr>
      <t>[600V]</t>
    </r>
  </si>
  <si>
    <t>3.0 kW, 208 Vac Grid Support Utility Interactive Inverter </t>
  </si>
  <si>
    <t>3.0 kW, 240 Vac Grid Support Utility Interactive Inverter </t>
  </si>
  <si>
    <t>3.8 kW, 208 Vac Grid Support Utility Interactive Inverter  </t>
  </si>
  <si>
    <t>3.8 kW, 240 Vac Grid Support Utility Interactive Inverter  </t>
  </si>
  <si>
    <r>
      <t xml:space="preserve">SB3.0-1TP-US-41 </t>
    </r>
    <r>
      <rPr>
        <sz val="11"/>
        <color rgb="FF006666"/>
        <rFont val="Calibri"/>
        <family val="2"/>
        <scheme val="minor"/>
      </rPr>
      <t>[208V]</t>
    </r>
  </si>
  <si>
    <r>
      <t xml:space="preserve">SB3.0-1TP-US-41 </t>
    </r>
    <r>
      <rPr>
        <sz val="11"/>
        <color rgb="FF006666"/>
        <rFont val="Calibri"/>
        <family val="2"/>
        <scheme val="minor"/>
      </rPr>
      <t>[240V]</t>
    </r>
  </si>
  <si>
    <r>
      <t xml:space="preserve">SB3.8-1TP-US-41 </t>
    </r>
    <r>
      <rPr>
        <sz val="11"/>
        <color rgb="FF006666"/>
        <rFont val="Calibri"/>
        <family val="2"/>
        <scheme val="minor"/>
      </rPr>
      <t>[208V]</t>
    </r>
  </si>
  <si>
    <r>
      <t xml:space="preserve">SB3.8-1TP-US-41 </t>
    </r>
    <r>
      <rPr>
        <sz val="11"/>
        <color rgb="FF006666"/>
        <rFont val="Calibri"/>
        <family val="2"/>
        <scheme val="minor"/>
      </rPr>
      <t>[240V]</t>
    </r>
  </si>
  <si>
    <r>
      <t>SB5.0-1TP-US-41</t>
    </r>
    <r>
      <rPr>
        <sz val="11"/>
        <color rgb="FF006666"/>
        <rFont val="Calibri"/>
        <family val="2"/>
        <scheme val="minor"/>
      </rPr>
      <t xml:space="preserve"> [208V]</t>
    </r>
  </si>
  <si>
    <r>
      <t>SB5.0-1TP-US-41</t>
    </r>
    <r>
      <rPr>
        <sz val="11"/>
        <color rgb="FF006666"/>
        <rFont val="Calibri"/>
        <family val="2"/>
        <scheme val="minor"/>
      </rPr>
      <t xml:space="preserve"> [240V]</t>
    </r>
  </si>
  <si>
    <r>
      <t>SB6.0-1TP-US-41</t>
    </r>
    <r>
      <rPr>
        <sz val="11"/>
        <color rgb="FF006666"/>
        <rFont val="Calibri"/>
        <family val="2"/>
        <scheme val="minor"/>
      </rPr>
      <t xml:space="preserve"> [208V]</t>
    </r>
  </si>
  <si>
    <r>
      <t>SB6.0-1TP-US-41</t>
    </r>
    <r>
      <rPr>
        <sz val="11"/>
        <color rgb="FF006666"/>
        <rFont val="Calibri"/>
        <family val="2"/>
        <scheme val="minor"/>
      </rPr>
      <t xml:space="preserve"> [240V]</t>
    </r>
  </si>
  <si>
    <t>5.0 kW, 208 Vac Grid Support Utility Interactive Inverter </t>
  </si>
  <si>
    <t>[3/13/2019]</t>
  </si>
  <si>
    <t>5.0 kW, 240 Vac Grid Support Utility Interactive Inverter </t>
  </si>
  <si>
    <t>6.0 kW, 208 Vac Grid Support Utility Interactive Inverter </t>
  </si>
  <si>
    <t>6.0 kW, 240 Vac Grid Support Utility Interactive Inverter </t>
  </si>
  <si>
    <r>
      <t>SB7.0-1TP-US-41</t>
    </r>
    <r>
      <rPr>
        <sz val="11"/>
        <color rgb="FF006666"/>
        <rFont val="Calibri"/>
        <family val="2"/>
        <scheme val="minor"/>
      </rPr>
      <t xml:space="preserve"> [208V]</t>
    </r>
  </si>
  <si>
    <t>7.0 kW, 208 Vac Grid Support Utility Interactive Inverter </t>
  </si>
  <si>
    <r>
      <t>SB7.0-1TP-US-41</t>
    </r>
    <r>
      <rPr>
        <sz val="11"/>
        <color rgb="FF006666"/>
        <rFont val="Calibri"/>
        <family val="2"/>
        <scheme val="minor"/>
      </rPr>
      <t xml:space="preserve"> [240V]</t>
    </r>
  </si>
  <si>
    <t>7.0 kW, 240 Vac Grid Support Utility Interactive Inverter </t>
  </si>
  <si>
    <r>
      <t>SB7.7-1TP-US-41</t>
    </r>
    <r>
      <rPr>
        <sz val="11"/>
        <color rgb="FF006666"/>
        <rFont val="Calibri"/>
        <family val="2"/>
        <scheme val="minor"/>
      </rPr>
      <t xml:space="preserve"> [208V]</t>
    </r>
  </si>
  <si>
    <t>7.7 kW, 208 Vac Grid Support Utility Interactive Inverter </t>
  </si>
  <si>
    <r>
      <t>SB7.7-1TP-US-41</t>
    </r>
    <r>
      <rPr>
        <sz val="11"/>
        <color rgb="FF006666"/>
        <rFont val="Calibri"/>
        <family val="2"/>
        <scheme val="minor"/>
      </rPr>
      <t xml:space="preserve"> [240V]</t>
    </r>
  </si>
  <si>
    <t>7.7 kW, 240 Vac Grid Support Utility Interactive Inverter </t>
  </si>
  <si>
    <r>
      <t>BEG60KTL-U-R1</t>
    </r>
    <r>
      <rPr>
        <sz val="11"/>
        <color rgb="FF006666"/>
        <rFont val="Calibri"/>
        <family val="2"/>
        <scheme val="minor"/>
      </rPr>
      <t xml:space="preserve"> [480V]</t>
    </r>
  </si>
  <si>
    <t>60 kVA, 480 Vac, Bi-directional, Transformerless Grid Support Utility Interactive Battery Inverter</t>
  </si>
  <si>
    <t>[4.0]</t>
  </si>
  <si>
    <t>Efficiency data inclusive of transformer effect based on 60 kVA Low-Voltage Dry-Type Distribution Transformers Table in DOE2016.</t>
  </si>
  <si>
    <t>6 kW, 240 Vac, Special Purpose Grid Support Utility Interactive Battery Inverter/Charger/Stand-alone</t>
  </si>
  <si>
    <t>[10/30/2019]</t>
  </si>
  <si>
    <t>[v1.03 BN0328]</t>
  </si>
  <si>
    <r>
      <t>XW Pro 6848 NA</t>
    </r>
    <r>
      <rPr>
        <sz val="11"/>
        <color rgb="FF006666"/>
        <rFont val="Calibri"/>
        <family val="2"/>
        <scheme val="minor"/>
      </rPr>
      <t xml:space="preserve"> [240V]</t>
    </r>
  </si>
  <si>
    <t>Data has not changed since December 11,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</si>
</sst>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0.000"/>
    <numFmt numFmtId="166" formatCode="0.0#"/>
    <numFmt numFmtId="167" formatCode="_ [$€]\ * #,##0.00_ ;_ [$€]\ * \-#,##0.00_ ;_ [$€]\ * &quot;-&quot;??_ ;_ @_ "/>
    <numFmt numFmtId="168" formatCode="mm/dd/yy;@"/>
    <numFmt numFmtId="169" formatCode="mm/dd/yyyy"/>
  </numFmts>
  <fonts count="347">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name val="Calibri"/>
      <family val="2"/>
    </font>
    <font>
      <sz val="10"/>
      <color theme="1"/>
      <name val="Calibri"/>
      <family val="2"/>
      <scheme val="minor"/>
    </font>
    <font>
      <sz val="11"/>
      <color rgb="FF000000"/>
      <name val="Calibri"/>
      <family val="2"/>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
      <sz val="11"/>
      <color rgb="FF008080"/>
      <name val="Calibri"/>
      <family val="2"/>
      <scheme val="minor"/>
    </font>
  </fonts>
  <fills count="11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
      <patternFill patternType="solid">
        <fgColor theme="7"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
      <left/>
      <right/>
      <top style="thin">
        <color auto="1"/>
      </top>
      <bottom style="thin">
        <color auto="1"/>
      </bottom>
      <diagonal/>
    </border>
    <border>
      <left/>
      <right/>
      <top/>
      <bottom style="thin">
        <color indexed="64"/>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30" fillId="0" borderId="0"/>
    <xf numFmtId="0" fontId="31" fillId="0" borderId="0"/>
    <xf numFmtId="0" fontId="2" fillId="0" borderId="0"/>
    <xf numFmtId="9" fontId="30" fillId="0" borderId="0" applyFont="0" applyFill="0" applyBorder="0" applyAlignment="0" applyProtection="0"/>
    <xf numFmtId="0" fontId="2" fillId="32" borderId="16" applyNumberFormat="0" applyFont="0" applyAlignment="0" applyProtection="0"/>
    <xf numFmtId="0" fontId="30" fillId="0" borderId="0"/>
    <xf numFmtId="9" fontId="30" fillId="0" borderId="0" applyFont="0" applyFill="0" applyBorder="0" applyAlignment="0" applyProtection="0"/>
    <xf numFmtId="0" fontId="30" fillId="0" borderId="0"/>
    <xf numFmtId="9" fontId="30" fillId="0" borderId="0" applyFont="0" applyFill="0" applyBorder="0" applyAlignment="0" applyProtection="0"/>
    <xf numFmtId="0" fontId="2" fillId="0" borderId="0"/>
    <xf numFmtId="0" fontId="2" fillId="32" borderId="16" applyNumberFormat="0" applyFont="0" applyAlignment="0" applyProtection="0"/>
    <xf numFmtId="167" fontId="30" fillId="0" borderId="0" applyFont="0" applyFill="0" applyBorder="0" applyAlignment="0" applyProtection="0"/>
    <xf numFmtId="0" fontId="30" fillId="0" borderId="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2" fillId="0" borderId="0">
      <alignment vertical="center"/>
    </xf>
    <xf numFmtId="0" fontId="32" fillId="0" borderId="0">
      <alignment vertical="center"/>
    </xf>
    <xf numFmtId="0" fontId="33"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33" fillId="36"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36" borderId="0" applyNumberFormat="0" applyBorder="0" applyAlignment="0" applyProtection="0"/>
    <xf numFmtId="0" fontId="33" fillId="39" borderId="0" applyNumberFormat="0" applyBorder="0" applyAlignment="0" applyProtection="0"/>
    <xf numFmtId="0" fontId="33" fillId="42" borderId="0" applyNumberFormat="0" applyBorder="0" applyAlignment="0" applyProtection="0"/>
    <xf numFmtId="0" fontId="34" fillId="43"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167" fontId="30" fillId="0" borderId="0" applyFont="0" applyFill="0" applyBorder="0" applyAlignment="0" applyProtection="0"/>
    <xf numFmtId="0" fontId="50" fillId="4" borderId="0" applyNumberFormat="0" applyBorder="0" applyAlignment="0" applyProtection="0"/>
    <xf numFmtId="0" fontId="30" fillId="0" borderId="0"/>
    <xf numFmtId="0" fontId="31" fillId="32" borderId="16" applyNumberFormat="0" applyFont="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0" fillId="0" borderId="0"/>
    <xf numFmtId="0" fontId="30" fillId="0" borderId="0"/>
    <xf numFmtId="0" fontId="30" fillId="0" borderId="0"/>
    <xf numFmtId="0" fontId="30" fillId="0" borderId="0"/>
    <xf numFmtId="0" fontId="3" fillId="0" borderId="0" applyNumberFormat="0" applyFill="0" applyBorder="0" applyAlignment="0" applyProtection="0"/>
    <xf numFmtId="0" fontId="40" fillId="35" borderId="0" applyNumberFormat="0" applyBorder="0" applyAlignment="0" applyProtection="0"/>
    <xf numFmtId="0" fontId="7" fillId="2" borderId="0" applyNumberFormat="0" applyBorder="0" applyAlignment="0" applyProtection="0">
      <alignment vertical="center"/>
    </xf>
    <xf numFmtId="0" fontId="39" fillId="34" borderId="0" applyNumberFormat="0" applyBorder="0" applyAlignment="0" applyProtection="0"/>
    <xf numFmtId="0" fontId="8" fillId="3" borderId="0" applyNumberFormat="0" applyBorder="0" applyAlignment="0" applyProtection="0">
      <alignment vertical="center"/>
    </xf>
    <xf numFmtId="0" fontId="30" fillId="0" borderId="0"/>
    <xf numFmtId="0" fontId="34" fillId="47"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50" borderId="0" applyNumberFormat="0" applyBorder="0" applyAlignment="0" applyProtection="0"/>
    <xf numFmtId="0" fontId="35" fillId="0" borderId="0" applyNumberFormat="0" applyFill="0" applyBorder="0" applyAlignment="0" applyProtection="0"/>
    <xf numFmtId="0" fontId="36" fillId="0" borderId="19" applyNumberFormat="0" applyFill="0" applyAlignment="0" applyProtection="0"/>
    <xf numFmtId="0" fontId="37" fillId="0" borderId="20" applyNumberFormat="0" applyFill="0" applyAlignment="0" applyProtection="0"/>
    <xf numFmtId="0" fontId="38" fillId="0" borderId="21" applyNumberFormat="0" applyFill="0" applyAlignment="0" applyProtection="0"/>
    <xf numFmtId="0" fontId="38" fillId="0" borderId="0" applyNumberFormat="0" applyFill="0" applyBorder="0" applyAlignment="0" applyProtection="0"/>
    <xf numFmtId="0" fontId="43" fillId="52" borderId="18"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7" fillId="53" borderId="0" applyNumberFormat="0" applyBorder="0" applyAlignment="0" applyProtection="0"/>
    <xf numFmtId="0" fontId="46" fillId="0" borderId="22" applyNumberFormat="0" applyFill="0" applyAlignment="0" applyProtection="0"/>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68" fillId="0" borderId="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9" fontId="30" fillId="0" borderId="0" applyFont="0" applyFill="0" applyBorder="0" applyAlignment="0" applyProtection="0"/>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3" fillId="0" borderId="0" applyNumberFormat="0" applyFill="0" applyBorder="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30"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30" fillId="0" borderId="0"/>
    <xf numFmtId="9" fontId="30" fillId="0" borderId="0" applyFont="0" applyFill="0" applyBorder="0" applyAlignment="0" applyProtection="0"/>
    <xf numFmtId="9" fontId="30" fillId="0" borderId="0" applyFont="0" applyFill="0" applyBorder="0" applyAlignment="0" applyProtection="0"/>
    <xf numFmtId="167" fontId="30" fillId="0" borderId="0" applyFont="0" applyFill="0" applyBorder="0" applyAlignment="0" applyProtection="0"/>
    <xf numFmtId="0" fontId="30" fillId="0" borderId="0"/>
    <xf numFmtId="9" fontId="30"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69" fillId="0" borderId="0" applyNumberFormat="0" applyFill="0" applyBorder="0" applyAlignment="0" applyProtection="0"/>
    <xf numFmtId="0" fontId="2" fillId="0" borderId="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2" fillId="33"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122" fillId="34"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122" fillId="35"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122" fillId="36"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122" fillId="37" borderId="0" applyNumberFormat="0" applyBorder="0" applyAlignment="0" applyProtection="0">
      <alignment vertical="center"/>
    </xf>
    <xf numFmtId="0" fontId="51" fillId="25" borderId="0" applyNumberFormat="0" applyBorder="0" applyAlignment="0" applyProtection="0">
      <alignment vertical="center"/>
    </xf>
    <xf numFmtId="0" fontId="122" fillId="38" borderId="0" applyNumberFormat="0" applyBorder="0" applyAlignment="0" applyProtection="0">
      <alignment vertical="center"/>
    </xf>
    <xf numFmtId="0" fontId="51" fillId="29" borderId="0" applyNumberFormat="0" applyBorder="0" applyAlignment="0" applyProtection="0">
      <alignment vertical="center"/>
    </xf>
    <xf numFmtId="0" fontId="71" fillId="33" borderId="0" applyNumberFormat="0" applyBorder="0" applyAlignment="0" applyProtection="0">
      <alignment vertical="center"/>
    </xf>
    <xf numFmtId="0" fontId="267" fillId="33" borderId="0" applyNumberFormat="0" applyBorder="0" applyAlignment="0" applyProtection="0">
      <alignment vertical="center"/>
    </xf>
    <xf numFmtId="0" fontId="147" fillId="33" borderId="0" applyNumberFormat="0" applyBorder="0" applyAlignment="0" applyProtection="0">
      <alignment vertical="center"/>
    </xf>
    <xf numFmtId="0" fontId="195" fillId="33" borderId="0" applyNumberFormat="0" applyBorder="0" applyAlignment="0" applyProtection="0">
      <alignment vertical="center"/>
    </xf>
    <xf numFmtId="0" fontId="195" fillId="33" borderId="0" applyNumberFormat="0" applyBorder="0" applyAlignment="0" applyProtection="0">
      <alignment vertical="center"/>
    </xf>
    <xf numFmtId="0" fontId="267" fillId="33" borderId="0" applyNumberFormat="0" applyBorder="0" applyAlignment="0" applyProtection="0">
      <alignment vertical="center"/>
    </xf>
    <xf numFmtId="0" fontId="162" fillId="33" borderId="0" applyNumberFormat="0" applyBorder="0" applyAlignment="0" applyProtection="0">
      <alignment vertical="center"/>
    </xf>
    <xf numFmtId="0" fontId="195" fillId="33" borderId="0" applyNumberFormat="0" applyBorder="0" applyAlignment="0" applyProtection="0">
      <alignment vertical="center"/>
    </xf>
    <xf numFmtId="0" fontId="71" fillId="55" borderId="0" applyNumberFormat="0" applyBorder="0" applyAlignment="0" applyProtection="0">
      <alignment vertical="center"/>
    </xf>
    <xf numFmtId="0" fontId="71" fillId="56" borderId="0" applyNumberFormat="0" applyBorder="0" applyAlignment="0" applyProtection="0"/>
    <xf numFmtId="0" fontId="195" fillId="33" borderId="0" applyNumberFormat="0" applyBorder="0" applyAlignment="0" applyProtection="0">
      <alignment vertical="center"/>
    </xf>
    <xf numFmtId="0" fontId="213" fillId="33" borderId="0" applyNumberFormat="0" applyBorder="0" applyAlignment="0" applyProtection="0">
      <alignment vertical="center"/>
    </xf>
    <xf numFmtId="0" fontId="71" fillId="33" borderId="0" applyNumberFormat="0" applyBorder="0" applyAlignment="0" applyProtection="0">
      <alignment vertical="center"/>
    </xf>
    <xf numFmtId="0" fontId="249" fillId="33" borderId="0" applyNumberFormat="0" applyBorder="0" applyAlignment="0" applyProtection="0">
      <alignment vertical="center"/>
    </xf>
    <xf numFmtId="0" fontId="71" fillId="34" borderId="0" applyNumberFormat="0" applyBorder="0" applyAlignment="0" applyProtection="0">
      <alignment vertical="center"/>
    </xf>
    <xf numFmtId="0" fontId="267" fillId="34" borderId="0" applyNumberFormat="0" applyBorder="0" applyAlignment="0" applyProtection="0">
      <alignment vertical="center"/>
    </xf>
    <xf numFmtId="0" fontId="147" fillId="34" borderId="0" applyNumberFormat="0" applyBorder="0" applyAlignment="0" applyProtection="0">
      <alignment vertical="center"/>
    </xf>
    <xf numFmtId="0" fontId="195" fillId="34" borderId="0" applyNumberFormat="0" applyBorder="0" applyAlignment="0" applyProtection="0">
      <alignment vertical="center"/>
    </xf>
    <xf numFmtId="0" fontId="195" fillId="34" borderId="0" applyNumberFormat="0" applyBorder="0" applyAlignment="0" applyProtection="0">
      <alignment vertical="center"/>
    </xf>
    <xf numFmtId="0" fontId="267" fillId="34" borderId="0" applyNumberFormat="0" applyBorder="0" applyAlignment="0" applyProtection="0">
      <alignment vertical="center"/>
    </xf>
    <xf numFmtId="0" fontId="162" fillId="34" borderId="0" applyNumberFormat="0" applyBorder="0" applyAlignment="0" applyProtection="0">
      <alignment vertical="center"/>
    </xf>
    <xf numFmtId="0" fontId="195" fillId="34" borderId="0" applyNumberFormat="0" applyBorder="0" applyAlignment="0" applyProtection="0">
      <alignment vertical="center"/>
    </xf>
    <xf numFmtId="0" fontId="71" fillId="57" borderId="0" applyNumberFormat="0" applyBorder="0" applyAlignment="0" applyProtection="0">
      <alignment vertical="center"/>
    </xf>
    <xf numFmtId="0" fontId="71" fillId="58" borderId="0" applyNumberFormat="0" applyBorder="0" applyAlignment="0" applyProtection="0"/>
    <xf numFmtId="0" fontId="195" fillId="34" borderId="0" applyNumberFormat="0" applyBorder="0" applyAlignment="0" applyProtection="0">
      <alignment vertical="center"/>
    </xf>
    <xf numFmtId="0" fontId="213" fillId="34" borderId="0" applyNumberFormat="0" applyBorder="0" applyAlignment="0" applyProtection="0">
      <alignment vertical="center"/>
    </xf>
    <xf numFmtId="0" fontId="71" fillId="34" borderId="0" applyNumberFormat="0" applyBorder="0" applyAlignment="0" applyProtection="0">
      <alignment vertical="center"/>
    </xf>
    <xf numFmtId="0" fontId="249" fillId="34" borderId="0" applyNumberFormat="0" applyBorder="0" applyAlignment="0" applyProtection="0">
      <alignment vertical="center"/>
    </xf>
    <xf numFmtId="0" fontId="71" fillId="35" borderId="0" applyNumberFormat="0" applyBorder="0" applyAlignment="0" applyProtection="0">
      <alignment vertical="center"/>
    </xf>
    <xf numFmtId="0" fontId="267" fillId="35" borderId="0" applyNumberFormat="0" applyBorder="0" applyAlignment="0" applyProtection="0">
      <alignment vertical="center"/>
    </xf>
    <xf numFmtId="0" fontId="147" fillId="35" borderId="0" applyNumberFormat="0" applyBorder="0" applyAlignment="0" applyProtection="0">
      <alignment vertical="center"/>
    </xf>
    <xf numFmtId="0" fontId="195" fillId="35" borderId="0" applyNumberFormat="0" applyBorder="0" applyAlignment="0" applyProtection="0">
      <alignment vertical="center"/>
    </xf>
    <xf numFmtId="0" fontId="195" fillId="35" borderId="0" applyNumberFormat="0" applyBorder="0" applyAlignment="0" applyProtection="0">
      <alignment vertical="center"/>
    </xf>
    <xf numFmtId="0" fontId="267" fillId="35" borderId="0" applyNumberFormat="0" applyBorder="0" applyAlignment="0" applyProtection="0">
      <alignment vertical="center"/>
    </xf>
    <xf numFmtId="0" fontId="162" fillId="35" borderId="0" applyNumberFormat="0" applyBorder="0" applyAlignment="0" applyProtection="0">
      <alignment vertical="center"/>
    </xf>
    <xf numFmtId="0" fontId="195" fillId="35" borderId="0" applyNumberFormat="0" applyBorder="0" applyAlignment="0" applyProtection="0">
      <alignment vertical="center"/>
    </xf>
    <xf numFmtId="0" fontId="71" fillId="59" borderId="0" applyNumberFormat="0" applyBorder="0" applyAlignment="0" applyProtection="0">
      <alignment vertical="center"/>
    </xf>
    <xf numFmtId="0" fontId="71" fillId="60" borderId="0" applyNumberFormat="0" applyBorder="0" applyAlignment="0" applyProtection="0"/>
    <xf numFmtId="0" fontId="195" fillId="35" borderId="0" applyNumberFormat="0" applyBorder="0" applyAlignment="0" applyProtection="0">
      <alignment vertical="center"/>
    </xf>
    <xf numFmtId="0" fontId="213" fillId="35" borderId="0" applyNumberFormat="0" applyBorder="0" applyAlignment="0" applyProtection="0">
      <alignment vertical="center"/>
    </xf>
    <xf numFmtId="0" fontId="71" fillId="35" borderId="0" applyNumberFormat="0" applyBorder="0" applyAlignment="0" applyProtection="0">
      <alignment vertical="center"/>
    </xf>
    <xf numFmtId="0" fontId="249" fillId="35" borderId="0" applyNumberFormat="0" applyBorder="0" applyAlignment="0" applyProtection="0">
      <alignment vertical="center"/>
    </xf>
    <xf numFmtId="0" fontId="71" fillId="36" borderId="0" applyNumberFormat="0" applyBorder="0" applyAlignment="0" applyProtection="0">
      <alignment vertical="center"/>
    </xf>
    <xf numFmtId="0" fontId="267" fillId="36" borderId="0" applyNumberFormat="0" applyBorder="0" applyAlignment="0" applyProtection="0">
      <alignment vertical="center"/>
    </xf>
    <xf numFmtId="0" fontId="147" fillId="36" borderId="0" applyNumberFormat="0" applyBorder="0" applyAlignment="0" applyProtection="0">
      <alignment vertical="center"/>
    </xf>
    <xf numFmtId="0" fontId="195" fillId="36" borderId="0" applyNumberFormat="0" applyBorder="0" applyAlignment="0" applyProtection="0">
      <alignment vertical="center"/>
    </xf>
    <xf numFmtId="0" fontId="195" fillId="36" borderId="0" applyNumberFormat="0" applyBorder="0" applyAlignment="0" applyProtection="0">
      <alignment vertical="center"/>
    </xf>
    <xf numFmtId="0" fontId="267" fillId="36" borderId="0" applyNumberFormat="0" applyBorder="0" applyAlignment="0" applyProtection="0">
      <alignment vertical="center"/>
    </xf>
    <xf numFmtId="0" fontId="162" fillId="36" borderId="0" applyNumberFormat="0" applyBorder="0" applyAlignment="0" applyProtection="0">
      <alignment vertical="center"/>
    </xf>
    <xf numFmtId="0" fontId="195" fillId="36" borderId="0" applyNumberFormat="0" applyBorder="0" applyAlignment="0" applyProtection="0">
      <alignment vertical="center"/>
    </xf>
    <xf numFmtId="0" fontId="71" fillId="61" borderId="0" applyNumberFormat="0" applyBorder="0" applyAlignment="0" applyProtection="0">
      <alignment vertical="center"/>
    </xf>
    <xf numFmtId="0" fontId="71" fillId="62" borderId="0" applyNumberFormat="0" applyBorder="0" applyAlignment="0" applyProtection="0"/>
    <xf numFmtId="0" fontId="195" fillId="36" borderId="0" applyNumberFormat="0" applyBorder="0" applyAlignment="0" applyProtection="0">
      <alignment vertical="center"/>
    </xf>
    <xf numFmtId="0" fontId="213" fillId="36" borderId="0" applyNumberFormat="0" applyBorder="0" applyAlignment="0" applyProtection="0">
      <alignment vertical="center"/>
    </xf>
    <xf numFmtId="0" fontId="71" fillId="36" borderId="0" applyNumberFormat="0" applyBorder="0" applyAlignment="0" applyProtection="0">
      <alignment vertical="center"/>
    </xf>
    <xf numFmtId="0" fontId="249" fillId="36" borderId="0" applyNumberFormat="0" applyBorder="0" applyAlignment="0" applyProtection="0">
      <alignment vertical="center"/>
    </xf>
    <xf numFmtId="0" fontId="71" fillId="37" borderId="0" applyNumberFormat="0" applyBorder="0" applyAlignment="0" applyProtection="0">
      <alignment vertical="center"/>
    </xf>
    <xf numFmtId="0" fontId="267" fillId="37" borderId="0" applyNumberFormat="0" applyBorder="0" applyAlignment="0" applyProtection="0">
      <alignment vertical="center"/>
    </xf>
    <xf numFmtId="0" fontId="147" fillId="37" borderId="0" applyNumberFormat="0" applyBorder="0" applyAlignment="0" applyProtection="0">
      <alignment vertical="center"/>
    </xf>
    <xf numFmtId="0" fontId="195" fillId="37" borderId="0" applyNumberFormat="0" applyBorder="0" applyAlignment="0" applyProtection="0">
      <alignment vertical="center"/>
    </xf>
    <xf numFmtId="0" fontId="195" fillId="37" borderId="0" applyNumberFormat="0" applyBorder="0" applyAlignment="0" applyProtection="0">
      <alignment vertical="center"/>
    </xf>
    <xf numFmtId="0" fontId="267" fillId="37" borderId="0" applyNumberFormat="0" applyBorder="0" applyAlignment="0" applyProtection="0">
      <alignment vertical="center"/>
    </xf>
    <xf numFmtId="0" fontId="162" fillId="37" borderId="0" applyNumberFormat="0" applyBorder="0" applyAlignment="0" applyProtection="0">
      <alignment vertical="center"/>
    </xf>
    <xf numFmtId="0" fontId="195" fillId="37" borderId="0" applyNumberFormat="0" applyBorder="0" applyAlignment="0" applyProtection="0">
      <alignment vertical="center"/>
    </xf>
    <xf numFmtId="0" fontId="71" fillId="63" borderId="0" applyNumberFormat="0" applyBorder="0" applyAlignment="0" applyProtection="0">
      <alignment vertical="center"/>
    </xf>
    <xf numFmtId="0" fontId="71" fillId="64" borderId="0" applyNumberFormat="0" applyBorder="0" applyAlignment="0" applyProtection="0"/>
    <xf numFmtId="0" fontId="195" fillId="37" borderId="0" applyNumberFormat="0" applyBorder="0" applyAlignment="0" applyProtection="0">
      <alignment vertical="center"/>
    </xf>
    <xf numFmtId="0" fontId="213" fillId="37" borderId="0" applyNumberFormat="0" applyBorder="0" applyAlignment="0" applyProtection="0">
      <alignment vertical="center"/>
    </xf>
    <xf numFmtId="0" fontId="71" fillId="37" borderId="0" applyNumberFormat="0" applyBorder="0" applyAlignment="0" applyProtection="0">
      <alignment vertical="center"/>
    </xf>
    <xf numFmtId="0" fontId="249" fillId="37" borderId="0" applyNumberFormat="0" applyBorder="0" applyAlignment="0" applyProtection="0">
      <alignment vertical="center"/>
    </xf>
    <xf numFmtId="0" fontId="71" fillId="38" borderId="0" applyNumberFormat="0" applyBorder="0" applyAlignment="0" applyProtection="0">
      <alignment vertical="center"/>
    </xf>
    <xf numFmtId="0" fontId="267" fillId="38" borderId="0" applyNumberFormat="0" applyBorder="0" applyAlignment="0" applyProtection="0">
      <alignment vertical="center"/>
    </xf>
    <xf numFmtId="0" fontId="147" fillId="38" borderId="0" applyNumberFormat="0" applyBorder="0" applyAlignment="0" applyProtection="0">
      <alignment vertical="center"/>
    </xf>
    <xf numFmtId="0" fontId="195" fillId="38" borderId="0" applyNumberFormat="0" applyBorder="0" applyAlignment="0" applyProtection="0">
      <alignment vertical="center"/>
    </xf>
    <xf numFmtId="0" fontId="195" fillId="38" borderId="0" applyNumberFormat="0" applyBorder="0" applyAlignment="0" applyProtection="0">
      <alignment vertical="center"/>
    </xf>
    <xf numFmtId="0" fontId="267" fillId="38" borderId="0" applyNumberFormat="0" applyBorder="0" applyAlignment="0" applyProtection="0">
      <alignment vertical="center"/>
    </xf>
    <xf numFmtId="0" fontId="162" fillId="38" borderId="0" applyNumberFormat="0" applyBorder="0" applyAlignment="0" applyProtection="0">
      <alignment vertical="center"/>
    </xf>
    <xf numFmtId="0" fontId="195" fillId="38" borderId="0" applyNumberFormat="0" applyBorder="0" applyAlignment="0" applyProtection="0">
      <alignment vertical="center"/>
    </xf>
    <xf numFmtId="0" fontId="71" fillId="65" borderId="0" applyNumberFormat="0" applyBorder="0" applyAlignment="0" applyProtection="0">
      <alignment vertical="center"/>
    </xf>
    <xf numFmtId="0" fontId="71" fillId="66" borderId="0" applyNumberFormat="0" applyBorder="0" applyAlignment="0" applyProtection="0"/>
    <xf numFmtId="0" fontId="195" fillId="38" borderId="0" applyNumberFormat="0" applyBorder="0" applyAlignment="0" applyProtection="0">
      <alignment vertical="center"/>
    </xf>
    <xf numFmtId="0" fontId="213" fillId="38" borderId="0" applyNumberFormat="0" applyBorder="0" applyAlignment="0" applyProtection="0">
      <alignment vertical="center"/>
    </xf>
    <xf numFmtId="0" fontId="71" fillId="38" borderId="0" applyNumberFormat="0" applyBorder="0" applyAlignment="0" applyProtection="0">
      <alignment vertical="center"/>
    </xf>
    <xf numFmtId="0" fontId="249" fillId="38" borderId="0" applyNumberFormat="0" applyBorder="0" applyAlignment="0" applyProtection="0">
      <alignment vertical="center"/>
    </xf>
    <xf numFmtId="0" fontId="88" fillId="67" borderId="0" applyNumberFormat="0" applyBorder="0" applyAlignment="0" applyProtection="0">
      <alignment vertical="center"/>
    </xf>
    <xf numFmtId="0" fontId="189" fillId="68" borderId="0" applyNumberFormat="0" applyBorder="0" applyAlignment="0" applyProtection="0">
      <alignment vertical="center"/>
    </xf>
    <xf numFmtId="0" fontId="189" fillId="67" borderId="0" applyNumberFormat="0" applyBorder="0" applyAlignment="0" applyProtection="0">
      <alignment vertical="center"/>
    </xf>
    <xf numFmtId="0" fontId="88" fillId="69" borderId="0" applyNumberFormat="0" applyBorder="0" applyAlignment="0" applyProtection="0"/>
    <xf numFmtId="0" fontId="88" fillId="68" borderId="0" applyNumberFormat="0" applyBorder="0" applyAlignment="0" applyProtection="0">
      <alignment vertical="center"/>
    </xf>
    <xf numFmtId="0" fontId="232" fillId="68" borderId="0" applyNumberFormat="0" applyBorder="0" applyAlignment="0" applyProtection="0">
      <alignment vertical="center"/>
    </xf>
    <xf numFmtId="0" fontId="189" fillId="68"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88" fillId="54" borderId="0" applyNumberFormat="0" applyBorder="0" applyAlignment="0" applyProtection="0">
      <alignment vertical="center"/>
    </xf>
    <xf numFmtId="0" fontId="189" fillId="70" borderId="0" applyNumberFormat="0" applyBorder="0" applyAlignment="0" applyProtection="0">
      <alignment vertical="center"/>
    </xf>
    <xf numFmtId="0" fontId="189" fillId="54" borderId="0" applyNumberFormat="0" applyBorder="0" applyAlignment="0" applyProtection="0">
      <alignment vertical="center"/>
    </xf>
    <xf numFmtId="0" fontId="88" fillId="71" borderId="0" applyNumberFormat="0" applyBorder="0" applyAlignment="0" applyProtection="0"/>
    <xf numFmtId="0" fontId="88" fillId="70" borderId="0" applyNumberFormat="0" applyBorder="0" applyAlignment="0" applyProtection="0">
      <alignment vertical="center"/>
    </xf>
    <xf numFmtId="0" fontId="232" fillId="70" borderId="0" applyNumberFormat="0" applyBorder="0" applyAlignment="0" applyProtection="0">
      <alignment vertical="center"/>
    </xf>
    <xf numFmtId="0" fontId="189" fillId="70" borderId="0"/>
    <xf numFmtId="0" fontId="88" fillId="67" borderId="0" applyNumberFormat="0" applyBorder="0" applyAlignment="0" applyProtection="0">
      <alignment vertical="center"/>
    </xf>
    <xf numFmtId="0" fontId="189" fillId="68" borderId="0" applyNumberFormat="0" applyBorder="0" applyAlignment="0" applyProtection="0">
      <alignment vertical="center"/>
    </xf>
    <xf numFmtId="0" fontId="189" fillId="67" borderId="0" applyNumberFormat="0" applyBorder="0" applyAlignment="0" applyProtection="0">
      <alignment vertical="center"/>
    </xf>
    <xf numFmtId="0" fontId="88" fillId="69" borderId="0" applyNumberFormat="0" applyBorder="0" applyAlignment="0" applyProtection="0"/>
    <xf numFmtId="0" fontId="88" fillId="68" borderId="0" applyNumberFormat="0" applyBorder="0" applyAlignment="0" applyProtection="0">
      <alignment vertical="center"/>
    </xf>
    <xf numFmtId="0" fontId="232" fillId="68" borderId="0" applyNumberFormat="0" applyBorder="0" applyAlignment="0" applyProtection="0">
      <alignment vertical="center"/>
    </xf>
    <xf numFmtId="0" fontId="189" fillId="68" borderId="0"/>
    <xf numFmtId="0" fontId="88" fillId="37" borderId="0" applyNumberFormat="0" applyBorder="0" applyAlignment="0" applyProtection="0">
      <alignment vertical="center"/>
    </xf>
    <xf numFmtId="0" fontId="189" fillId="63" borderId="0" applyNumberFormat="0" applyBorder="0" applyAlignment="0" applyProtection="0">
      <alignment vertical="center"/>
    </xf>
    <xf numFmtId="0" fontId="189" fillId="37" borderId="0" applyNumberFormat="0" applyBorder="0" applyAlignment="0" applyProtection="0">
      <alignment vertical="center"/>
    </xf>
    <xf numFmtId="0" fontId="88" fillId="64" borderId="0" applyNumberFormat="0" applyBorder="0" applyAlignment="0" applyProtection="0"/>
    <xf numFmtId="0" fontId="88" fillId="63" borderId="0" applyNumberFormat="0" applyBorder="0" applyAlignment="0" applyProtection="0">
      <alignment vertical="center"/>
    </xf>
    <xf numFmtId="0" fontId="232" fillId="63" borderId="0" applyNumberFormat="0" applyBorder="0" applyAlignment="0" applyProtection="0">
      <alignment vertical="center"/>
    </xf>
    <xf numFmtId="0" fontId="189" fillId="63"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2" fillId="39"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40" borderId="0" applyNumberFormat="0" applyBorder="0" applyAlignment="0" applyProtection="0">
      <alignment vertical="center"/>
    </xf>
    <xf numFmtId="0" fontId="51" fillId="14" borderId="0" applyNumberFormat="0" applyBorder="0" applyAlignment="0" applyProtection="0">
      <alignment vertical="center"/>
    </xf>
    <xf numFmtId="0" fontId="122" fillId="4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122" fillId="36"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39" borderId="0" applyNumberFormat="0" applyBorder="0" applyAlignment="0" applyProtection="0">
      <alignment vertical="center"/>
    </xf>
    <xf numFmtId="0" fontId="51" fillId="26" borderId="0" applyNumberFormat="0" applyBorder="0" applyAlignment="0" applyProtection="0">
      <alignment vertical="center"/>
    </xf>
    <xf numFmtId="0" fontId="122" fillId="42"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71" fillId="39" borderId="0" applyNumberFormat="0" applyBorder="0" applyAlignment="0" applyProtection="0">
      <alignment vertical="center"/>
    </xf>
    <xf numFmtId="0" fontId="267" fillId="39" borderId="0" applyNumberFormat="0" applyBorder="0" applyAlignment="0" applyProtection="0">
      <alignment vertical="center"/>
    </xf>
    <xf numFmtId="0" fontId="147" fillId="39" borderId="0" applyNumberFormat="0" applyBorder="0" applyAlignment="0" applyProtection="0">
      <alignment vertical="center"/>
    </xf>
    <xf numFmtId="0" fontId="195" fillId="39" borderId="0" applyNumberFormat="0" applyBorder="0" applyAlignment="0" applyProtection="0">
      <alignment vertical="center"/>
    </xf>
    <xf numFmtId="0" fontId="195" fillId="39" borderId="0" applyNumberFormat="0" applyBorder="0" applyAlignment="0" applyProtection="0">
      <alignment vertical="center"/>
    </xf>
    <xf numFmtId="0" fontId="267" fillId="39" borderId="0" applyNumberFormat="0" applyBorder="0" applyAlignment="0" applyProtection="0">
      <alignment vertical="center"/>
    </xf>
    <xf numFmtId="0" fontId="162" fillId="39" borderId="0" applyNumberFormat="0" applyBorder="0" applyAlignment="0" applyProtection="0">
      <alignment vertical="center"/>
    </xf>
    <xf numFmtId="0" fontId="195" fillId="39" borderId="0" applyNumberFormat="0" applyBorder="0" applyAlignment="0" applyProtection="0">
      <alignment vertical="center"/>
    </xf>
    <xf numFmtId="0" fontId="71" fillId="72" borderId="0" applyNumberFormat="0" applyBorder="0" applyAlignment="0" applyProtection="0">
      <alignment vertical="center"/>
    </xf>
    <xf numFmtId="0" fontId="71" fillId="73" borderId="0" applyNumberFormat="0" applyBorder="0" applyAlignment="0" applyProtection="0"/>
    <xf numFmtId="0" fontId="195" fillId="39" borderId="0" applyNumberFormat="0" applyBorder="0" applyAlignment="0" applyProtection="0">
      <alignment vertical="center"/>
    </xf>
    <xf numFmtId="0" fontId="213" fillId="39" borderId="0" applyNumberFormat="0" applyBorder="0" applyAlignment="0" applyProtection="0">
      <alignment vertical="center"/>
    </xf>
    <xf numFmtId="0" fontId="71" fillId="39" borderId="0" applyNumberFormat="0" applyBorder="0" applyAlignment="0" applyProtection="0">
      <alignment vertical="center"/>
    </xf>
    <xf numFmtId="0" fontId="249" fillId="39" borderId="0" applyNumberFormat="0" applyBorder="0" applyAlignment="0" applyProtection="0">
      <alignment vertical="center"/>
    </xf>
    <xf numFmtId="0" fontId="71" fillId="40" borderId="0" applyNumberFormat="0" applyBorder="0" applyAlignment="0" applyProtection="0">
      <alignment vertical="center"/>
    </xf>
    <xf numFmtId="0" fontId="267" fillId="40" borderId="0" applyNumberFormat="0" applyBorder="0" applyAlignment="0" applyProtection="0">
      <alignment vertical="center"/>
    </xf>
    <xf numFmtId="0" fontId="147" fillId="40" borderId="0" applyNumberFormat="0" applyBorder="0" applyAlignment="0" applyProtection="0">
      <alignment vertical="center"/>
    </xf>
    <xf numFmtId="0" fontId="195" fillId="40" borderId="0" applyNumberFormat="0" applyBorder="0" applyAlignment="0" applyProtection="0">
      <alignment vertical="center"/>
    </xf>
    <xf numFmtId="0" fontId="195" fillId="40" borderId="0" applyNumberFormat="0" applyBorder="0" applyAlignment="0" applyProtection="0">
      <alignment vertical="center"/>
    </xf>
    <xf numFmtId="0" fontId="267" fillId="40" borderId="0" applyNumberFormat="0" applyBorder="0" applyAlignment="0" applyProtection="0">
      <alignment vertical="center"/>
    </xf>
    <xf numFmtId="0" fontId="162" fillId="40" borderId="0" applyNumberFormat="0" applyBorder="0" applyAlignment="0" applyProtection="0">
      <alignment vertical="center"/>
    </xf>
    <xf numFmtId="0" fontId="195" fillId="40" borderId="0" applyNumberFormat="0" applyBorder="0" applyAlignment="0" applyProtection="0">
      <alignment vertical="center"/>
    </xf>
    <xf numFmtId="0" fontId="71" fillId="74" borderId="0" applyNumberFormat="0" applyBorder="0" applyAlignment="0" applyProtection="0">
      <alignment vertical="center"/>
    </xf>
    <xf numFmtId="0" fontId="71" fillId="75" borderId="0" applyNumberFormat="0" applyBorder="0" applyAlignment="0" applyProtection="0"/>
    <xf numFmtId="0" fontId="195" fillId="40" borderId="0" applyNumberFormat="0" applyBorder="0" applyAlignment="0" applyProtection="0">
      <alignment vertical="center"/>
    </xf>
    <xf numFmtId="0" fontId="213" fillId="40" borderId="0" applyNumberFormat="0" applyBorder="0" applyAlignment="0" applyProtection="0">
      <alignment vertical="center"/>
    </xf>
    <xf numFmtId="0" fontId="71" fillId="40" borderId="0" applyNumberFormat="0" applyBorder="0" applyAlignment="0" applyProtection="0">
      <alignment vertical="center"/>
    </xf>
    <xf numFmtId="0" fontId="249" fillId="40" borderId="0" applyNumberFormat="0" applyBorder="0" applyAlignment="0" applyProtection="0">
      <alignment vertical="center"/>
    </xf>
    <xf numFmtId="0" fontId="71" fillId="41" borderId="0" applyNumberFormat="0" applyBorder="0" applyAlignment="0" applyProtection="0">
      <alignment vertical="center"/>
    </xf>
    <xf numFmtId="0" fontId="267" fillId="41" borderId="0" applyNumberFormat="0" applyBorder="0" applyAlignment="0" applyProtection="0">
      <alignment vertical="center"/>
    </xf>
    <xf numFmtId="0" fontId="147" fillId="41" borderId="0" applyNumberFormat="0" applyBorder="0" applyAlignment="0" applyProtection="0">
      <alignment vertical="center"/>
    </xf>
    <xf numFmtId="0" fontId="195" fillId="41" borderId="0" applyNumberFormat="0" applyBorder="0" applyAlignment="0" applyProtection="0">
      <alignment vertical="center"/>
    </xf>
    <xf numFmtId="0" fontId="195" fillId="41" borderId="0" applyNumberFormat="0" applyBorder="0" applyAlignment="0" applyProtection="0">
      <alignment vertical="center"/>
    </xf>
    <xf numFmtId="0" fontId="267" fillId="41" borderId="0" applyNumberFormat="0" applyBorder="0" applyAlignment="0" applyProtection="0">
      <alignment vertical="center"/>
    </xf>
    <xf numFmtId="0" fontId="162" fillId="41" borderId="0" applyNumberFormat="0" applyBorder="0" applyAlignment="0" applyProtection="0">
      <alignment vertical="center"/>
    </xf>
    <xf numFmtId="0" fontId="195" fillId="41" borderId="0" applyNumberFormat="0" applyBorder="0" applyAlignment="0" applyProtection="0">
      <alignment vertical="center"/>
    </xf>
    <xf numFmtId="0" fontId="71" fillId="76" borderId="0" applyNumberFormat="0" applyBorder="0" applyAlignment="0" applyProtection="0">
      <alignment vertical="center"/>
    </xf>
    <xf numFmtId="0" fontId="71" fillId="77" borderId="0" applyNumberFormat="0" applyBorder="0" applyAlignment="0" applyProtection="0"/>
    <xf numFmtId="0" fontId="195" fillId="41" borderId="0" applyNumberFormat="0" applyBorder="0" applyAlignment="0" applyProtection="0">
      <alignment vertical="center"/>
    </xf>
    <xf numFmtId="0" fontId="213" fillId="41" borderId="0" applyNumberFormat="0" applyBorder="0" applyAlignment="0" applyProtection="0">
      <alignment vertical="center"/>
    </xf>
    <xf numFmtId="0" fontId="71" fillId="41" borderId="0" applyNumberFormat="0" applyBorder="0" applyAlignment="0" applyProtection="0">
      <alignment vertical="center"/>
    </xf>
    <xf numFmtId="0" fontId="249" fillId="41" borderId="0" applyNumberFormat="0" applyBorder="0" applyAlignment="0" applyProtection="0">
      <alignment vertical="center"/>
    </xf>
    <xf numFmtId="0" fontId="71" fillId="36" borderId="0" applyNumberFormat="0" applyBorder="0" applyAlignment="0" applyProtection="0">
      <alignment vertical="center"/>
    </xf>
    <xf numFmtId="0" fontId="267" fillId="36" borderId="0" applyNumberFormat="0" applyBorder="0" applyAlignment="0" applyProtection="0">
      <alignment vertical="center"/>
    </xf>
    <xf numFmtId="0" fontId="147" fillId="36" borderId="0" applyNumberFormat="0" applyBorder="0" applyAlignment="0" applyProtection="0">
      <alignment vertical="center"/>
    </xf>
    <xf numFmtId="0" fontId="195" fillId="36" borderId="0" applyNumberFormat="0" applyBorder="0" applyAlignment="0" applyProtection="0">
      <alignment vertical="center"/>
    </xf>
    <xf numFmtId="0" fontId="195" fillId="36" borderId="0" applyNumberFormat="0" applyBorder="0" applyAlignment="0" applyProtection="0">
      <alignment vertical="center"/>
    </xf>
    <xf numFmtId="0" fontId="267" fillId="36" borderId="0" applyNumberFormat="0" applyBorder="0" applyAlignment="0" applyProtection="0">
      <alignment vertical="center"/>
    </xf>
    <xf numFmtId="0" fontId="162" fillId="36" borderId="0" applyNumberFormat="0" applyBorder="0" applyAlignment="0" applyProtection="0">
      <alignment vertical="center"/>
    </xf>
    <xf numFmtId="0" fontId="195" fillId="36" borderId="0" applyNumberFormat="0" applyBorder="0" applyAlignment="0" applyProtection="0">
      <alignment vertical="center"/>
    </xf>
    <xf numFmtId="0" fontId="71" fillId="61" borderId="0" applyNumberFormat="0" applyBorder="0" applyAlignment="0" applyProtection="0">
      <alignment vertical="center"/>
    </xf>
    <xf numFmtId="0" fontId="71" fillId="62" borderId="0" applyNumberFormat="0" applyBorder="0" applyAlignment="0" applyProtection="0"/>
    <xf numFmtId="0" fontId="195" fillId="36" borderId="0" applyNumberFormat="0" applyBorder="0" applyAlignment="0" applyProtection="0">
      <alignment vertical="center"/>
    </xf>
    <xf numFmtId="0" fontId="213" fillId="36" borderId="0" applyNumberFormat="0" applyBorder="0" applyAlignment="0" applyProtection="0">
      <alignment vertical="center"/>
    </xf>
    <xf numFmtId="0" fontId="71" fillId="36" borderId="0" applyNumberFormat="0" applyBorder="0" applyAlignment="0" applyProtection="0">
      <alignment vertical="center"/>
    </xf>
    <xf numFmtId="0" fontId="249" fillId="36" borderId="0" applyNumberFormat="0" applyBorder="0" applyAlignment="0" applyProtection="0">
      <alignment vertical="center"/>
    </xf>
    <xf numFmtId="0" fontId="71" fillId="39" borderId="0" applyNumberFormat="0" applyBorder="0" applyAlignment="0" applyProtection="0">
      <alignment vertical="center"/>
    </xf>
    <xf numFmtId="0" fontId="267" fillId="39" borderId="0" applyNumberFormat="0" applyBorder="0" applyAlignment="0" applyProtection="0">
      <alignment vertical="center"/>
    </xf>
    <xf numFmtId="0" fontId="147" fillId="39" borderId="0" applyNumberFormat="0" applyBorder="0" applyAlignment="0" applyProtection="0">
      <alignment vertical="center"/>
    </xf>
    <xf numFmtId="0" fontId="195" fillId="39" borderId="0" applyNumberFormat="0" applyBorder="0" applyAlignment="0" applyProtection="0">
      <alignment vertical="center"/>
    </xf>
    <xf numFmtId="0" fontId="195" fillId="39" borderId="0" applyNumberFormat="0" applyBorder="0" applyAlignment="0" applyProtection="0">
      <alignment vertical="center"/>
    </xf>
    <xf numFmtId="0" fontId="267" fillId="39" borderId="0" applyNumberFormat="0" applyBorder="0" applyAlignment="0" applyProtection="0">
      <alignment vertical="center"/>
    </xf>
    <xf numFmtId="0" fontId="162" fillId="39" borderId="0" applyNumberFormat="0" applyBorder="0" applyAlignment="0" applyProtection="0">
      <alignment vertical="center"/>
    </xf>
    <xf numFmtId="0" fontId="195" fillId="39" borderId="0" applyNumberFormat="0" applyBorder="0" applyAlignment="0" applyProtection="0">
      <alignment vertical="center"/>
    </xf>
    <xf numFmtId="0" fontId="71" fillId="72" borderId="0" applyNumberFormat="0" applyBorder="0" applyAlignment="0" applyProtection="0">
      <alignment vertical="center"/>
    </xf>
    <xf numFmtId="0" fontId="71" fillId="73" borderId="0" applyNumberFormat="0" applyBorder="0" applyAlignment="0" applyProtection="0"/>
    <xf numFmtId="0" fontId="195" fillId="39" borderId="0" applyNumberFormat="0" applyBorder="0" applyAlignment="0" applyProtection="0">
      <alignment vertical="center"/>
    </xf>
    <xf numFmtId="0" fontId="213" fillId="39" borderId="0" applyNumberFormat="0" applyBorder="0" applyAlignment="0" applyProtection="0">
      <alignment vertical="center"/>
    </xf>
    <xf numFmtId="0" fontId="71" fillId="39" borderId="0" applyNumberFormat="0" applyBorder="0" applyAlignment="0" applyProtection="0">
      <alignment vertical="center"/>
    </xf>
    <xf numFmtId="0" fontId="249" fillId="39" borderId="0" applyNumberFormat="0" applyBorder="0" applyAlignment="0" applyProtection="0">
      <alignment vertical="center"/>
    </xf>
    <xf numFmtId="0" fontId="71" fillId="42" borderId="0" applyNumberFormat="0" applyBorder="0" applyAlignment="0" applyProtection="0">
      <alignment vertical="center"/>
    </xf>
    <xf numFmtId="0" fontId="267" fillId="42" borderId="0" applyNumberFormat="0" applyBorder="0" applyAlignment="0" applyProtection="0">
      <alignment vertical="center"/>
    </xf>
    <xf numFmtId="0" fontId="147" fillId="42" borderId="0" applyNumberFormat="0" applyBorder="0" applyAlignment="0" applyProtection="0">
      <alignment vertical="center"/>
    </xf>
    <xf numFmtId="0" fontId="195" fillId="42" borderId="0" applyNumberFormat="0" applyBorder="0" applyAlignment="0" applyProtection="0">
      <alignment vertical="center"/>
    </xf>
    <xf numFmtId="0" fontId="195" fillId="42" borderId="0" applyNumberFormat="0" applyBorder="0" applyAlignment="0" applyProtection="0">
      <alignment vertical="center"/>
    </xf>
    <xf numFmtId="0" fontId="267" fillId="42" borderId="0" applyNumberFormat="0" applyBorder="0" applyAlignment="0" applyProtection="0">
      <alignment vertical="center"/>
    </xf>
    <xf numFmtId="0" fontId="162" fillId="42" borderId="0" applyNumberFormat="0" applyBorder="0" applyAlignment="0" applyProtection="0">
      <alignment vertical="center"/>
    </xf>
    <xf numFmtId="0" fontId="195" fillId="42" borderId="0" applyNumberFormat="0" applyBorder="0" applyAlignment="0" applyProtection="0">
      <alignment vertical="center"/>
    </xf>
    <xf numFmtId="0" fontId="71" fillId="78" borderId="0" applyNumberFormat="0" applyBorder="0" applyAlignment="0" applyProtection="0">
      <alignment vertical="center"/>
    </xf>
    <xf numFmtId="0" fontId="71" fillId="79" borderId="0" applyNumberFormat="0" applyBorder="0" applyAlignment="0" applyProtection="0"/>
    <xf numFmtId="0" fontId="195" fillId="42" borderId="0" applyNumberFormat="0" applyBorder="0" applyAlignment="0" applyProtection="0">
      <alignment vertical="center"/>
    </xf>
    <xf numFmtId="0" fontId="213" fillId="42" borderId="0" applyNumberFormat="0" applyBorder="0" applyAlignment="0" applyProtection="0">
      <alignment vertical="center"/>
    </xf>
    <xf numFmtId="0" fontId="71" fillId="42" borderId="0" applyNumberFormat="0" applyBorder="0" applyAlignment="0" applyProtection="0">
      <alignment vertical="center"/>
    </xf>
    <xf numFmtId="0" fontId="249" fillId="42" borderId="0" applyNumberFormat="0" applyBorder="0" applyAlignment="0" applyProtection="0">
      <alignment vertical="center"/>
    </xf>
    <xf numFmtId="0" fontId="88" fillId="51" borderId="0" applyNumberFormat="0" applyBorder="0" applyAlignment="0" applyProtection="0">
      <alignment vertical="center"/>
    </xf>
    <xf numFmtId="0" fontId="189" fillId="80" borderId="0" applyNumberFormat="0" applyBorder="0" applyAlignment="0" applyProtection="0">
      <alignment vertical="center"/>
    </xf>
    <xf numFmtId="0" fontId="189"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9" fillId="80" borderId="0"/>
    <xf numFmtId="0" fontId="88" fillId="40" borderId="0" applyNumberFormat="0" applyBorder="0" applyAlignment="0" applyProtection="0">
      <alignment vertical="center"/>
    </xf>
    <xf numFmtId="0" fontId="189" fillId="74" borderId="0" applyNumberFormat="0" applyBorder="0" applyAlignment="0" applyProtection="0">
      <alignment vertical="center"/>
    </xf>
    <xf numFmtId="0" fontId="189" fillId="40" borderId="0" applyNumberFormat="0" applyBorder="0" applyAlignment="0" applyProtection="0">
      <alignment vertical="center"/>
    </xf>
    <xf numFmtId="0" fontId="88" fillId="75" borderId="0" applyNumberFormat="0" applyBorder="0" applyAlignment="0" applyProtection="0"/>
    <xf numFmtId="0" fontId="88" fillId="74" borderId="0" applyNumberFormat="0" applyBorder="0" applyAlignment="0" applyProtection="0">
      <alignment vertical="center"/>
    </xf>
    <xf numFmtId="0" fontId="232" fillId="74" borderId="0" applyNumberFormat="0" applyBorder="0" applyAlignment="0" applyProtection="0">
      <alignment vertical="center"/>
    </xf>
    <xf numFmtId="0" fontId="189" fillId="74" borderId="0"/>
    <xf numFmtId="0" fontId="88" fillId="53" borderId="0" applyNumberFormat="0" applyBorder="0" applyAlignment="0" applyProtection="0">
      <alignment vertical="center"/>
    </xf>
    <xf numFmtId="0" fontId="189" fillId="82" borderId="0" applyNumberFormat="0" applyBorder="0" applyAlignment="0" applyProtection="0">
      <alignment vertical="center"/>
    </xf>
    <xf numFmtId="0" fontId="189" fillId="53" borderId="0" applyNumberFormat="0" applyBorder="0" applyAlignment="0" applyProtection="0">
      <alignment vertical="center"/>
    </xf>
    <xf numFmtId="0" fontId="88" fillId="83" borderId="0" applyNumberFormat="0" applyBorder="0" applyAlignment="0" applyProtection="0"/>
    <xf numFmtId="0" fontId="88" fillId="82" borderId="0" applyNumberFormat="0" applyBorder="0" applyAlignment="0" applyProtection="0">
      <alignment vertical="center"/>
    </xf>
    <xf numFmtId="0" fontId="232" fillId="82" borderId="0" applyNumberFormat="0" applyBorder="0" applyAlignment="0" applyProtection="0">
      <alignment vertical="center"/>
    </xf>
    <xf numFmtId="0" fontId="189" fillId="82" borderId="0"/>
    <xf numFmtId="0" fontId="88" fillId="51" borderId="0" applyNumberFormat="0" applyBorder="0" applyAlignment="0" applyProtection="0">
      <alignment vertical="center"/>
    </xf>
    <xf numFmtId="0" fontId="189" fillId="80" borderId="0" applyNumberFormat="0" applyBorder="0" applyAlignment="0" applyProtection="0">
      <alignment vertical="center"/>
    </xf>
    <xf numFmtId="0" fontId="189"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9" fillId="80" borderId="0"/>
    <xf numFmtId="0" fontId="88" fillId="39" borderId="0" applyNumberFormat="0" applyBorder="0" applyAlignment="0" applyProtection="0">
      <alignment vertical="center"/>
    </xf>
    <xf numFmtId="0" fontId="189" fillId="72" borderId="0" applyNumberFormat="0" applyBorder="0" applyAlignment="0" applyProtection="0">
      <alignment vertical="center"/>
    </xf>
    <xf numFmtId="0" fontId="189" fillId="39" borderId="0" applyNumberFormat="0" applyBorder="0" applyAlignment="0" applyProtection="0">
      <alignment vertical="center"/>
    </xf>
    <xf numFmtId="0" fontId="88" fillId="73" borderId="0" applyNumberFormat="0" applyBorder="0" applyAlignment="0" applyProtection="0"/>
    <xf numFmtId="0" fontId="88" fillId="72" borderId="0" applyNumberFormat="0" applyBorder="0" applyAlignment="0" applyProtection="0">
      <alignment vertical="center"/>
    </xf>
    <xf numFmtId="0" fontId="232" fillId="72" borderId="0" applyNumberFormat="0" applyBorder="0" applyAlignment="0" applyProtection="0">
      <alignment vertical="center"/>
    </xf>
    <xf numFmtId="0" fontId="189" fillId="72"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120" fillId="84" borderId="0" applyNumberFormat="0" applyBorder="0" applyAlignment="0" applyProtection="0"/>
    <xf numFmtId="0" fontId="120" fillId="85"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74" borderId="0" applyNumberFormat="0" applyBorder="0" applyAlignment="0" applyProtection="0"/>
    <xf numFmtId="0" fontId="120" fillId="75"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6" borderId="0" applyNumberFormat="0" applyBorder="0" applyAlignment="0" applyProtection="0"/>
    <xf numFmtId="0" fontId="120" fillId="77"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86" borderId="0" applyNumberFormat="0" applyBorder="0" applyAlignment="0" applyProtection="0"/>
    <xf numFmtId="0" fontId="120" fillId="87"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8" borderId="0" applyNumberFormat="0" applyBorder="0" applyAlignment="0" applyProtection="0"/>
    <xf numFmtId="0" fontId="120" fillId="89"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90" borderId="0" applyNumberFormat="0" applyBorder="0" applyAlignment="0" applyProtection="0"/>
    <xf numFmtId="0" fontId="120" fillId="91"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43" borderId="0" applyNumberFormat="0" applyBorder="0" applyAlignment="0" applyProtection="0"/>
    <xf numFmtId="0" fontId="120" fillId="40" borderId="0" applyNumberFormat="0" applyBorder="0" applyAlignment="0" applyProtection="0"/>
    <xf numFmtId="0" fontId="120" fillId="41" borderId="0" applyNumberFormat="0" applyBorder="0" applyAlignment="0" applyProtection="0"/>
    <xf numFmtId="0" fontId="120" fillId="44" borderId="0" applyNumberFormat="0" applyBorder="0" applyAlignment="0" applyProtection="0"/>
    <xf numFmtId="0" fontId="120" fillId="45" borderId="0" applyNumberFormat="0" applyBorder="0" applyAlignment="0" applyProtection="0"/>
    <xf numFmtId="0" fontId="120" fillId="46" borderId="0" applyNumberFormat="0" applyBorder="0" applyAlignment="0" applyProtection="0"/>
    <xf numFmtId="0" fontId="123" fillId="43"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123" fillId="40" borderId="0" applyNumberFormat="0" applyBorder="0" applyAlignment="0" applyProtection="0">
      <alignment vertical="center"/>
    </xf>
    <xf numFmtId="0" fontId="52" fillId="15" borderId="0" applyNumberFormat="0" applyBorder="0" applyAlignment="0" applyProtection="0">
      <alignment vertical="center"/>
    </xf>
    <xf numFmtId="0" fontId="123" fillId="41"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123" fillId="44"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123" fillId="45" borderId="0" applyNumberFormat="0" applyBorder="0" applyAlignment="0" applyProtection="0">
      <alignment vertical="center"/>
    </xf>
    <xf numFmtId="0" fontId="52" fillId="27" borderId="0" applyNumberFormat="0" applyBorder="0" applyAlignment="0" applyProtection="0">
      <alignment vertical="center"/>
    </xf>
    <xf numFmtId="0" fontId="123" fillId="46"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72" fillId="43" borderId="0" applyNumberFormat="0" applyBorder="0" applyAlignment="0" applyProtection="0">
      <alignment vertical="center"/>
    </xf>
    <xf numFmtId="0" fontId="268" fillId="43" borderId="0" applyNumberFormat="0" applyBorder="0" applyAlignment="0" applyProtection="0">
      <alignment vertical="center"/>
    </xf>
    <xf numFmtId="0" fontId="148" fillId="43" borderId="0" applyNumberFormat="0" applyBorder="0" applyAlignment="0" applyProtection="0">
      <alignment vertical="center"/>
    </xf>
    <xf numFmtId="0" fontId="196" fillId="43" borderId="0" applyNumberFormat="0" applyBorder="0" applyAlignment="0" applyProtection="0">
      <alignment vertical="center"/>
    </xf>
    <xf numFmtId="0" fontId="196" fillId="43" borderId="0" applyNumberFormat="0" applyBorder="0" applyAlignment="0" applyProtection="0">
      <alignment vertical="center"/>
    </xf>
    <xf numFmtId="0" fontId="268" fillId="43" borderId="0" applyNumberFormat="0" applyBorder="0" applyAlignment="0" applyProtection="0">
      <alignment vertical="center"/>
    </xf>
    <xf numFmtId="0" fontId="163" fillId="43" borderId="0" applyNumberFormat="0" applyBorder="0" applyAlignment="0" applyProtection="0">
      <alignment vertical="center"/>
    </xf>
    <xf numFmtId="0" fontId="196" fillId="43" borderId="0" applyNumberFormat="0" applyBorder="0" applyAlignment="0" applyProtection="0">
      <alignment vertical="center"/>
    </xf>
    <xf numFmtId="0" fontId="72" fillId="84" borderId="0" applyNumberFormat="0" applyBorder="0" applyAlignment="0" applyProtection="0">
      <alignment vertical="center"/>
    </xf>
    <xf numFmtId="0" fontId="72" fillId="85" borderId="0" applyNumberFormat="0" applyBorder="0" applyAlignment="0" applyProtection="0"/>
    <xf numFmtId="0" fontId="196" fillId="43" borderId="0" applyNumberFormat="0" applyBorder="0" applyAlignment="0" applyProtection="0">
      <alignment vertical="center"/>
    </xf>
    <xf numFmtId="0" fontId="214" fillId="43" borderId="0" applyNumberFormat="0" applyBorder="0" applyAlignment="0" applyProtection="0">
      <alignment vertical="center"/>
    </xf>
    <xf numFmtId="0" fontId="72" fillId="43" borderId="0" applyNumberFormat="0" applyBorder="0" applyAlignment="0" applyProtection="0">
      <alignment vertical="center"/>
    </xf>
    <xf numFmtId="0" fontId="250" fillId="43" borderId="0" applyNumberFormat="0" applyBorder="0" applyAlignment="0" applyProtection="0">
      <alignment vertical="center"/>
    </xf>
    <xf numFmtId="0" fontId="72" fillId="40" borderId="0" applyNumberFormat="0" applyBorder="0" applyAlignment="0" applyProtection="0">
      <alignment vertical="center"/>
    </xf>
    <xf numFmtId="0" fontId="268" fillId="40" borderId="0" applyNumberFormat="0" applyBorder="0" applyAlignment="0" applyProtection="0">
      <alignment vertical="center"/>
    </xf>
    <xf numFmtId="0" fontId="148" fillId="40" borderId="0" applyNumberFormat="0" applyBorder="0" applyAlignment="0" applyProtection="0">
      <alignment vertical="center"/>
    </xf>
    <xf numFmtId="0" fontId="196" fillId="40" borderId="0" applyNumberFormat="0" applyBorder="0" applyAlignment="0" applyProtection="0">
      <alignment vertical="center"/>
    </xf>
    <xf numFmtId="0" fontId="196" fillId="40" borderId="0" applyNumberFormat="0" applyBorder="0" applyAlignment="0" applyProtection="0">
      <alignment vertical="center"/>
    </xf>
    <xf numFmtId="0" fontId="268" fillId="40" borderId="0" applyNumberFormat="0" applyBorder="0" applyAlignment="0" applyProtection="0">
      <alignment vertical="center"/>
    </xf>
    <xf numFmtId="0" fontId="163" fillId="40" borderId="0" applyNumberFormat="0" applyBorder="0" applyAlignment="0" applyProtection="0">
      <alignment vertical="center"/>
    </xf>
    <xf numFmtId="0" fontId="196" fillId="40" borderId="0" applyNumberFormat="0" applyBorder="0" applyAlignment="0" applyProtection="0">
      <alignment vertical="center"/>
    </xf>
    <xf numFmtId="0" fontId="72" fillId="74" borderId="0" applyNumberFormat="0" applyBorder="0" applyAlignment="0" applyProtection="0">
      <alignment vertical="center"/>
    </xf>
    <xf numFmtId="0" fontId="72" fillId="75" borderId="0" applyNumberFormat="0" applyBorder="0" applyAlignment="0" applyProtection="0"/>
    <xf numFmtId="0" fontId="196" fillId="40" borderId="0" applyNumberFormat="0" applyBorder="0" applyAlignment="0" applyProtection="0">
      <alignment vertical="center"/>
    </xf>
    <xf numFmtId="0" fontId="214" fillId="40" borderId="0" applyNumberFormat="0" applyBorder="0" applyAlignment="0" applyProtection="0">
      <alignment vertical="center"/>
    </xf>
    <xf numFmtId="0" fontId="72" fillId="40" borderId="0" applyNumberFormat="0" applyBorder="0" applyAlignment="0" applyProtection="0">
      <alignment vertical="center"/>
    </xf>
    <xf numFmtId="0" fontId="250" fillId="40" borderId="0" applyNumberFormat="0" applyBorder="0" applyAlignment="0" applyProtection="0">
      <alignment vertical="center"/>
    </xf>
    <xf numFmtId="0" fontId="72" fillId="41" borderId="0" applyNumberFormat="0" applyBorder="0" applyAlignment="0" applyProtection="0">
      <alignment vertical="center"/>
    </xf>
    <xf numFmtId="0" fontId="268" fillId="41" borderId="0" applyNumberFormat="0" applyBorder="0" applyAlignment="0" applyProtection="0">
      <alignment vertical="center"/>
    </xf>
    <xf numFmtId="0" fontId="148" fillId="41" borderId="0" applyNumberFormat="0" applyBorder="0" applyAlignment="0" applyProtection="0">
      <alignment vertical="center"/>
    </xf>
    <xf numFmtId="0" fontId="196" fillId="41" borderId="0" applyNumberFormat="0" applyBorder="0" applyAlignment="0" applyProtection="0">
      <alignment vertical="center"/>
    </xf>
    <xf numFmtId="0" fontId="196" fillId="41" borderId="0" applyNumberFormat="0" applyBorder="0" applyAlignment="0" applyProtection="0">
      <alignment vertical="center"/>
    </xf>
    <xf numFmtId="0" fontId="268" fillId="41" borderId="0" applyNumberFormat="0" applyBorder="0" applyAlignment="0" applyProtection="0">
      <alignment vertical="center"/>
    </xf>
    <xf numFmtId="0" fontId="163" fillId="41" borderId="0" applyNumberFormat="0" applyBorder="0" applyAlignment="0" applyProtection="0">
      <alignment vertical="center"/>
    </xf>
    <xf numFmtId="0" fontId="196" fillId="41" borderId="0" applyNumberFormat="0" applyBorder="0" applyAlignment="0" applyProtection="0">
      <alignment vertical="center"/>
    </xf>
    <xf numFmtId="0" fontId="72" fillId="76" borderId="0" applyNumberFormat="0" applyBorder="0" applyAlignment="0" applyProtection="0">
      <alignment vertical="center"/>
    </xf>
    <xf numFmtId="0" fontId="72" fillId="77" borderId="0" applyNumberFormat="0" applyBorder="0" applyAlignment="0" applyProtection="0"/>
    <xf numFmtId="0" fontId="196" fillId="41" borderId="0" applyNumberFormat="0" applyBorder="0" applyAlignment="0" applyProtection="0">
      <alignment vertical="center"/>
    </xf>
    <xf numFmtId="0" fontId="214" fillId="41" borderId="0" applyNumberFormat="0" applyBorder="0" applyAlignment="0" applyProtection="0">
      <alignment vertical="center"/>
    </xf>
    <xf numFmtId="0" fontId="72" fillId="41" borderId="0" applyNumberFormat="0" applyBorder="0" applyAlignment="0" applyProtection="0">
      <alignment vertical="center"/>
    </xf>
    <xf numFmtId="0" fontId="250" fillId="41" borderId="0" applyNumberFormat="0" applyBorder="0" applyAlignment="0" applyProtection="0">
      <alignment vertical="center"/>
    </xf>
    <xf numFmtId="0" fontId="72" fillId="44" borderId="0" applyNumberFormat="0" applyBorder="0" applyAlignment="0" applyProtection="0">
      <alignment vertical="center"/>
    </xf>
    <xf numFmtId="0" fontId="268" fillId="44" borderId="0" applyNumberFormat="0" applyBorder="0" applyAlignment="0" applyProtection="0">
      <alignment vertical="center"/>
    </xf>
    <xf numFmtId="0" fontId="148" fillId="44" borderId="0" applyNumberFormat="0" applyBorder="0" applyAlignment="0" applyProtection="0">
      <alignment vertical="center"/>
    </xf>
    <xf numFmtId="0" fontId="196" fillId="44" borderId="0" applyNumberFormat="0" applyBorder="0" applyAlignment="0" applyProtection="0">
      <alignment vertical="center"/>
    </xf>
    <xf numFmtId="0" fontId="196" fillId="44" borderId="0" applyNumberFormat="0" applyBorder="0" applyAlignment="0" applyProtection="0">
      <alignment vertical="center"/>
    </xf>
    <xf numFmtId="0" fontId="268" fillId="44" borderId="0" applyNumberFormat="0" applyBorder="0" applyAlignment="0" applyProtection="0">
      <alignment vertical="center"/>
    </xf>
    <xf numFmtId="0" fontId="163" fillId="44" borderId="0" applyNumberFormat="0" applyBorder="0" applyAlignment="0" applyProtection="0">
      <alignment vertical="center"/>
    </xf>
    <xf numFmtId="0" fontId="196" fillId="44" borderId="0" applyNumberFormat="0" applyBorder="0" applyAlignment="0" applyProtection="0">
      <alignment vertical="center"/>
    </xf>
    <xf numFmtId="0" fontId="72" fillId="86" borderId="0" applyNumberFormat="0" applyBorder="0" applyAlignment="0" applyProtection="0">
      <alignment vertical="center"/>
    </xf>
    <xf numFmtId="0" fontId="72" fillId="87" borderId="0" applyNumberFormat="0" applyBorder="0" applyAlignment="0" applyProtection="0"/>
    <xf numFmtId="0" fontId="196" fillId="44" borderId="0" applyNumberFormat="0" applyBorder="0" applyAlignment="0" applyProtection="0">
      <alignment vertical="center"/>
    </xf>
    <xf numFmtId="0" fontId="214" fillId="44" borderId="0" applyNumberFormat="0" applyBorder="0" applyAlignment="0" applyProtection="0">
      <alignment vertical="center"/>
    </xf>
    <xf numFmtId="0" fontId="72" fillId="44" borderId="0" applyNumberFormat="0" applyBorder="0" applyAlignment="0" applyProtection="0">
      <alignment vertical="center"/>
    </xf>
    <xf numFmtId="0" fontId="250" fillId="44" borderId="0" applyNumberFormat="0" applyBorder="0" applyAlignment="0" applyProtection="0">
      <alignment vertical="center"/>
    </xf>
    <xf numFmtId="0" fontId="72" fillId="45" borderId="0" applyNumberFormat="0" applyBorder="0" applyAlignment="0" applyProtection="0">
      <alignment vertical="center"/>
    </xf>
    <xf numFmtId="0" fontId="268" fillId="45" borderId="0" applyNumberFormat="0" applyBorder="0" applyAlignment="0" applyProtection="0">
      <alignment vertical="center"/>
    </xf>
    <xf numFmtId="0" fontId="148" fillId="45" borderId="0" applyNumberFormat="0" applyBorder="0" applyAlignment="0" applyProtection="0">
      <alignment vertical="center"/>
    </xf>
    <xf numFmtId="0" fontId="196" fillId="45" borderId="0" applyNumberFormat="0" applyBorder="0" applyAlignment="0" applyProtection="0">
      <alignment vertical="center"/>
    </xf>
    <xf numFmtId="0" fontId="196" fillId="45" borderId="0" applyNumberFormat="0" applyBorder="0" applyAlignment="0" applyProtection="0">
      <alignment vertical="center"/>
    </xf>
    <xf numFmtId="0" fontId="268" fillId="45" borderId="0" applyNumberFormat="0" applyBorder="0" applyAlignment="0" applyProtection="0">
      <alignment vertical="center"/>
    </xf>
    <xf numFmtId="0" fontId="163" fillId="45" borderId="0" applyNumberFormat="0" applyBorder="0" applyAlignment="0" applyProtection="0">
      <alignment vertical="center"/>
    </xf>
    <xf numFmtId="0" fontId="196" fillId="45" borderId="0" applyNumberFormat="0" applyBorder="0" applyAlignment="0" applyProtection="0">
      <alignment vertical="center"/>
    </xf>
    <xf numFmtId="0" fontId="72" fillId="88" borderId="0" applyNumberFormat="0" applyBorder="0" applyAlignment="0" applyProtection="0">
      <alignment vertical="center"/>
    </xf>
    <xf numFmtId="0" fontId="72" fillId="89" borderId="0" applyNumberFormat="0" applyBorder="0" applyAlignment="0" applyProtection="0"/>
    <xf numFmtId="0" fontId="196" fillId="45" borderId="0" applyNumberFormat="0" applyBorder="0" applyAlignment="0" applyProtection="0">
      <alignment vertical="center"/>
    </xf>
    <xf numFmtId="0" fontId="214" fillId="45" borderId="0" applyNumberFormat="0" applyBorder="0" applyAlignment="0" applyProtection="0">
      <alignment vertical="center"/>
    </xf>
    <xf numFmtId="0" fontId="72" fillId="45" borderId="0" applyNumberFormat="0" applyBorder="0" applyAlignment="0" applyProtection="0">
      <alignment vertical="center"/>
    </xf>
    <xf numFmtId="0" fontId="250" fillId="45" borderId="0" applyNumberFormat="0" applyBorder="0" applyAlignment="0" applyProtection="0">
      <alignment vertical="center"/>
    </xf>
    <xf numFmtId="0" fontId="72" fillId="46" borderId="0" applyNumberFormat="0" applyBorder="0" applyAlignment="0" applyProtection="0">
      <alignment vertical="center"/>
    </xf>
    <xf numFmtId="0" fontId="268" fillId="46" borderId="0" applyNumberFormat="0" applyBorder="0" applyAlignment="0" applyProtection="0">
      <alignment vertical="center"/>
    </xf>
    <xf numFmtId="0" fontId="148" fillId="46" borderId="0" applyNumberFormat="0" applyBorder="0" applyAlignment="0" applyProtection="0">
      <alignment vertical="center"/>
    </xf>
    <xf numFmtId="0" fontId="196" fillId="46" borderId="0" applyNumberFormat="0" applyBorder="0" applyAlignment="0" applyProtection="0">
      <alignment vertical="center"/>
    </xf>
    <xf numFmtId="0" fontId="196" fillId="46" borderId="0" applyNumberFormat="0" applyBorder="0" applyAlignment="0" applyProtection="0">
      <alignment vertical="center"/>
    </xf>
    <xf numFmtId="0" fontId="268" fillId="46" borderId="0" applyNumberFormat="0" applyBorder="0" applyAlignment="0" applyProtection="0">
      <alignment vertical="center"/>
    </xf>
    <xf numFmtId="0" fontId="163" fillId="46" borderId="0" applyNumberFormat="0" applyBorder="0" applyAlignment="0" applyProtection="0">
      <alignment vertical="center"/>
    </xf>
    <xf numFmtId="0" fontId="196" fillId="46" borderId="0" applyNumberFormat="0" applyBorder="0" applyAlignment="0" applyProtection="0">
      <alignment vertical="center"/>
    </xf>
    <xf numFmtId="0" fontId="72" fillId="90" borderId="0" applyNumberFormat="0" applyBorder="0" applyAlignment="0" applyProtection="0">
      <alignment vertical="center"/>
    </xf>
    <xf numFmtId="0" fontId="72" fillId="91" borderId="0" applyNumberFormat="0" applyBorder="0" applyAlignment="0" applyProtection="0"/>
    <xf numFmtId="0" fontId="196" fillId="46" borderId="0" applyNumberFormat="0" applyBorder="0" applyAlignment="0" applyProtection="0">
      <alignment vertical="center"/>
    </xf>
    <xf numFmtId="0" fontId="214" fillId="46" borderId="0" applyNumberFormat="0" applyBorder="0" applyAlignment="0" applyProtection="0">
      <alignment vertical="center"/>
    </xf>
    <xf numFmtId="0" fontId="72" fillId="46" borderId="0" applyNumberFormat="0" applyBorder="0" applyAlignment="0" applyProtection="0">
      <alignment vertical="center"/>
    </xf>
    <xf numFmtId="0" fontId="250" fillId="46" borderId="0" applyNumberFormat="0" applyBorder="0" applyAlignment="0" applyProtection="0">
      <alignment vertical="center"/>
    </xf>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40" borderId="0" applyNumberFormat="0" applyBorder="0" applyAlignment="0" applyProtection="0">
      <alignment vertical="center"/>
    </xf>
    <xf numFmtId="0" fontId="186" fillId="74" borderId="0" applyNumberFormat="0" applyBorder="0" applyAlignment="0" applyProtection="0">
      <alignment vertical="center"/>
    </xf>
    <xf numFmtId="0" fontId="186" fillId="40" borderId="0" applyNumberFormat="0" applyBorder="0" applyAlignment="0" applyProtection="0">
      <alignment vertical="center"/>
    </xf>
    <xf numFmtId="0" fontId="89" fillId="75" borderId="0" applyNumberFormat="0" applyBorder="0" applyAlignment="0" applyProtection="0"/>
    <xf numFmtId="0" fontId="89" fillId="74" borderId="0" applyNumberFormat="0" applyBorder="0" applyAlignment="0" applyProtection="0">
      <alignment vertical="center"/>
    </xf>
    <xf numFmtId="0" fontId="233" fillId="74" borderId="0" applyNumberFormat="0" applyBorder="0" applyAlignment="0" applyProtection="0">
      <alignment vertical="center"/>
    </xf>
    <xf numFmtId="0" fontId="186" fillId="74" borderId="0"/>
    <xf numFmtId="0" fontId="89" fillId="53" borderId="0" applyNumberFormat="0" applyBorder="0" applyAlignment="0" applyProtection="0">
      <alignment vertical="center"/>
    </xf>
    <xf numFmtId="0" fontId="186" fillId="82" borderId="0" applyNumberFormat="0" applyBorder="0" applyAlignment="0" applyProtection="0">
      <alignment vertical="center"/>
    </xf>
    <xf numFmtId="0" fontId="186"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86" fillId="82" borderId="0"/>
    <xf numFmtId="0" fontId="89" fillId="51" borderId="0" applyNumberFormat="0" applyBorder="0" applyAlignment="0" applyProtection="0">
      <alignment vertical="center"/>
    </xf>
    <xf numFmtId="0" fontId="186" fillId="80" borderId="0" applyNumberFormat="0" applyBorder="0" applyAlignment="0" applyProtection="0">
      <alignment vertical="center"/>
    </xf>
    <xf numFmtId="0" fontId="186" fillId="51" borderId="0" applyNumberFormat="0" applyBorder="0" applyAlignment="0" applyProtection="0">
      <alignment vertical="center"/>
    </xf>
    <xf numFmtId="0" fontId="89" fillId="81" borderId="0" applyNumberFormat="0" applyBorder="0" applyAlignment="0" applyProtection="0"/>
    <xf numFmtId="0" fontId="89" fillId="80" borderId="0" applyNumberFormat="0" applyBorder="0" applyAlignment="0" applyProtection="0">
      <alignment vertical="center"/>
    </xf>
    <xf numFmtId="0" fontId="233" fillId="80" borderId="0" applyNumberFormat="0" applyBorder="0" applyAlignment="0" applyProtection="0">
      <alignment vertical="center"/>
    </xf>
    <xf numFmtId="0" fontId="186" fillId="80" borderId="0"/>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38" borderId="0" applyNumberFormat="0" applyBorder="0" applyAlignment="0" applyProtection="0">
      <alignment vertical="center"/>
    </xf>
    <xf numFmtId="0" fontId="186" fillId="65" borderId="0" applyNumberFormat="0" applyBorder="0" applyAlignment="0" applyProtection="0">
      <alignment vertical="center"/>
    </xf>
    <xf numFmtId="0" fontId="186" fillId="38" borderId="0" applyNumberFormat="0" applyBorder="0" applyAlignment="0" applyProtection="0">
      <alignment vertical="center"/>
    </xf>
    <xf numFmtId="0" fontId="89" fillId="66" borderId="0" applyNumberFormat="0" applyBorder="0" applyAlignment="0" applyProtection="0"/>
    <xf numFmtId="0" fontId="89" fillId="65" borderId="0" applyNumberFormat="0" applyBorder="0" applyAlignment="0" applyProtection="0">
      <alignment vertical="center"/>
    </xf>
    <xf numFmtId="0" fontId="233" fillId="65" borderId="0" applyNumberFormat="0" applyBorder="0" applyAlignment="0" applyProtection="0">
      <alignment vertical="center"/>
    </xf>
    <xf numFmtId="0" fontId="186" fillId="65" borderId="0"/>
    <xf numFmtId="0" fontId="120" fillId="92" borderId="0" applyNumberFormat="0" applyBorder="0" applyAlignment="0" applyProtection="0"/>
    <xf numFmtId="0" fontId="120" fillId="93"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4" borderId="0" applyNumberFormat="0" applyBorder="0" applyAlignment="0" applyProtection="0"/>
    <xf numFmtId="0" fontId="120" fillId="95"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6" borderId="0" applyNumberFormat="0" applyBorder="0" applyAlignment="0" applyProtection="0"/>
    <xf numFmtId="0" fontId="120" fillId="97"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86" borderId="0" applyNumberFormat="0" applyBorder="0" applyAlignment="0" applyProtection="0"/>
    <xf numFmtId="0" fontId="120" fillId="87"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8" borderId="0" applyNumberFormat="0" applyBorder="0" applyAlignment="0" applyProtection="0"/>
    <xf numFmtId="0" fontId="120" fillId="89"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98" borderId="0" applyNumberFormat="0" applyBorder="0" applyAlignment="0" applyProtection="0"/>
    <xf numFmtId="0" fontId="120" fillId="99"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47" borderId="0" applyNumberFormat="0" applyBorder="0" applyAlignment="0" applyProtection="0"/>
    <xf numFmtId="0" fontId="120" fillId="48" borderId="0" applyNumberFormat="0" applyBorder="0" applyAlignment="0" applyProtection="0"/>
    <xf numFmtId="0" fontId="120" fillId="49" borderId="0" applyNumberFormat="0" applyBorder="0" applyAlignment="0" applyProtection="0"/>
    <xf numFmtId="0" fontId="120" fillId="44" borderId="0" applyNumberFormat="0" applyBorder="0" applyAlignment="0" applyProtection="0"/>
    <xf numFmtId="0" fontId="120" fillId="45" borderId="0" applyNumberFormat="0" applyBorder="0" applyAlignment="0" applyProtection="0"/>
    <xf numFmtId="0" fontId="120" fillId="50" borderId="0" applyNumberFormat="0" applyBorder="0" applyAlignment="0" applyProtection="0"/>
    <xf numFmtId="0" fontId="113" fillId="51" borderId="24" applyNumberFormat="0" applyAlignment="0" applyProtection="0"/>
    <xf numFmtId="0" fontId="111" fillId="57" borderId="0" applyNumberFormat="0" applyBorder="0" applyAlignment="0" applyProtection="0"/>
    <xf numFmtId="0" fontId="111" fillId="58"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6" fillId="100" borderId="18" applyNumberFormat="0" applyAlignment="0" applyProtection="0"/>
    <xf numFmtId="0" fontId="116" fillId="101"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2" fillId="38" borderId="17" applyNumberFormat="0" applyAlignment="0" applyProtection="0"/>
    <xf numFmtId="0" fontId="119" fillId="0" borderId="25" applyNumberFormat="0" applyFill="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10" fillId="59" borderId="0" applyNumberFormat="0" applyBorder="0" applyAlignment="0" applyProtection="0"/>
    <xf numFmtId="0" fontId="110" fillId="60"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35" borderId="0" applyNumberFormat="0" applyBorder="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6" fillId="0" borderId="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80" fillId="82" borderId="0" applyNumberFormat="0" applyBorder="0" applyAlignment="0" applyProtection="0"/>
    <xf numFmtId="0" fontId="180" fillId="83"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2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4"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4"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3" fillId="0" borderId="0">
      <alignment vertical="center"/>
    </xf>
    <xf numFmtId="0" fontId="2" fillId="0" borderId="0"/>
    <xf numFmtId="0" fontId="73"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3"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applyNumberFormat="0" applyFill="0" applyBorder="0" applyAlignment="0" applyProtection="0"/>
    <xf numFmtId="0" fontId="2" fillId="0" borderId="0" applyNumberFormat="0" applyFill="0" applyBorder="0" applyAlignment="0" applyProtection="0"/>
    <xf numFmtId="0" fontId="68"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8"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1" fillId="0" borderId="0"/>
    <xf numFmtId="0" fontId="2" fillId="0" borderId="0"/>
    <xf numFmtId="0" fontId="2" fillId="0" borderId="0" applyNumberFormat="0" applyFill="0" applyBorder="0" applyAlignment="0" applyProtection="0"/>
    <xf numFmtId="0" fontId="1" fillId="0" borderId="0"/>
    <xf numFmtId="0" fontId="2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0" fillId="0" borderId="0" applyFont="0" applyFill="0" applyBorder="0" applyAlignment="0" applyProtection="0"/>
    <xf numFmtId="9" fontId="1" fillId="0" borderId="0"/>
    <xf numFmtId="9" fontId="1" fillId="0" borderId="0"/>
    <xf numFmtId="9" fontId="3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1" fillId="34" borderId="0" applyNumberFormat="0" applyBorder="0" applyAlignment="0" applyProtection="0"/>
    <xf numFmtId="0" fontId="140" fillId="0" borderId="0" applyNumberFormat="0" applyFill="0" applyBorder="0" applyAlignment="0" applyProtection="0"/>
    <xf numFmtId="0" fontId="106"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06" fillId="0" borderId="0" applyNumberFormat="0" applyFill="0" applyBorder="0" applyAlignment="0" applyProtection="0"/>
    <xf numFmtId="0" fontId="107" fillId="0" borderId="19" applyNumberFormat="0" applyFill="0" applyAlignment="0" applyProtection="0"/>
    <xf numFmtId="0" fontId="108" fillId="0" borderId="20" applyNumberFormat="0" applyFill="0" applyAlignment="0" applyProtection="0"/>
    <xf numFmtId="0" fontId="109" fillId="0" borderId="21" applyNumberFormat="0" applyFill="0" applyAlignment="0" applyProtection="0"/>
    <xf numFmtId="0" fontId="109" fillId="0" borderId="0" applyNumberFormat="0" applyFill="0" applyBorder="0" applyAlignment="0" applyProtection="0"/>
    <xf numFmtId="0" fontId="115" fillId="0" borderId="22" applyNumberFormat="0" applyFill="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6" fillId="52" borderId="18" applyNumberFormat="0" applyAlignment="0" applyProtection="0"/>
    <xf numFmtId="0" fontId="123" fillId="47"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123" fillId="48"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123" fillId="49"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123" fillId="44"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123" fillId="45" borderId="0" applyNumberFormat="0" applyBorder="0" applyAlignment="0" applyProtection="0">
      <alignment vertical="center"/>
    </xf>
    <xf numFmtId="0" fontId="52" fillId="24" borderId="0" applyNumberFormat="0" applyBorder="0" applyAlignment="0" applyProtection="0">
      <alignment vertical="center"/>
    </xf>
    <xf numFmtId="0" fontId="123" fillId="50" borderId="0" applyNumberFormat="0" applyBorder="0" applyAlignment="0" applyProtection="0">
      <alignment vertical="center"/>
    </xf>
    <xf numFmtId="0" fontId="52" fillId="28" borderId="0" applyNumberFormat="0" applyBorder="0" applyAlignment="0" applyProtection="0">
      <alignment vertical="center"/>
    </xf>
    <xf numFmtId="0" fontId="125"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126" fillId="51" borderId="17"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127" fillId="34"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124" fillId="54" borderId="23"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128" fillId="53" borderId="0" applyNumberFormat="0" applyBorder="0" applyAlignment="0" applyProtection="0">
      <alignment vertical="center"/>
    </xf>
    <xf numFmtId="0" fontId="56" fillId="4" borderId="0" applyNumberFormat="0" applyBorder="0" applyAlignment="0" applyProtection="0">
      <alignment vertical="center"/>
    </xf>
    <xf numFmtId="0" fontId="1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130" fillId="52" borderId="18" applyNumberFormat="0" applyAlignment="0" applyProtection="0">
      <alignment vertical="center"/>
    </xf>
    <xf numFmtId="0" fontId="58" fillId="7" borderId="7" applyNumberFormat="0" applyAlignment="0" applyProtection="0">
      <alignment vertical="center"/>
    </xf>
    <xf numFmtId="0" fontId="131" fillId="0" borderId="22" applyNumberFormat="0" applyFill="0" applyAlignment="0" applyProtection="0">
      <alignment vertical="center"/>
    </xf>
    <xf numFmtId="0" fontId="59" fillId="0" borderId="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3" fillId="38" borderId="17" applyNumberFormat="0" applyAlignment="0" applyProtection="0">
      <alignment vertical="center"/>
    </xf>
    <xf numFmtId="0" fontId="61" fillId="5" borderId="4" applyNumberFormat="0" applyAlignment="0" applyProtection="0">
      <alignment vertical="center"/>
    </xf>
    <xf numFmtId="0" fontId="134" fillId="0" borderId="0" applyNumberFormat="0" applyFill="0" applyBorder="0" applyAlignment="0" applyProtection="0">
      <alignment vertical="center"/>
    </xf>
    <xf numFmtId="0" fontId="135" fillId="0" borderId="19"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136" fillId="0" borderId="20"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137" fillId="0" borderId="21"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137"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140" fillId="0" borderId="0" applyNumberFormat="0" applyFill="0" applyBorder="0" applyAlignment="0" applyProtection="0"/>
    <xf numFmtId="0" fontId="138" fillId="35" borderId="0" applyNumberFormat="0" applyBorder="0" applyAlignment="0" applyProtection="0">
      <alignment vertical="center"/>
    </xf>
    <xf numFmtId="0" fontId="66" fillId="2" borderId="0" applyNumberFormat="0" applyBorder="0" applyAlignment="0" applyProtection="0">
      <alignment vertical="center"/>
    </xf>
    <xf numFmtId="0" fontId="30" fillId="0" borderId="0"/>
    <xf numFmtId="0" fontId="90" fillId="53" borderId="0" applyNumberFormat="0" applyBorder="0" applyAlignment="0" applyProtection="0">
      <alignment vertical="center"/>
    </xf>
    <xf numFmtId="0" fontId="188" fillId="82" borderId="0" applyNumberFormat="0" applyBorder="0" applyAlignment="0" applyProtection="0">
      <alignment vertical="center"/>
    </xf>
    <xf numFmtId="0" fontId="188" fillId="53" borderId="0" applyNumberFormat="0" applyBorder="0" applyAlignment="0" applyProtection="0">
      <alignment vertical="center"/>
    </xf>
    <xf numFmtId="0" fontId="90" fillId="83" borderId="0" applyNumberFormat="0" applyBorder="0" applyAlignment="0" applyProtection="0"/>
    <xf numFmtId="0" fontId="90" fillId="82" borderId="0" applyNumberFormat="0" applyBorder="0" applyAlignment="0" applyProtection="0">
      <alignment vertical="center"/>
    </xf>
    <xf numFmtId="0" fontId="234" fillId="82" borderId="0" applyNumberFormat="0" applyBorder="0" applyAlignment="0" applyProtection="0">
      <alignment vertical="center"/>
    </xf>
    <xf numFmtId="0" fontId="188" fillId="82" borderId="0"/>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190" fillId="0" borderId="26"/>
    <xf numFmtId="0" fontId="93" fillId="34" borderId="0" applyNumberFormat="0" applyBorder="0" applyAlignment="0" applyProtection="0">
      <alignment vertical="center"/>
    </xf>
    <xf numFmtId="0" fontId="144" fillId="57" borderId="0" applyNumberFormat="0" applyBorder="0" applyAlignment="0" applyProtection="0">
      <alignment vertical="center"/>
    </xf>
    <xf numFmtId="0" fontId="144" fillId="34" borderId="0" applyNumberFormat="0" applyBorder="0" applyAlignment="0" applyProtection="0">
      <alignment vertical="center"/>
    </xf>
    <xf numFmtId="0" fontId="93" fillId="58" borderId="0" applyNumberFormat="0" applyBorder="0" applyAlignment="0" applyProtection="0"/>
    <xf numFmtId="0" fontId="93" fillId="57" borderId="0" applyNumberFormat="0" applyBorder="0" applyAlignment="0" applyProtection="0">
      <alignment vertical="center"/>
    </xf>
    <xf numFmtId="0" fontId="236" fillId="57" borderId="0" applyNumberFormat="0" applyBorder="0" applyAlignment="0" applyProtection="0">
      <alignment vertical="center"/>
    </xf>
    <xf numFmtId="0" fontId="144" fillId="57" borderId="0"/>
    <xf numFmtId="0" fontId="144" fillId="34" borderId="0" applyNumberFormat="0" applyBorder="0" applyAlignment="0" applyProtection="0">
      <alignment vertical="center"/>
    </xf>
    <xf numFmtId="0" fontId="300" fillId="0" borderId="0">
      <alignment vertical="center"/>
    </xf>
    <xf numFmtId="0" fontId="300" fillId="0" borderId="0">
      <alignment vertical="center"/>
    </xf>
    <xf numFmtId="0" fontId="300" fillId="0" borderId="0">
      <alignment vertical="center"/>
    </xf>
    <xf numFmtId="0" fontId="30" fillId="0" borderId="0"/>
    <xf numFmtId="0" fontId="300" fillId="0" borderId="0">
      <alignment vertical="center"/>
    </xf>
    <xf numFmtId="0" fontId="301" fillId="0" borderId="0">
      <alignment vertical="center"/>
    </xf>
    <xf numFmtId="0" fontId="1" fillId="0" borderId="0"/>
    <xf numFmtId="0" fontId="51" fillId="0" borderId="0">
      <alignment vertical="center"/>
    </xf>
    <xf numFmtId="0" fontId="1" fillId="0" borderId="0"/>
    <xf numFmtId="0" fontId="1" fillId="0" borderId="0"/>
    <xf numFmtId="0" fontId="30" fillId="0" borderId="0"/>
    <xf numFmtId="0" fontId="301" fillId="0" borderId="0">
      <alignment vertical="center"/>
    </xf>
    <xf numFmtId="0" fontId="51" fillId="0" borderId="0">
      <alignment vertical="center"/>
    </xf>
    <xf numFmtId="0" fontId="300" fillId="0" borderId="0">
      <alignment vertical="center"/>
    </xf>
    <xf numFmtId="0" fontId="301" fillId="0" borderId="0">
      <alignment vertical="center"/>
    </xf>
    <xf numFmtId="0" fontId="51" fillId="0" borderId="0">
      <alignment vertical="center"/>
    </xf>
    <xf numFmtId="0" fontId="1" fillId="0" borderId="0"/>
    <xf numFmtId="0" fontId="301" fillId="0" borderId="0">
      <alignment vertical="center"/>
    </xf>
    <xf numFmtId="0" fontId="51" fillId="0" borderId="0">
      <alignment vertical="center"/>
    </xf>
    <xf numFmtId="0" fontId="300" fillId="0" borderId="0">
      <alignment vertical="center"/>
    </xf>
    <xf numFmtId="0" fontId="301" fillId="0" borderId="0">
      <alignment vertical="center"/>
    </xf>
    <xf numFmtId="0" fontId="51" fillId="0" borderId="0">
      <alignment vertical="center"/>
    </xf>
    <xf numFmtId="0" fontId="300" fillId="0" borderId="0">
      <alignment vertical="center"/>
    </xf>
    <xf numFmtId="0" fontId="300" fillId="0" borderId="0">
      <alignment vertical="center"/>
    </xf>
    <xf numFmtId="0" fontId="300" fillId="0" borderId="0">
      <alignment vertical="center"/>
    </xf>
    <xf numFmtId="0" fontId="51" fillId="0" borderId="0">
      <alignment vertical="center"/>
    </xf>
    <xf numFmtId="0" fontId="300" fillId="0" borderId="0">
      <alignment vertical="center"/>
    </xf>
    <xf numFmtId="0" fontId="1" fillId="0" borderId="0"/>
    <xf numFmtId="0" fontId="51" fillId="0" borderId="0">
      <alignment vertical="center"/>
    </xf>
    <xf numFmtId="0" fontId="300" fillId="0" borderId="0">
      <alignment vertical="center"/>
    </xf>
    <xf numFmtId="0" fontId="74" fillId="35" borderId="0" applyNumberFormat="0" applyBorder="0" applyAlignment="0" applyProtection="0">
      <alignment vertical="center"/>
    </xf>
    <xf numFmtId="0" fontId="270" fillId="35" borderId="0" applyNumberFormat="0" applyBorder="0" applyAlignment="0" applyProtection="0">
      <alignment vertical="center"/>
    </xf>
    <xf numFmtId="0" fontId="141" fillId="35" borderId="0" applyNumberFormat="0" applyBorder="0" applyAlignment="0" applyProtection="0">
      <alignment vertical="center"/>
    </xf>
    <xf numFmtId="0" fontId="198" fillId="35" borderId="0" applyNumberFormat="0" applyBorder="0" applyAlignment="0" applyProtection="0">
      <alignment vertical="center"/>
    </xf>
    <xf numFmtId="0" fontId="198" fillId="35" borderId="0" applyNumberFormat="0" applyBorder="0" applyAlignment="0" applyProtection="0">
      <alignment vertical="center"/>
    </xf>
    <xf numFmtId="0" fontId="270" fillId="35" borderId="0" applyNumberFormat="0" applyBorder="0" applyAlignment="0" applyProtection="0">
      <alignment vertical="center"/>
    </xf>
    <xf numFmtId="0" fontId="165" fillId="35" borderId="0" applyNumberFormat="0" applyBorder="0" applyAlignment="0" applyProtection="0">
      <alignment vertical="center"/>
    </xf>
    <xf numFmtId="0" fontId="198" fillId="35" borderId="0" applyNumberFormat="0" applyBorder="0" applyAlignment="0" applyProtection="0">
      <alignment vertical="center"/>
    </xf>
    <xf numFmtId="0" fontId="74" fillId="59" borderId="0" applyNumberFormat="0" applyBorder="0" applyAlignment="0" applyProtection="0">
      <alignment vertical="center"/>
    </xf>
    <xf numFmtId="0" fontId="74" fillId="60" borderId="0" applyNumberFormat="0" applyBorder="0" applyAlignment="0" applyProtection="0"/>
    <xf numFmtId="0" fontId="198" fillId="35" borderId="0" applyNumberFormat="0" applyBorder="0" applyAlignment="0" applyProtection="0">
      <alignment vertical="center"/>
    </xf>
    <xf numFmtId="0" fontId="216" fillId="35" borderId="0" applyNumberFormat="0" applyBorder="0" applyAlignment="0" applyProtection="0">
      <alignment vertical="center"/>
    </xf>
    <xf numFmtId="0" fontId="74" fillId="35" borderId="0" applyNumberFormat="0" applyBorder="0" applyAlignment="0" applyProtection="0">
      <alignment vertical="center"/>
    </xf>
    <xf numFmtId="0" fontId="252" fillId="35" borderId="0" applyNumberFormat="0" applyBorder="0" applyAlignment="0" applyProtection="0">
      <alignment vertical="center"/>
    </xf>
    <xf numFmtId="0" fontId="94" fillId="35" borderId="0" applyNumberFormat="0" applyBorder="0" applyAlignment="0" applyProtection="0">
      <alignment vertical="center"/>
    </xf>
    <xf numFmtId="0" fontId="145" fillId="59" borderId="0" applyNumberFormat="0" applyBorder="0" applyAlignment="0" applyProtection="0">
      <alignment vertical="center"/>
    </xf>
    <xf numFmtId="0" fontId="145" fillId="35" borderId="0" applyNumberFormat="0" applyBorder="0" applyAlignment="0" applyProtection="0">
      <alignment vertical="center"/>
    </xf>
    <xf numFmtId="0" fontId="94" fillId="60" borderId="0" applyNumberFormat="0" applyBorder="0" applyAlignment="0" applyProtection="0"/>
    <xf numFmtId="0" fontId="94" fillId="59" borderId="0" applyNumberFormat="0" applyBorder="0" applyAlignment="0" applyProtection="0">
      <alignment vertical="center"/>
    </xf>
    <xf numFmtId="0" fontId="237" fillId="59" borderId="0" applyNumberFormat="0" applyBorder="0" applyAlignment="0" applyProtection="0">
      <alignment vertical="center"/>
    </xf>
    <xf numFmtId="0" fontId="145" fillId="59" borderId="0"/>
    <xf numFmtId="0" fontId="141" fillId="35" borderId="0" applyNumberFormat="0" applyBorder="0" applyAlignment="0" applyProtection="0">
      <alignment vertical="center"/>
    </xf>
    <xf numFmtId="0" fontId="270" fillId="35" borderId="0" applyNumberFormat="0" applyBorder="0" applyAlignment="0" applyProtection="0">
      <alignment vertical="center"/>
    </xf>
    <xf numFmtId="0" fontId="145" fillId="35" borderId="0" applyNumberFormat="0" applyBorder="0" applyAlignment="0" applyProtection="0">
      <alignment vertical="center"/>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75" fillId="34" borderId="0" applyNumberFormat="0" applyBorder="0" applyAlignment="0" applyProtection="0">
      <alignment vertical="center"/>
    </xf>
    <xf numFmtId="0" fontId="271" fillId="34" borderId="0" applyNumberFormat="0" applyBorder="0" applyAlignment="0" applyProtection="0">
      <alignment vertical="center"/>
    </xf>
    <xf numFmtId="0" fontId="142" fillId="34" borderId="0" applyNumberFormat="0" applyBorder="0" applyAlignment="0" applyProtection="0">
      <alignment vertical="center"/>
    </xf>
    <xf numFmtId="0" fontId="199" fillId="34" borderId="0" applyNumberFormat="0" applyBorder="0" applyAlignment="0" applyProtection="0">
      <alignment vertical="center"/>
    </xf>
    <xf numFmtId="0" fontId="199" fillId="34" borderId="0" applyNumberFormat="0" applyBorder="0" applyAlignment="0" applyProtection="0">
      <alignment vertical="center"/>
    </xf>
    <xf numFmtId="0" fontId="271" fillId="34" borderId="0" applyNumberFormat="0" applyBorder="0" applyAlignment="0" applyProtection="0">
      <alignment vertical="center"/>
    </xf>
    <xf numFmtId="0" fontId="166" fillId="34" borderId="0" applyNumberFormat="0" applyBorder="0" applyAlignment="0" applyProtection="0">
      <alignment vertical="center"/>
    </xf>
    <xf numFmtId="0" fontId="199" fillId="34" borderId="0" applyNumberFormat="0" applyBorder="0" applyAlignment="0" applyProtection="0">
      <alignment vertical="center"/>
    </xf>
    <xf numFmtId="0" fontId="75" fillId="57" borderId="0" applyNumberFormat="0" applyBorder="0" applyAlignment="0" applyProtection="0">
      <alignment vertical="center"/>
    </xf>
    <xf numFmtId="0" fontId="75" fillId="58" borderId="0" applyNumberFormat="0" applyBorder="0" applyAlignment="0" applyProtection="0"/>
    <xf numFmtId="0" fontId="199" fillId="34" borderId="0" applyNumberFormat="0" applyBorder="0" applyAlignment="0" applyProtection="0">
      <alignment vertical="center"/>
    </xf>
    <xf numFmtId="0" fontId="217" fillId="34" borderId="0" applyNumberFormat="0" applyBorder="0" applyAlignment="0" applyProtection="0">
      <alignment vertical="center"/>
    </xf>
    <xf numFmtId="0" fontId="75" fillId="34" borderId="0" applyNumberFormat="0" applyBorder="0" applyAlignment="0" applyProtection="0">
      <alignment vertical="center"/>
    </xf>
    <xf numFmtId="0" fontId="253" fillId="34" borderId="0" applyNumberFormat="0" applyBorder="0" applyAlignment="0" applyProtection="0">
      <alignment vertical="center"/>
    </xf>
    <xf numFmtId="0" fontId="142" fillId="34" borderId="0" applyNumberFormat="0" applyBorder="0" applyAlignment="0" applyProtection="0">
      <alignment vertical="center"/>
    </xf>
    <xf numFmtId="0" fontId="271" fillId="34" borderId="0" applyNumberFormat="0" applyBorder="0" applyAlignment="0" applyProtection="0">
      <alignment vertical="center"/>
    </xf>
    <xf numFmtId="0" fontId="30" fillId="0" borderId="0"/>
    <xf numFmtId="0" fontId="72" fillId="47" borderId="0" applyNumberFormat="0" applyBorder="0" applyAlignment="0" applyProtection="0">
      <alignment vertical="center"/>
    </xf>
    <xf numFmtId="0" fontId="268" fillId="47" borderId="0" applyNumberFormat="0" applyBorder="0" applyAlignment="0" applyProtection="0">
      <alignment vertical="center"/>
    </xf>
    <xf numFmtId="0" fontId="148" fillId="47" borderId="0" applyNumberFormat="0" applyBorder="0" applyAlignment="0" applyProtection="0">
      <alignment vertical="center"/>
    </xf>
    <xf numFmtId="0" fontId="196" fillId="47" borderId="0" applyNumberFormat="0" applyBorder="0" applyAlignment="0" applyProtection="0">
      <alignment vertical="center"/>
    </xf>
    <xf numFmtId="0" fontId="196" fillId="47" borderId="0" applyNumberFormat="0" applyBorder="0" applyAlignment="0" applyProtection="0">
      <alignment vertical="center"/>
    </xf>
    <xf numFmtId="0" fontId="268" fillId="47" borderId="0" applyNumberFormat="0" applyBorder="0" applyAlignment="0" applyProtection="0">
      <alignment vertical="center"/>
    </xf>
    <xf numFmtId="0" fontId="163" fillId="47" borderId="0" applyNumberFormat="0" applyBorder="0" applyAlignment="0" applyProtection="0">
      <alignment vertical="center"/>
    </xf>
    <xf numFmtId="0" fontId="196" fillId="47" borderId="0" applyNumberFormat="0" applyBorder="0" applyAlignment="0" applyProtection="0">
      <alignment vertical="center"/>
    </xf>
    <xf numFmtId="0" fontId="72" fillId="92" borderId="0" applyNumberFormat="0" applyBorder="0" applyAlignment="0" applyProtection="0">
      <alignment vertical="center"/>
    </xf>
    <xf numFmtId="0" fontId="72" fillId="93" borderId="0" applyNumberFormat="0" applyBorder="0" applyAlignment="0" applyProtection="0"/>
    <xf numFmtId="0" fontId="196" fillId="47" borderId="0" applyNumberFormat="0" applyBorder="0" applyAlignment="0" applyProtection="0">
      <alignment vertical="center"/>
    </xf>
    <xf numFmtId="0" fontId="214" fillId="47" borderId="0" applyNumberFormat="0" applyBorder="0" applyAlignment="0" applyProtection="0">
      <alignment vertical="center"/>
    </xf>
    <xf numFmtId="0" fontId="72" fillId="47" borderId="0" applyNumberFormat="0" applyBorder="0" applyAlignment="0" applyProtection="0">
      <alignment vertical="center"/>
    </xf>
    <xf numFmtId="0" fontId="250" fillId="47" borderId="0" applyNumberFormat="0" applyBorder="0" applyAlignment="0" applyProtection="0">
      <alignment vertical="center"/>
    </xf>
    <xf numFmtId="0" fontId="72" fillId="48" borderId="0" applyNumberFormat="0" applyBorder="0" applyAlignment="0" applyProtection="0">
      <alignment vertical="center"/>
    </xf>
    <xf numFmtId="0" fontId="268" fillId="48" borderId="0" applyNumberFormat="0" applyBorder="0" applyAlignment="0" applyProtection="0">
      <alignment vertical="center"/>
    </xf>
    <xf numFmtId="0" fontId="148" fillId="48" borderId="0" applyNumberFormat="0" applyBorder="0" applyAlignment="0" applyProtection="0">
      <alignment vertical="center"/>
    </xf>
    <xf numFmtId="0" fontId="196" fillId="48" borderId="0" applyNumberFormat="0" applyBorder="0" applyAlignment="0" applyProtection="0">
      <alignment vertical="center"/>
    </xf>
    <xf numFmtId="0" fontId="196" fillId="48" borderId="0" applyNumberFormat="0" applyBorder="0" applyAlignment="0" applyProtection="0">
      <alignment vertical="center"/>
    </xf>
    <xf numFmtId="0" fontId="268" fillId="48" borderId="0" applyNumberFormat="0" applyBorder="0" applyAlignment="0" applyProtection="0">
      <alignment vertical="center"/>
    </xf>
    <xf numFmtId="0" fontId="163" fillId="48" borderId="0" applyNumberFormat="0" applyBorder="0" applyAlignment="0" applyProtection="0">
      <alignment vertical="center"/>
    </xf>
    <xf numFmtId="0" fontId="196" fillId="48" borderId="0" applyNumberFormat="0" applyBorder="0" applyAlignment="0" applyProtection="0">
      <alignment vertical="center"/>
    </xf>
    <xf numFmtId="0" fontId="72" fillId="94" borderId="0" applyNumberFormat="0" applyBorder="0" applyAlignment="0" applyProtection="0">
      <alignment vertical="center"/>
    </xf>
    <xf numFmtId="0" fontId="72" fillId="95" borderId="0" applyNumberFormat="0" applyBorder="0" applyAlignment="0" applyProtection="0"/>
    <xf numFmtId="0" fontId="196" fillId="48" borderId="0" applyNumberFormat="0" applyBorder="0" applyAlignment="0" applyProtection="0">
      <alignment vertical="center"/>
    </xf>
    <xf numFmtId="0" fontId="214" fillId="48" borderId="0" applyNumberFormat="0" applyBorder="0" applyAlignment="0" applyProtection="0">
      <alignment vertical="center"/>
    </xf>
    <xf numFmtId="0" fontId="72" fillId="48" borderId="0" applyNumberFormat="0" applyBorder="0" applyAlignment="0" applyProtection="0">
      <alignment vertical="center"/>
    </xf>
    <xf numFmtId="0" fontId="250" fillId="48" borderId="0" applyNumberFormat="0" applyBorder="0" applyAlignment="0" applyProtection="0">
      <alignment vertical="center"/>
    </xf>
    <xf numFmtId="0" fontId="72" fillId="49" borderId="0" applyNumberFormat="0" applyBorder="0" applyAlignment="0" applyProtection="0">
      <alignment vertical="center"/>
    </xf>
    <xf numFmtId="0" fontId="268" fillId="49" borderId="0" applyNumberFormat="0" applyBorder="0" applyAlignment="0" applyProtection="0">
      <alignment vertical="center"/>
    </xf>
    <xf numFmtId="0" fontId="148" fillId="49" borderId="0" applyNumberFormat="0" applyBorder="0" applyAlignment="0" applyProtection="0">
      <alignment vertical="center"/>
    </xf>
    <xf numFmtId="0" fontId="196" fillId="49" borderId="0" applyNumberFormat="0" applyBorder="0" applyAlignment="0" applyProtection="0">
      <alignment vertical="center"/>
    </xf>
    <xf numFmtId="0" fontId="196" fillId="49" borderId="0" applyNumberFormat="0" applyBorder="0" applyAlignment="0" applyProtection="0">
      <alignment vertical="center"/>
    </xf>
    <xf numFmtId="0" fontId="268" fillId="49" borderId="0" applyNumberFormat="0" applyBorder="0" applyAlignment="0" applyProtection="0">
      <alignment vertical="center"/>
    </xf>
    <xf numFmtId="0" fontId="163" fillId="49" borderId="0" applyNumberFormat="0" applyBorder="0" applyAlignment="0" applyProtection="0">
      <alignment vertical="center"/>
    </xf>
    <xf numFmtId="0" fontId="196" fillId="49" borderId="0" applyNumberFormat="0" applyBorder="0" applyAlignment="0" applyProtection="0">
      <alignment vertical="center"/>
    </xf>
    <xf numFmtId="0" fontId="72" fillId="96" borderId="0" applyNumberFormat="0" applyBorder="0" applyAlignment="0" applyProtection="0">
      <alignment vertical="center"/>
    </xf>
    <xf numFmtId="0" fontId="72" fillId="97" borderId="0" applyNumberFormat="0" applyBorder="0" applyAlignment="0" applyProtection="0"/>
    <xf numFmtId="0" fontId="196" fillId="49" borderId="0" applyNumberFormat="0" applyBorder="0" applyAlignment="0" applyProtection="0">
      <alignment vertical="center"/>
    </xf>
    <xf numFmtId="0" fontId="214" fillId="49" borderId="0" applyNumberFormat="0" applyBorder="0" applyAlignment="0" applyProtection="0">
      <alignment vertical="center"/>
    </xf>
    <xf numFmtId="0" fontId="72" fillId="49" borderId="0" applyNumberFormat="0" applyBorder="0" applyAlignment="0" applyProtection="0">
      <alignment vertical="center"/>
    </xf>
    <xf numFmtId="0" fontId="250" fillId="49" borderId="0" applyNumberFormat="0" applyBorder="0" applyAlignment="0" applyProtection="0">
      <alignment vertical="center"/>
    </xf>
    <xf numFmtId="0" fontId="72" fillId="44" borderId="0" applyNumberFormat="0" applyBorder="0" applyAlignment="0" applyProtection="0">
      <alignment vertical="center"/>
    </xf>
    <xf numFmtId="0" fontId="268" fillId="44" borderId="0" applyNumberFormat="0" applyBorder="0" applyAlignment="0" applyProtection="0">
      <alignment vertical="center"/>
    </xf>
    <xf numFmtId="0" fontId="148" fillId="44" borderId="0" applyNumberFormat="0" applyBorder="0" applyAlignment="0" applyProtection="0">
      <alignment vertical="center"/>
    </xf>
    <xf numFmtId="0" fontId="196" fillId="44" borderId="0" applyNumberFormat="0" applyBorder="0" applyAlignment="0" applyProtection="0">
      <alignment vertical="center"/>
    </xf>
    <xf numFmtId="0" fontId="196" fillId="44" borderId="0" applyNumberFormat="0" applyBorder="0" applyAlignment="0" applyProtection="0">
      <alignment vertical="center"/>
    </xf>
    <xf numFmtId="0" fontId="268" fillId="44" borderId="0" applyNumberFormat="0" applyBorder="0" applyAlignment="0" applyProtection="0">
      <alignment vertical="center"/>
    </xf>
    <xf numFmtId="0" fontId="163" fillId="44" borderId="0" applyNumberFormat="0" applyBorder="0" applyAlignment="0" applyProtection="0">
      <alignment vertical="center"/>
    </xf>
    <xf numFmtId="0" fontId="196" fillId="44" borderId="0" applyNumberFormat="0" applyBorder="0" applyAlignment="0" applyProtection="0">
      <alignment vertical="center"/>
    </xf>
    <xf numFmtId="0" fontId="72" fillId="86" borderId="0" applyNumberFormat="0" applyBorder="0" applyAlignment="0" applyProtection="0">
      <alignment vertical="center"/>
    </xf>
    <xf numFmtId="0" fontId="72" fillId="87" borderId="0" applyNumberFormat="0" applyBorder="0" applyAlignment="0" applyProtection="0"/>
    <xf numFmtId="0" fontId="196" fillId="44" borderId="0" applyNumberFormat="0" applyBorder="0" applyAlignment="0" applyProtection="0">
      <alignment vertical="center"/>
    </xf>
    <xf numFmtId="0" fontId="214" fillId="44" borderId="0" applyNumberFormat="0" applyBorder="0" applyAlignment="0" applyProtection="0">
      <alignment vertical="center"/>
    </xf>
    <xf numFmtId="0" fontId="72" fillId="44" borderId="0" applyNumberFormat="0" applyBorder="0" applyAlignment="0" applyProtection="0">
      <alignment vertical="center"/>
    </xf>
    <xf numFmtId="0" fontId="250" fillId="44" borderId="0" applyNumberFormat="0" applyBorder="0" applyAlignment="0" applyProtection="0">
      <alignment vertical="center"/>
    </xf>
    <xf numFmtId="0" fontId="72" fillId="45" borderId="0" applyNumberFormat="0" applyBorder="0" applyAlignment="0" applyProtection="0">
      <alignment vertical="center"/>
    </xf>
    <xf numFmtId="0" fontId="268" fillId="45" borderId="0" applyNumberFormat="0" applyBorder="0" applyAlignment="0" applyProtection="0">
      <alignment vertical="center"/>
    </xf>
    <xf numFmtId="0" fontId="148" fillId="45" borderId="0" applyNumberFormat="0" applyBorder="0" applyAlignment="0" applyProtection="0">
      <alignment vertical="center"/>
    </xf>
    <xf numFmtId="0" fontId="196" fillId="45" borderId="0" applyNumberFormat="0" applyBorder="0" applyAlignment="0" applyProtection="0">
      <alignment vertical="center"/>
    </xf>
    <xf numFmtId="0" fontId="196" fillId="45" borderId="0" applyNumberFormat="0" applyBorder="0" applyAlignment="0" applyProtection="0">
      <alignment vertical="center"/>
    </xf>
    <xf numFmtId="0" fontId="268" fillId="45" borderId="0" applyNumberFormat="0" applyBorder="0" applyAlignment="0" applyProtection="0">
      <alignment vertical="center"/>
    </xf>
    <xf numFmtId="0" fontId="163" fillId="45" borderId="0" applyNumberFormat="0" applyBorder="0" applyAlignment="0" applyProtection="0">
      <alignment vertical="center"/>
    </xf>
    <xf numFmtId="0" fontId="196" fillId="45" borderId="0" applyNumberFormat="0" applyBorder="0" applyAlignment="0" applyProtection="0">
      <alignment vertical="center"/>
    </xf>
    <xf numFmtId="0" fontId="72" fillId="88" borderId="0" applyNumberFormat="0" applyBorder="0" applyAlignment="0" applyProtection="0">
      <alignment vertical="center"/>
    </xf>
    <xf numFmtId="0" fontId="72" fillId="89" borderId="0" applyNumberFormat="0" applyBorder="0" applyAlignment="0" applyProtection="0"/>
    <xf numFmtId="0" fontId="196" fillId="45" borderId="0" applyNumberFormat="0" applyBorder="0" applyAlignment="0" applyProtection="0">
      <alignment vertical="center"/>
    </xf>
    <xf numFmtId="0" fontId="214" fillId="45" borderId="0" applyNumberFormat="0" applyBorder="0" applyAlignment="0" applyProtection="0">
      <alignment vertical="center"/>
    </xf>
    <xf numFmtId="0" fontId="72" fillId="45" borderId="0" applyNumberFormat="0" applyBorder="0" applyAlignment="0" applyProtection="0">
      <alignment vertical="center"/>
    </xf>
    <xf numFmtId="0" fontId="250" fillId="45" borderId="0" applyNumberFormat="0" applyBorder="0" applyAlignment="0" applyProtection="0">
      <alignment vertical="center"/>
    </xf>
    <xf numFmtId="0" fontId="72" fillId="50" borderId="0" applyNumberFormat="0" applyBorder="0" applyAlignment="0" applyProtection="0">
      <alignment vertical="center"/>
    </xf>
    <xf numFmtId="0" fontId="268" fillId="50" borderId="0" applyNumberFormat="0" applyBorder="0" applyAlignment="0" applyProtection="0">
      <alignment vertical="center"/>
    </xf>
    <xf numFmtId="0" fontId="148" fillId="50" borderId="0" applyNumberFormat="0" applyBorder="0" applyAlignment="0" applyProtection="0">
      <alignment vertical="center"/>
    </xf>
    <xf numFmtId="0" fontId="196" fillId="50" borderId="0" applyNumberFormat="0" applyBorder="0" applyAlignment="0" applyProtection="0">
      <alignment vertical="center"/>
    </xf>
    <xf numFmtId="0" fontId="196" fillId="50" borderId="0" applyNumberFormat="0" applyBorder="0" applyAlignment="0" applyProtection="0">
      <alignment vertical="center"/>
    </xf>
    <xf numFmtId="0" fontId="268" fillId="50" borderId="0" applyNumberFormat="0" applyBorder="0" applyAlignment="0" applyProtection="0">
      <alignment vertical="center"/>
    </xf>
    <xf numFmtId="0" fontId="163" fillId="50" borderId="0" applyNumberFormat="0" applyBorder="0" applyAlignment="0" applyProtection="0">
      <alignment vertical="center"/>
    </xf>
    <xf numFmtId="0" fontId="196" fillId="50" borderId="0" applyNumberFormat="0" applyBorder="0" applyAlignment="0" applyProtection="0">
      <alignment vertical="center"/>
    </xf>
    <xf numFmtId="0" fontId="72" fillId="98" borderId="0" applyNumberFormat="0" applyBorder="0" applyAlignment="0" applyProtection="0">
      <alignment vertical="center"/>
    </xf>
    <xf numFmtId="0" fontId="72" fillId="99" borderId="0" applyNumberFormat="0" applyBorder="0" applyAlignment="0" applyProtection="0"/>
    <xf numFmtId="0" fontId="196" fillId="50" borderId="0" applyNumberFormat="0" applyBorder="0" applyAlignment="0" applyProtection="0">
      <alignment vertical="center"/>
    </xf>
    <xf numFmtId="0" fontId="214" fillId="50" borderId="0" applyNumberFormat="0" applyBorder="0" applyAlignment="0" applyProtection="0">
      <alignment vertical="center"/>
    </xf>
    <xf numFmtId="0" fontId="72" fillId="50" borderId="0" applyNumberFormat="0" applyBorder="0" applyAlignment="0" applyProtection="0">
      <alignment vertical="center"/>
    </xf>
    <xf numFmtId="0" fontId="250" fillId="50" borderId="0" applyNumberFormat="0" applyBorder="0" applyAlignment="0" applyProtection="0">
      <alignment vertical="center"/>
    </xf>
    <xf numFmtId="0" fontId="35" fillId="0" borderId="0" applyNumberFormat="0" applyFill="0" applyBorder="0" applyAlignment="0" applyProtection="0">
      <alignment vertical="center"/>
    </xf>
    <xf numFmtId="0" fontId="76" fillId="0" borderId="19" applyNumberFormat="0" applyFill="0" applyAlignment="0" applyProtection="0">
      <alignment vertical="center"/>
    </xf>
    <xf numFmtId="0" fontId="150" fillId="0" borderId="19" applyNumberFormat="0" applyFill="0" applyAlignment="0" applyProtection="0">
      <alignment vertical="center"/>
    </xf>
    <xf numFmtId="0" fontId="201" fillId="0" borderId="19" applyNumberFormat="0" applyFill="0" applyAlignment="0" applyProtection="0">
      <alignment vertical="center"/>
    </xf>
    <xf numFmtId="0" fontId="201" fillId="0" borderId="19" applyNumberFormat="0" applyFill="0" applyAlignment="0" applyProtection="0">
      <alignment vertical="center"/>
    </xf>
    <xf numFmtId="0" fontId="273" fillId="0" borderId="19" applyNumberFormat="0" applyFill="0" applyAlignment="0" applyProtection="0">
      <alignment vertical="center"/>
    </xf>
    <xf numFmtId="0" fontId="168" fillId="0" borderId="19" applyNumberFormat="0" applyFill="0" applyAlignment="0" applyProtection="0">
      <alignment vertical="center"/>
    </xf>
    <xf numFmtId="0" fontId="201" fillId="0" borderId="19" applyNumberFormat="0" applyFill="0" applyAlignment="0" applyProtection="0">
      <alignment vertical="center"/>
    </xf>
    <xf numFmtId="0" fontId="76" fillId="0" borderId="19" applyNumberFormat="0" applyFill="0" applyAlignment="0" applyProtection="0"/>
    <xf numFmtId="0" fontId="201" fillId="0" borderId="19" applyNumberFormat="0" applyFill="0" applyAlignment="0" applyProtection="0">
      <alignment vertical="center"/>
    </xf>
    <xf numFmtId="0" fontId="219" fillId="0" borderId="19" applyNumberFormat="0" applyFill="0" applyAlignment="0" applyProtection="0">
      <alignment vertical="center"/>
    </xf>
    <xf numFmtId="0" fontId="76" fillId="0" borderId="19" applyNumberFormat="0" applyFill="0" applyAlignment="0" applyProtection="0">
      <alignment vertical="center"/>
    </xf>
    <xf numFmtId="0" fontId="255" fillId="0" borderId="19" applyNumberFormat="0" applyFill="0" applyAlignment="0" applyProtection="0">
      <alignment vertical="center"/>
    </xf>
    <xf numFmtId="0" fontId="273" fillId="0" borderId="19" applyNumberFormat="0" applyFill="0" applyAlignment="0" applyProtection="0">
      <alignment vertical="center"/>
    </xf>
    <xf numFmtId="0" fontId="35" fillId="0" borderId="0" applyNumberFormat="0" applyFill="0" applyBorder="0" applyAlignment="0" applyProtection="0">
      <alignment vertical="center"/>
    </xf>
    <xf numFmtId="0" fontId="254" fillId="0" borderId="0" applyNumberFormat="0" applyFill="0" applyBorder="0" applyAlignment="0" applyProtection="0">
      <alignment vertical="center"/>
    </xf>
    <xf numFmtId="0" fontId="272" fillId="0" borderId="0" applyNumberFormat="0" applyFill="0" applyBorder="0" applyAlignment="0" applyProtection="0">
      <alignment vertical="center"/>
    </xf>
    <xf numFmtId="0" fontId="77" fillId="0" borderId="20" applyNumberFormat="0" applyFill="0" applyAlignment="0" applyProtection="0">
      <alignment vertical="center"/>
    </xf>
    <xf numFmtId="0" fontId="151" fillId="0" borderId="20" applyNumberFormat="0" applyFill="0" applyAlignment="0" applyProtection="0">
      <alignment vertical="center"/>
    </xf>
    <xf numFmtId="0" fontId="202" fillId="0" borderId="20" applyNumberFormat="0" applyFill="0" applyAlignment="0" applyProtection="0">
      <alignment vertical="center"/>
    </xf>
    <xf numFmtId="0" fontId="202" fillId="0" borderId="20" applyNumberFormat="0" applyFill="0" applyAlignment="0" applyProtection="0">
      <alignment vertical="center"/>
    </xf>
    <xf numFmtId="0" fontId="274" fillId="0" borderId="20" applyNumberFormat="0" applyFill="0" applyAlignment="0" applyProtection="0">
      <alignment vertical="center"/>
    </xf>
    <xf numFmtId="0" fontId="169" fillId="0" borderId="20" applyNumberFormat="0" applyFill="0" applyAlignment="0" applyProtection="0">
      <alignment vertical="center"/>
    </xf>
    <xf numFmtId="0" fontId="202" fillId="0" borderId="20" applyNumberFormat="0" applyFill="0" applyAlignment="0" applyProtection="0">
      <alignment vertical="center"/>
    </xf>
    <xf numFmtId="0" fontId="77" fillId="0" borderId="20" applyNumberFormat="0" applyFill="0" applyAlignment="0" applyProtection="0"/>
    <xf numFmtId="0" fontId="202" fillId="0" borderId="20" applyNumberFormat="0" applyFill="0" applyAlignment="0" applyProtection="0">
      <alignment vertical="center"/>
    </xf>
    <xf numFmtId="0" fontId="220" fillId="0" borderId="20" applyNumberFormat="0" applyFill="0" applyAlignment="0" applyProtection="0">
      <alignment vertical="center"/>
    </xf>
    <xf numFmtId="0" fontId="77" fillId="0" borderId="20" applyNumberFormat="0" applyFill="0" applyAlignment="0" applyProtection="0">
      <alignment vertical="center"/>
    </xf>
    <xf numFmtId="0" fontId="256" fillId="0" borderId="20" applyNumberFormat="0" applyFill="0" applyAlignment="0" applyProtection="0">
      <alignment vertical="center"/>
    </xf>
    <xf numFmtId="0" fontId="274" fillId="0" borderId="20" applyNumberFormat="0" applyFill="0" applyAlignment="0" applyProtection="0">
      <alignment vertical="center"/>
    </xf>
    <xf numFmtId="0" fontId="78" fillId="0" borderId="21" applyNumberFormat="0" applyFill="0" applyAlignment="0" applyProtection="0">
      <alignment vertical="center"/>
    </xf>
    <xf numFmtId="0" fontId="152" fillId="0" borderId="21" applyNumberFormat="0" applyFill="0" applyAlignment="0" applyProtection="0">
      <alignment vertical="center"/>
    </xf>
    <xf numFmtId="0" fontId="203" fillId="0" borderId="21" applyNumberFormat="0" applyFill="0" applyAlignment="0" applyProtection="0">
      <alignment vertical="center"/>
    </xf>
    <xf numFmtId="0" fontId="203" fillId="0" borderId="21" applyNumberFormat="0" applyFill="0" applyAlignment="0" applyProtection="0">
      <alignment vertical="center"/>
    </xf>
    <xf numFmtId="0" fontId="275" fillId="0" borderId="21" applyNumberFormat="0" applyFill="0" applyAlignment="0" applyProtection="0">
      <alignment vertical="center"/>
    </xf>
    <xf numFmtId="0" fontId="170" fillId="0" borderId="21" applyNumberFormat="0" applyFill="0" applyAlignment="0" applyProtection="0">
      <alignment vertical="center"/>
    </xf>
    <xf numFmtId="0" fontId="203" fillId="0" borderId="21" applyNumberFormat="0" applyFill="0" applyAlignment="0" applyProtection="0">
      <alignment vertical="center"/>
    </xf>
    <xf numFmtId="0" fontId="78" fillId="0" borderId="21" applyNumberFormat="0" applyFill="0" applyAlignment="0" applyProtection="0"/>
    <xf numFmtId="0" fontId="203" fillId="0" borderId="21" applyNumberFormat="0" applyFill="0" applyAlignment="0" applyProtection="0">
      <alignment vertical="center"/>
    </xf>
    <xf numFmtId="0" fontId="221" fillId="0" borderId="21" applyNumberFormat="0" applyFill="0" applyAlignment="0" applyProtection="0">
      <alignment vertical="center"/>
    </xf>
    <xf numFmtId="0" fontId="78" fillId="0" borderId="21" applyNumberFormat="0" applyFill="0" applyAlignment="0" applyProtection="0">
      <alignment vertical="center"/>
    </xf>
    <xf numFmtId="0" fontId="257" fillId="0" borderId="21" applyNumberFormat="0" applyFill="0" applyAlignment="0" applyProtection="0">
      <alignment vertical="center"/>
    </xf>
    <xf numFmtId="0" fontId="275" fillId="0" borderId="21" applyNumberFormat="0" applyFill="0" applyAlignment="0" applyProtection="0">
      <alignment vertical="center"/>
    </xf>
    <xf numFmtId="0" fontId="78" fillId="0" borderId="0" applyNumberFormat="0" applyFill="0" applyBorder="0" applyAlignment="0" applyProtection="0">
      <alignment vertical="center"/>
    </xf>
    <xf numFmtId="0" fontId="152"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170"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78" fillId="0" borderId="0" applyNumberFormat="0" applyFill="0" applyBorder="0" applyAlignment="0" applyProtection="0"/>
    <xf numFmtId="0" fontId="203" fillId="0" borderId="0" applyNumberFormat="0" applyFill="0" applyBorder="0" applyAlignment="0" applyProtection="0">
      <alignment vertical="center"/>
    </xf>
    <xf numFmtId="0" fontId="221"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257"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272" fillId="0" borderId="0" applyNumberFormat="0" applyFill="0" applyBorder="0" applyAlignment="0" applyProtection="0">
      <alignment vertical="center"/>
    </xf>
    <xf numFmtId="0" fontId="167"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35" fillId="0" borderId="0" applyNumberFormat="0" applyFill="0" applyBorder="0" applyAlignment="0" applyProtection="0"/>
    <xf numFmtId="0" fontId="200" fillId="0" borderId="0" applyNumberFormat="0" applyFill="0" applyBorder="0" applyAlignment="0" applyProtection="0">
      <alignment vertical="center"/>
    </xf>
    <xf numFmtId="0" fontId="218"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79" fillId="52" borderId="18" applyNumberFormat="0" applyAlignment="0" applyProtection="0">
      <alignment vertical="center"/>
    </xf>
    <xf numFmtId="0" fontId="276" fillId="52" borderId="18" applyNumberFormat="0" applyAlignment="0" applyProtection="0">
      <alignment vertical="center"/>
    </xf>
    <xf numFmtId="0" fontId="153" fillId="52" borderId="18" applyNumberFormat="0" applyAlignment="0" applyProtection="0">
      <alignment vertical="center"/>
    </xf>
    <xf numFmtId="0" fontId="204" fillId="52" borderId="18" applyNumberFormat="0" applyAlignment="0" applyProtection="0">
      <alignment vertical="center"/>
    </xf>
    <xf numFmtId="0" fontId="204" fillId="52" borderId="18" applyNumberFormat="0" applyAlignment="0" applyProtection="0">
      <alignment vertical="center"/>
    </xf>
    <xf numFmtId="0" fontId="276" fillId="52" borderId="18" applyNumberFormat="0" applyAlignment="0" applyProtection="0">
      <alignment vertical="center"/>
    </xf>
    <xf numFmtId="0" fontId="171" fillId="52" borderId="18" applyNumberFormat="0" applyAlignment="0" applyProtection="0">
      <alignment vertical="center"/>
    </xf>
    <xf numFmtId="0" fontId="204" fillId="52" borderId="18" applyNumberFormat="0" applyAlignment="0" applyProtection="0">
      <alignment vertical="center"/>
    </xf>
    <xf numFmtId="0" fontId="79" fillId="100" borderId="18" applyNumberFormat="0" applyAlignment="0" applyProtection="0">
      <alignment vertical="center"/>
    </xf>
    <xf numFmtId="0" fontId="79" fillId="101" borderId="18" applyNumberFormat="0" applyAlignment="0" applyProtection="0"/>
    <xf numFmtId="0" fontId="204" fillId="52" borderId="18" applyNumberFormat="0" applyAlignment="0" applyProtection="0">
      <alignment vertical="center"/>
    </xf>
    <xf numFmtId="0" fontId="222" fillId="52" borderId="18" applyNumberFormat="0" applyAlignment="0" applyProtection="0">
      <alignment vertical="center"/>
    </xf>
    <xf numFmtId="0" fontId="79" fillId="52" borderId="18" applyNumberFormat="0" applyAlignment="0" applyProtection="0">
      <alignment vertical="center"/>
    </xf>
    <xf numFmtId="0" fontId="258" fillId="52" borderId="18" applyNumberFormat="0" applyAlignment="0" applyProtection="0">
      <alignment vertical="center"/>
    </xf>
    <xf numFmtId="0" fontId="95" fillId="0" borderId="0" applyNumberFormat="0" applyFill="0" applyBorder="0" applyAlignment="0" applyProtection="0">
      <alignment vertical="center"/>
    </xf>
    <xf numFmtId="0" fontId="96" fillId="0" borderId="27" applyNumberFormat="0" applyFill="0" applyAlignment="0" applyProtection="0">
      <alignment vertical="center"/>
    </xf>
    <xf numFmtId="0" fontId="191" fillId="0" borderId="27" applyNumberFormat="0" applyFill="0" applyAlignment="0" applyProtection="0">
      <alignment vertical="center"/>
    </xf>
    <xf numFmtId="0" fontId="96" fillId="0" borderId="27" applyNumberFormat="0" applyFill="0" applyAlignment="0" applyProtection="0"/>
    <xf numFmtId="0" fontId="239" fillId="0" borderId="27" applyNumberFormat="0" applyFill="0" applyAlignment="0" applyProtection="0">
      <alignment vertical="center"/>
    </xf>
    <xf numFmtId="0" fontId="191" fillId="0" borderId="27"/>
    <xf numFmtId="0" fontId="97" fillId="0" borderId="20" applyNumberFormat="0" applyFill="0" applyAlignment="0" applyProtection="0">
      <alignment vertical="center"/>
    </xf>
    <xf numFmtId="0" fontId="192" fillId="0" borderId="20" applyNumberFormat="0" applyFill="0" applyAlignment="0" applyProtection="0">
      <alignment vertical="center"/>
    </xf>
    <xf numFmtId="0" fontId="97" fillId="0" borderId="20" applyNumberFormat="0" applyFill="0" applyAlignment="0" applyProtection="0"/>
    <xf numFmtId="0" fontId="240" fillId="0" borderId="20" applyNumberFormat="0" applyFill="0" applyAlignment="0" applyProtection="0">
      <alignment vertical="center"/>
    </xf>
    <xf numFmtId="0" fontId="192" fillId="0" borderId="20"/>
    <xf numFmtId="0" fontId="98" fillId="0" borderId="28" applyNumberFormat="0" applyFill="0" applyAlignment="0" applyProtection="0">
      <alignment vertical="center"/>
    </xf>
    <xf numFmtId="0" fontId="193" fillId="0" borderId="28" applyNumberFormat="0" applyFill="0" applyAlignment="0" applyProtection="0">
      <alignment vertical="center"/>
    </xf>
    <xf numFmtId="0" fontId="98" fillId="0" borderId="28" applyNumberFormat="0" applyFill="0" applyAlignment="0" applyProtection="0"/>
    <xf numFmtId="0" fontId="241" fillId="0" borderId="28" applyNumberFormat="0" applyFill="0" applyAlignment="0" applyProtection="0">
      <alignment vertical="center"/>
    </xf>
    <xf numFmtId="0" fontId="193" fillId="0" borderId="28"/>
    <xf numFmtId="0" fontId="98" fillId="0" borderId="0" applyNumberFormat="0" applyFill="0" applyBorder="0" applyAlignment="0" applyProtection="0">
      <alignment vertical="center"/>
    </xf>
    <xf numFmtId="0" fontId="193" fillId="0" borderId="0" applyNumberFormat="0" applyFill="0" applyBorder="0" applyAlignment="0" applyProtection="0">
      <alignment vertical="center"/>
    </xf>
    <xf numFmtId="0" fontId="98" fillId="0" borderId="0" applyNumberFormat="0" applyFill="0" applyBorder="0" applyAlignment="0" applyProtection="0"/>
    <xf numFmtId="0" fontId="241" fillId="0" borderId="0" applyNumberFormat="0" applyFill="0" applyBorder="0" applyAlignment="0" applyProtection="0">
      <alignment vertical="center"/>
    </xf>
    <xf numFmtId="0" fontId="193" fillId="0" borderId="0"/>
    <xf numFmtId="0" fontId="146" fillId="0" borderId="0" applyNumberFormat="0" applyFill="0" applyBorder="0" applyAlignment="0" applyProtection="0">
      <alignment vertical="center"/>
    </xf>
    <xf numFmtId="0" fontId="95" fillId="0" borderId="0" applyNumberFormat="0" applyFill="0" applyBorder="0" applyAlignment="0" applyProtection="0"/>
    <xf numFmtId="0" fontId="238" fillId="0" borderId="0" applyNumberFormat="0" applyFill="0" applyBorder="0" applyAlignment="0" applyProtection="0">
      <alignment vertical="center"/>
    </xf>
    <xf numFmtId="0" fontId="146" fillId="0" borderId="0"/>
    <xf numFmtId="0" fontId="146" fillId="0" borderId="0" applyNumberFormat="0" applyFill="0" applyBorder="0" applyAlignment="0" applyProtection="0">
      <alignment vertical="center"/>
    </xf>
    <xf numFmtId="0" fontId="99" fillId="52" borderId="18" applyNumberFormat="0" applyAlignment="0" applyProtection="0">
      <alignment vertical="center"/>
    </xf>
    <xf numFmtId="0" fontId="187" fillId="100" borderId="18" applyNumberFormat="0" applyAlignment="0" applyProtection="0">
      <alignment vertical="center"/>
    </xf>
    <xf numFmtId="0" fontId="187" fillId="52" borderId="18" applyNumberFormat="0" applyAlignment="0" applyProtection="0">
      <alignment vertical="center"/>
    </xf>
    <xf numFmtId="0" fontId="99" fillId="101" borderId="18" applyNumberFormat="0" applyAlignment="0" applyProtection="0"/>
    <xf numFmtId="0" fontId="99" fillId="100" borderId="18" applyNumberFormat="0" applyAlignment="0" applyProtection="0">
      <alignment vertical="center"/>
    </xf>
    <xf numFmtId="0" fontId="242" fillId="100" borderId="18" applyNumberFormat="0" applyAlignment="0" applyProtection="0">
      <alignment vertical="center"/>
    </xf>
    <xf numFmtId="0" fontId="187" fillId="100" borderId="18"/>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1"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73"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81" fillId="0" borderId="0" applyNumberFormat="0" applyFill="0" applyBorder="0" applyAlignment="0" applyProtection="0"/>
    <xf numFmtId="0" fontId="206" fillId="0" borderId="0" applyNumberFormat="0" applyFill="0" applyBorder="0" applyAlignment="0" applyProtection="0">
      <alignment vertical="center"/>
    </xf>
    <xf numFmtId="0" fontId="224"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260"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101" fillId="0" borderId="0" applyNumberFormat="0" applyFill="0" applyBorder="0" applyAlignment="0" applyProtection="0">
      <alignment vertical="center"/>
    </xf>
    <xf numFmtId="0" fontId="185" fillId="0" borderId="0" applyNumberFormat="0" applyFill="0" applyBorder="0" applyAlignment="0" applyProtection="0">
      <alignment vertical="center"/>
    </xf>
    <xf numFmtId="0" fontId="101" fillId="0" borderId="0" applyNumberFormat="0" applyFill="0" applyBorder="0" applyAlignment="0" applyProtection="0"/>
    <xf numFmtId="0" fontId="244" fillId="0" borderId="0" applyNumberFormat="0" applyFill="0" applyBorder="0" applyAlignment="0" applyProtection="0">
      <alignment vertical="center"/>
    </xf>
    <xf numFmtId="0" fontId="185" fillId="0" borderId="0"/>
    <xf numFmtId="0" fontId="102" fillId="0" borderId="0" applyNumberFormat="0" applyFill="0" applyBorder="0" applyAlignment="0" applyProtection="0">
      <alignment vertical="center"/>
    </xf>
    <xf numFmtId="0" fontId="181" fillId="0" borderId="0" applyNumberFormat="0" applyFill="0" applyBorder="0" applyAlignment="0" applyProtection="0">
      <alignment vertical="center"/>
    </xf>
    <xf numFmtId="0" fontId="102" fillId="0" borderId="0" applyNumberFormat="0" applyFill="0" applyBorder="0" applyAlignment="0" applyProtection="0"/>
    <xf numFmtId="0" fontId="245" fillId="0" borderId="0" applyNumberFormat="0" applyFill="0" applyBorder="0" applyAlignment="0" applyProtection="0">
      <alignment vertical="center"/>
    </xf>
    <xf numFmtId="0" fontId="181" fillId="0" borderId="0"/>
    <xf numFmtId="0" fontId="82"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174"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82" fillId="0" borderId="0" applyNumberFormat="0" applyFill="0" applyBorder="0" applyAlignment="0" applyProtection="0"/>
    <xf numFmtId="0" fontId="207" fillId="0" borderId="0" applyNumberFormat="0" applyFill="0" applyBorder="0" applyAlignment="0" applyProtection="0">
      <alignment vertical="center"/>
    </xf>
    <xf numFmtId="0" fontId="225"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261"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48" borderId="0" applyNumberFormat="0" applyBorder="0" applyAlignment="0" applyProtection="0">
      <alignment vertical="center"/>
    </xf>
    <xf numFmtId="0" fontId="186" fillId="94" borderId="0" applyNumberFormat="0" applyBorder="0" applyAlignment="0" applyProtection="0">
      <alignment vertical="center"/>
    </xf>
    <xf numFmtId="0" fontId="186" fillId="48" borderId="0" applyNumberFormat="0" applyBorder="0" applyAlignment="0" applyProtection="0">
      <alignment vertical="center"/>
    </xf>
    <xf numFmtId="0" fontId="89" fillId="95" borderId="0" applyNumberFormat="0" applyBorder="0" applyAlignment="0" applyProtection="0"/>
    <xf numFmtId="0" fontId="89" fillId="94" borderId="0" applyNumberFormat="0" applyBorder="0" applyAlignment="0" applyProtection="0">
      <alignment vertical="center"/>
    </xf>
    <xf numFmtId="0" fontId="233" fillId="94" borderId="0" applyNumberFormat="0" applyBorder="0" applyAlignment="0" applyProtection="0">
      <alignment vertical="center"/>
    </xf>
    <xf numFmtId="0" fontId="186" fillId="94" borderId="0"/>
    <xf numFmtId="0" fontId="89" fillId="49" borderId="0" applyNumberFormat="0" applyBorder="0" applyAlignment="0" applyProtection="0">
      <alignment vertical="center"/>
    </xf>
    <xf numFmtId="0" fontId="186" fillId="96" borderId="0" applyNumberFormat="0" applyBorder="0" applyAlignment="0" applyProtection="0">
      <alignment vertical="center"/>
    </xf>
    <xf numFmtId="0" fontId="186" fillId="49" borderId="0" applyNumberFormat="0" applyBorder="0" applyAlignment="0" applyProtection="0">
      <alignment vertical="center"/>
    </xf>
    <xf numFmtId="0" fontId="89" fillId="97" borderId="0" applyNumberFormat="0" applyBorder="0" applyAlignment="0" applyProtection="0"/>
    <xf numFmtId="0" fontId="89" fillId="96" borderId="0" applyNumberFormat="0" applyBorder="0" applyAlignment="0" applyProtection="0">
      <alignment vertical="center"/>
    </xf>
    <xf numFmtId="0" fontId="233" fillId="96" borderId="0" applyNumberFormat="0" applyBorder="0" applyAlignment="0" applyProtection="0">
      <alignment vertical="center"/>
    </xf>
    <xf numFmtId="0" fontId="186" fillId="96" borderId="0"/>
    <xf numFmtId="0" fontId="89" fillId="103" borderId="0" applyNumberFormat="0" applyBorder="0" applyAlignment="0" applyProtection="0">
      <alignment vertical="center"/>
    </xf>
    <xf numFmtId="0" fontId="186" fillId="104" borderId="0" applyNumberFormat="0" applyBorder="0" applyAlignment="0" applyProtection="0">
      <alignment vertical="center"/>
    </xf>
    <xf numFmtId="0" fontId="186" fillId="103" borderId="0" applyNumberFormat="0" applyBorder="0" applyAlignment="0" applyProtection="0">
      <alignment vertical="center"/>
    </xf>
    <xf numFmtId="0" fontId="89" fillId="105" borderId="0" applyNumberFormat="0" applyBorder="0" applyAlignment="0" applyProtection="0"/>
    <xf numFmtId="0" fontId="89" fillId="104" borderId="0" applyNumberFormat="0" applyBorder="0" applyAlignment="0" applyProtection="0">
      <alignment vertical="center"/>
    </xf>
    <xf numFmtId="0" fontId="233" fillId="104" borderId="0" applyNumberFormat="0" applyBorder="0" applyAlignment="0" applyProtection="0">
      <alignment vertical="center"/>
    </xf>
    <xf numFmtId="0" fontId="186" fillId="104" borderId="0"/>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50" borderId="0" applyNumberFormat="0" applyBorder="0" applyAlignment="0" applyProtection="0">
      <alignment vertical="center"/>
    </xf>
    <xf numFmtId="0" fontId="186" fillId="98" borderId="0" applyNumberFormat="0" applyBorder="0" applyAlignment="0" applyProtection="0">
      <alignment vertical="center"/>
    </xf>
    <xf numFmtId="0" fontId="186" fillId="50" borderId="0" applyNumberFormat="0" applyBorder="0" applyAlignment="0" applyProtection="0">
      <alignment vertical="center"/>
    </xf>
    <xf numFmtId="0" fontId="89" fillId="99" borderId="0" applyNumberFormat="0" applyBorder="0" applyAlignment="0" applyProtection="0"/>
    <xf numFmtId="0" fontId="89" fillId="98" borderId="0" applyNumberFormat="0" applyBorder="0" applyAlignment="0" applyProtection="0">
      <alignment vertical="center"/>
    </xf>
    <xf numFmtId="0" fontId="233" fillId="98" borderId="0" applyNumberFormat="0" applyBorder="0" applyAlignment="0" applyProtection="0">
      <alignment vertical="center"/>
    </xf>
    <xf numFmtId="0" fontId="186" fillId="98" borderId="0"/>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6" fillId="53" borderId="0" applyNumberFormat="0" applyBorder="0" applyAlignment="0" applyProtection="0">
      <alignment vertical="center"/>
    </xf>
    <xf numFmtId="0" fontId="283" fillId="53" borderId="0" applyNumberFormat="0" applyBorder="0" applyAlignment="0" applyProtection="0">
      <alignment vertical="center"/>
    </xf>
    <xf numFmtId="0" fontId="160" fillId="53" borderId="0" applyNumberFormat="0" applyBorder="0" applyAlignment="0" applyProtection="0">
      <alignment vertical="center"/>
    </xf>
    <xf numFmtId="0" fontId="211" fillId="53" borderId="0" applyNumberFormat="0" applyBorder="0" applyAlignment="0" applyProtection="0">
      <alignment vertical="center"/>
    </xf>
    <xf numFmtId="0" fontId="211" fillId="53" borderId="0" applyNumberFormat="0" applyBorder="0" applyAlignment="0" applyProtection="0">
      <alignment vertical="center"/>
    </xf>
    <xf numFmtId="0" fontId="283" fillId="53" borderId="0" applyNumberFormat="0" applyBorder="0" applyAlignment="0" applyProtection="0">
      <alignment vertical="center"/>
    </xf>
    <xf numFmtId="0" fontId="178" fillId="53" borderId="0" applyNumberFormat="0" applyBorder="0" applyAlignment="0" applyProtection="0">
      <alignment vertical="center"/>
    </xf>
    <xf numFmtId="0" fontId="211" fillId="53" borderId="0" applyNumberFormat="0" applyBorder="0" applyAlignment="0" applyProtection="0">
      <alignment vertical="center"/>
    </xf>
    <xf numFmtId="0" fontId="86" fillId="82" borderId="0" applyNumberFormat="0" applyBorder="0" applyAlignment="0" applyProtection="0">
      <alignment vertical="center"/>
    </xf>
    <xf numFmtId="0" fontId="86" fillId="83" borderId="0" applyNumberFormat="0" applyBorder="0" applyAlignment="0" applyProtection="0"/>
    <xf numFmtId="0" fontId="211" fillId="53" borderId="0" applyNumberFormat="0" applyBorder="0" applyAlignment="0" applyProtection="0">
      <alignment vertical="center"/>
    </xf>
    <xf numFmtId="0" fontId="229" fillId="53" borderId="0" applyNumberFormat="0" applyBorder="0" applyAlignment="0" applyProtection="0">
      <alignment vertical="center"/>
    </xf>
    <xf numFmtId="0" fontId="86" fillId="53" borderId="0" applyNumberFormat="0" applyBorder="0" applyAlignment="0" applyProtection="0">
      <alignment vertical="center"/>
    </xf>
    <xf numFmtId="0" fontId="265" fillId="53" borderId="0" applyNumberFormat="0" applyBorder="0" applyAlignment="0" applyProtection="0">
      <alignment vertical="center"/>
    </xf>
    <xf numFmtId="0" fontId="105" fillId="0" borderId="22" applyNumberFormat="0" applyFill="0" applyAlignment="0" applyProtection="0">
      <alignment vertical="center"/>
    </xf>
    <xf numFmtId="0" fontId="184" fillId="0" borderId="22" applyNumberFormat="0" applyFill="0" applyAlignment="0" applyProtection="0">
      <alignment vertical="center"/>
    </xf>
    <xf numFmtId="0" fontId="105" fillId="0" borderId="22" applyNumberFormat="0" applyFill="0" applyAlignment="0" applyProtection="0"/>
    <xf numFmtId="0" fontId="248" fillId="0" borderId="22" applyNumberFormat="0" applyFill="0" applyAlignment="0" applyProtection="0">
      <alignment vertical="center"/>
    </xf>
    <xf numFmtId="0" fontId="184" fillId="0" borderId="22"/>
    <xf numFmtId="0" fontId="87" fillId="0" borderId="22" applyNumberFormat="0" applyFill="0" applyAlignment="0" applyProtection="0">
      <alignment vertical="center"/>
    </xf>
    <xf numFmtId="0" fontId="161" fillId="0" borderId="22" applyNumberFormat="0" applyFill="0" applyAlignment="0" applyProtection="0">
      <alignment vertical="center"/>
    </xf>
    <xf numFmtId="0" fontId="212" fillId="0" borderId="22" applyNumberFormat="0" applyFill="0" applyAlignment="0" applyProtection="0">
      <alignment vertical="center"/>
    </xf>
    <xf numFmtId="0" fontId="212" fillId="0" borderId="22" applyNumberFormat="0" applyFill="0" applyAlignment="0" applyProtection="0">
      <alignment vertical="center"/>
    </xf>
    <xf numFmtId="0" fontId="284" fillId="0" borderId="22" applyNumberFormat="0" applyFill="0" applyAlignment="0" applyProtection="0">
      <alignment vertical="center"/>
    </xf>
    <xf numFmtId="0" fontId="179" fillId="0" borderId="22" applyNumberFormat="0" applyFill="0" applyAlignment="0" applyProtection="0">
      <alignment vertical="center"/>
    </xf>
    <xf numFmtId="0" fontId="212" fillId="0" borderId="22" applyNumberFormat="0" applyFill="0" applyAlignment="0" applyProtection="0">
      <alignment vertical="center"/>
    </xf>
    <xf numFmtId="0" fontId="87" fillId="0" borderId="22" applyNumberFormat="0" applyFill="0" applyAlignment="0" applyProtection="0"/>
    <xf numFmtId="0" fontId="212" fillId="0" borderId="22" applyNumberFormat="0" applyFill="0" applyAlignment="0" applyProtection="0">
      <alignment vertical="center"/>
    </xf>
    <xf numFmtId="0" fontId="230" fillId="0" borderId="22" applyNumberFormat="0" applyFill="0" applyAlignment="0" applyProtection="0">
      <alignment vertical="center"/>
    </xf>
    <xf numFmtId="0" fontId="87" fillId="0" borderId="22" applyNumberFormat="0" applyFill="0" applyAlignment="0" applyProtection="0">
      <alignment vertical="center"/>
    </xf>
    <xf numFmtId="0" fontId="266" fillId="0" borderId="22" applyNumberFormat="0" applyFill="0" applyAlignment="0" applyProtection="0">
      <alignment vertical="center"/>
    </xf>
    <xf numFmtId="0" fontId="284" fillId="0" borderId="22" applyNumberFormat="0" applyFill="0" applyAlignment="0" applyProtection="0">
      <alignment vertical="center"/>
    </xf>
    <xf numFmtId="0" fontId="51" fillId="22" borderId="0" applyNumberFormat="0" applyBorder="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9" fontId="305" fillId="0" borderId="0" applyFont="0" applyFill="0" applyBorder="0" applyAlignment="0" applyProtection="0"/>
    <xf numFmtId="0" fontId="2" fillId="0" borderId="0" applyNumberFormat="0" applyFill="0" applyBorder="0" applyAlignment="0" applyProtection="0"/>
    <xf numFmtId="0" fontId="304" fillId="0" borderId="0">
      <alignment vertical="center"/>
    </xf>
    <xf numFmtId="0" fontId="70" fillId="0" borderId="0"/>
    <xf numFmtId="0" fontId="2" fillId="0" borderId="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 fillId="0" borderId="0"/>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71" fillId="78" borderId="0" applyNumberFormat="0" applyBorder="0" applyAlignment="0" applyProtection="0">
      <alignment vertical="center"/>
    </xf>
    <xf numFmtId="0" fontId="71" fillId="72" borderId="0" applyNumberFormat="0" applyBorder="0" applyAlignment="0" applyProtection="0">
      <alignment vertical="center"/>
    </xf>
    <xf numFmtId="0" fontId="72" fillId="74" borderId="0" applyNumberFormat="0" applyBorder="0" applyAlignment="0" applyProtection="0">
      <alignment vertical="center"/>
    </xf>
    <xf numFmtId="0" fontId="79" fillId="100" borderId="18" applyNumberFormat="0" applyAlignment="0" applyProtection="0">
      <alignment vertical="center"/>
    </xf>
    <xf numFmtId="0" fontId="85" fillId="80" borderId="24" applyNumberFormat="0" applyAlignment="0" applyProtection="0">
      <alignment vertical="center"/>
    </xf>
    <xf numFmtId="0" fontId="72" fillId="76" borderId="0" applyNumberFormat="0" applyBorder="0" applyAlignment="0" applyProtection="0">
      <alignment vertical="center"/>
    </xf>
    <xf numFmtId="0" fontId="82" fillId="0" borderId="0" applyNumberFormat="0" applyFill="0" applyBorder="0" applyAlignment="0" applyProtection="0">
      <alignment vertical="center"/>
    </xf>
    <xf numFmtId="0" fontId="26" fillId="0" borderId="0"/>
    <xf numFmtId="0" fontId="86" fillId="82" borderId="0" applyNumberFormat="0" applyBorder="0" applyAlignment="0" applyProtection="0">
      <alignment vertical="center"/>
    </xf>
    <xf numFmtId="0" fontId="71" fillId="72" borderId="0" applyNumberFormat="0" applyBorder="0" applyAlignment="0" applyProtection="0">
      <alignment vertical="center"/>
    </xf>
    <xf numFmtId="0" fontId="72" fillId="90" borderId="0" applyNumberFormat="0" applyBorder="0" applyAlignment="0" applyProtection="0">
      <alignment vertical="center"/>
    </xf>
    <xf numFmtId="0" fontId="77" fillId="0" borderId="20" applyNumberFormat="0" applyFill="0" applyAlignment="0" applyProtection="0">
      <alignment vertical="center"/>
    </xf>
    <xf numFmtId="0" fontId="80" fillId="0" borderId="25" applyNumberFormat="0" applyFill="0" applyAlignment="0" applyProtection="0">
      <alignment vertical="center"/>
    </xf>
    <xf numFmtId="0" fontId="72" fillId="86" borderId="0" applyNumberFormat="0" applyBorder="0" applyAlignment="0" applyProtection="0">
      <alignment vertical="center"/>
    </xf>
    <xf numFmtId="0" fontId="72" fillId="86" borderId="0" applyNumberFormat="0" applyBorder="0" applyAlignment="0" applyProtection="0">
      <alignment vertical="center"/>
    </xf>
    <xf numFmtId="0" fontId="78" fillId="0" borderId="21" applyNumberFormat="0" applyFill="0" applyAlignment="0" applyProtection="0">
      <alignment vertical="center"/>
    </xf>
    <xf numFmtId="0" fontId="72" fillId="92" borderId="0" applyNumberFormat="0" applyBorder="0" applyAlignment="0" applyProtection="0">
      <alignment vertical="center"/>
    </xf>
    <xf numFmtId="0" fontId="71" fillId="57" borderId="0" applyNumberFormat="0" applyBorder="0" applyAlignment="0" applyProtection="0">
      <alignment vertical="center"/>
    </xf>
    <xf numFmtId="0" fontId="72" fillId="98" borderId="0" applyNumberFormat="0" applyBorder="0" applyAlignment="0" applyProtection="0">
      <alignment vertical="center"/>
    </xf>
    <xf numFmtId="0" fontId="83" fillId="80" borderId="17" applyNumberFormat="0" applyAlignment="0" applyProtection="0">
      <alignment vertical="center"/>
    </xf>
    <xf numFmtId="0" fontId="71" fillId="76" borderId="0" applyNumberFormat="0" applyBorder="0" applyAlignment="0" applyProtection="0">
      <alignment vertical="center"/>
    </xf>
    <xf numFmtId="0" fontId="76" fillId="0" borderId="19" applyNumberFormat="0" applyFill="0" applyAlignment="0" applyProtection="0">
      <alignment vertical="center"/>
    </xf>
    <xf numFmtId="0" fontId="72" fillId="88" borderId="0" applyNumberFormat="0" applyBorder="0" applyAlignment="0" applyProtection="0">
      <alignment vertical="center"/>
    </xf>
    <xf numFmtId="0" fontId="71" fillId="55" borderId="0" applyNumberFormat="0" applyBorder="0" applyAlignment="0" applyProtection="0">
      <alignment vertical="center"/>
    </xf>
    <xf numFmtId="0" fontId="84" fillId="65" borderId="17" applyNumberFormat="0" applyAlignment="0" applyProtection="0">
      <alignment vertical="center"/>
    </xf>
    <xf numFmtId="0" fontId="71" fillId="74" borderId="0" applyNumberFormat="0" applyBorder="0" applyAlignment="0" applyProtection="0">
      <alignment vertical="center"/>
    </xf>
    <xf numFmtId="0" fontId="72" fillId="94" borderId="0" applyNumberFormat="0" applyBorder="0" applyAlignment="0" applyProtection="0">
      <alignment vertical="center"/>
    </xf>
    <xf numFmtId="0" fontId="71" fillId="63" borderId="0" applyNumberFormat="0" applyBorder="0" applyAlignment="0" applyProtection="0">
      <alignment vertical="center"/>
    </xf>
    <xf numFmtId="0" fontId="75" fillId="57" borderId="0" applyNumberFormat="0" applyBorder="0" applyAlignment="0" applyProtection="0">
      <alignment vertical="center"/>
    </xf>
    <xf numFmtId="0" fontId="72" fillId="88" borderId="0" applyNumberFormat="0" applyBorder="0" applyAlignment="0" applyProtection="0">
      <alignment vertical="center"/>
    </xf>
    <xf numFmtId="0" fontId="1" fillId="70" borderId="23" applyNumberFormat="0" applyFont="0" applyAlignment="0" applyProtection="0">
      <alignment vertical="center"/>
    </xf>
    <xf numFmtId="0" fontId="72" fillId="96" borderId="0" applyNumberFormat="0" applyBorder="0" applyAlignment="0" applyProtection="0">
      <alignment vertical="center"/>
    </xf>
    <xf numFmtId="0" fontId="87" fillId="0" borderId="22" applyNumberFormat="0" applyFill="0" applyAlignment="0" applyProtection="0">
      <alignment vertical="center"/>
    </xf>
    <xf numFmtId="0" fontId="71" fillId="59" borderId="0" applyNumberFormat="0" applyBorder="0" applyAlignment="0" applyProtection="0">
      <alignment vertical="center"/>
    </xf>
    <xf numFmtId="0" fontId="78" fillId="0" borderId="0" applyNumberFormat="0" applyFill="0" applyBorder="0" applyAlignment="0" applyProtection="0">
      <alignment vertical="center"/>
    </xf>
    <xf numFmtId="0" fontId="72" fillId="84" borderId="0" applyNumberFormat="0" applyBorder="0" applyAlignment="0" applyProtection="0">
      <alignment vertical="center"/>
    </xf>
    <xf numFmtId="0" fontId="74" fillId="59" borderId="0" applyNumberFormat="0" applyBorder="0" applyAlignment="0" applyProtection="0">
      <alignment vertical="center"/>
    </xf>
    <xf numFmtId="0" fontId="71" fillId="61" borderId="0" applyNumberFormat="0" applyBorder="0" applyAlignment="0" applyProtection="0">
      <alignment vertical="center"/>
    </xf>
    <xf numFmtId="0" fontId="71" fillId="65" borderId="0" applyNumberFormat="0" applyBorder="0" applyAlignment="0" applyProtection="0">
      <alignment vertical="center"/>
    </xf>
    <xf numFmtId="0" fontId="71"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6"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1"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70" fillId="59" borderId="0" applyNumberFormat="0" applyBorder="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2" fillId="0" borderId="0" applyNumberFormat="0" applyFill="0" applyBorder="0" applyAlignment="0" applyProtection="0">
      <alignment vertical="center"/>
    </xf>
    <xf numFmtId="0" fontId="283" fillId="82" borderId="0" applyNumberFormat="0" applyBorder="0" applyAlignment="0" applyProtection="0">
      <alignment vertical="center"/>
    </xf>
    <xf numFmtId="0" fontId="312" fillId="0" borderId="0" applyNumberFormat="0" applyFill="0" applyBorder="0" applyAlignment="0" applyProtection="0">
      <alignment vertical="center"/>
    </xf>
    <xf numFmtId="0" fontId="308" fillId="65" borderId="0" applyNumberFormat="0" applyBorder="0" applyAlignment="0" applyProtection="0">
      <alignment vertical="center"/>
    </xf>
    <xf numFmtId="0" fontId="312" fillId="0" borderId="28" applyNumberFormat="0" applyFill="0" applyAlignment="0" applyProtection="0">
      <alignment vertical="center"/>
    </xf>
    <xf numFmtId="0" fontId="308" fillId="88" borderId="0" applyNumberFormat="0" applyBorder="0" applyAlignment="0" applyProtection="0">
      <alignment vertical="center"/>
    </xf>
    <xf numFmtId="0" fontId="311" fillId="0" borderId="20" applyNumberFormat="0" applyFill="0" applyAlignment="0" applyProtection="0">
      <alignment vertical="center"/>
    </xf>
    <xf numFmtId="0" fontId="278" fillId="0" borderId="0" applyNumberFormat="0" applyFill="0" applyBorder="0" applyAlignment="0" applyProtection="0">
      <alignment vertical="center"/>
    </xf>
    <xf numFmtId="0" fontId="307" fillId="65" borderId="0" applyNumberFormat="0" applyBorder="0" applyAlignment="0" applyProtection="0">
      <alignment vertical="center"/>
    </xf>
    <xf numFmtId="0" fontId="308" fillId="80" borderId="0" applyNumberFormat="0" applyBorder="0" applyAlignment="0" applyProtection="0">
      <alignment vertical="center"/>
    </xf>
    <xf numFmtId="0" fontId="310" fillId="0" borderId="27" applyNumberFormat="0" applyFill="0" applyAlignment="0" applyProtection="0">
      <alignment vertical="center"/>
    </xf>
    <xf numFmtId="0" fontId="307" fillId="72" borderId="0" applyNumberFormat="0" applyBorder="0" applyAlignment="0" applyProtection="0">
      <alignment vertical="center"/>
    </xf>
    <xf numFmtId="0" fontId="267" fillId="78" borderId="0" applyNumberFormat="0" applyBorder="0" applyAlignment="0" applyProtection="0">
      <alignment vertical="center"/>
    </xf>
    <xf numFmtId="0" fontId="308" fillId="82" borderId="0" applyNumberFormat="0" applyBorder="0" applyAlignment="0" applyProtection="0">
      <alignment vertical="center"/>
    </xf>
    <xf numFmtId="0" fontId="307" fillId="65" borderId="0" applyNumberFormat="0" applyBorder="0" applyAlignment="0" applyProtection="0">
      <alignment vertical="center"/>
    </xf>
    <xf numFmtId="0" fontId="307" fillId="80" borderId="0" applyNumberFormat="0" applyBorder="0" applyAlignment="0" applyProtection="0">
      <alignment vertical="center"/>
    </xf>
    <xf numFmtId="0" fontId="267" fillId="72" borderId="0" applyNumberFormat="0" applyBorder="0" applyAlignment="0" applyProtection="0">
      <alignment vertical="center"/>
    </xf>
    <xf numFmtId="0" fontId="308" fillId="74" borderId="0" applyNumberFormat="0" applyBorder="0" applyAlignment="0" applyProtection="0">
      <alignment vertical="center"/>
    </xf>
    <xf numFmtId="0" fontId="314" fillId="0" borderId="26" applyNumberFormat="0" applyFill="0" applyAlignment="0" applyProtection="0">
      <alignment vertical="center"/>
    </xf>
    <xf numFmtId="0" fontId="307" fillId="82" borderId="0" applyNumberFormat="0" applyBorder="0" applyAlignment="0" applyProtection="0">
      <alignment vertical="center"/>
    </xf>
    <xf numFmtId="0" fontId="307" fillId="63" borderId="0" applyNumberFormat="0" applyBorder="0" applyAlignment="0" applyProtection="0">
      <alignment vertical="center"/>
    </xf>
    <xf numFmtId="0" fontId="267" fillId="61" borderId="0" applyNumberFormat="0" applyBorder="0" applyAlignment="0" applyProtection="0">
      <alignment vertical="center"/>
    </xf>
    <xf numFmtId="0" fontId="308" fillId="88" borderId="0" applyNumberFormat="0" applyBorder="0" applyAlignment="0" applyProtection="0">
      <alignment vertical="center"/>
    </xf>
    <xf numFmtId="0" fontId="307" fillId="74" borderId="0" applyNumberFormat="0" applyBorder="0" applyAlignment="0" applyProtection="0">
      <alignment vertical="center"/>
    </xf>
    <xf numFmtId="0" fontId="307" fillId="68" borderId="0" applyNumberFormat="0" applyBorder="0" applyAlignment="0" applyProtection="0">
      <alignment vertical="center"/>
    </xf>
    <xf numFmtId="0" fontId="267" fillId="76" borderId="0" applyNumberFormat="0" applyBorder="0" applyAlignment="0" applyProtection="0">
      <alignment vertical="center"/>
    </xf>
    <xf numFmtId="0" fontId="271" fillId="57" borderId="0" applyNumberFormat="0" applyBorder="0" applyAlignment="0" applyProtection="0">
      <alignment vertical="center"/>
    </xf>
    <xf numFmtId="0" fontId="307" fillId="80" borderId="0" applyNumberFormat="0" applyBorder="0" applyAlignment="0" applyProtection="0">
      <alignment vertical="center"/>
    </xf>
    <xf numFmtId="0" fontId="307" fillId="70" borderId="0" applyNumberFormat="0" applyBorder="0" applyAlignment="0" applyProtection="0">
      <alignment vertical="center"/>
    </xf>
    <xf numFmtId="0" fontId="267" fillId="74" borderId="0" applyNumberFormat="0" applyBorder="0" applyAlignment="0" applyProtection="0">
      <alignment vertical="center"/>
    </xf>
    <xf numFmtId="0" fontId="307" fillId="65" borderId="0" applyNumberFormat="0" applyBorder="0" applyAlignment="0" applyProtection="0">
      <alignment vertical="center"/>
    </xf>
    <xf numFmtId="0" fontId="267" fillId="72" borderId="0" applyNumberFormat="0" applyBorder="0" applyAlignment="0" applyProtection="0">
      <alignment vertical="center"/>
    </xf>
    <xf numFmtId="0" fontId="307" fillId="68" borderId="0" applyNumberFormat="0" applyBorder="0" applyAlignment="0" applyProtection="0">
      <alignment vertical="center"/>
    </xf>
    <xf numFmtId="0" fontId="323" fillId="82" borderId="0" applyNumberFormat="0" applyBorder="0" applyAlignment="0" applyProtection="0">
      <alignment vertical="center"/>
    </xf>
    <xf numFmtId="0" fontId="276" fillId="100" borderId="18" applyNumberFormat="0" applyAlignment="0" applyProtection="0">
      <alignment vertical="center"/>
    </xf>
    <xf numFmtId="0" fontId="317" fillId="100" borderId="18" applyNumberFormat="0" applyAlignment="0" applyProtection="0">
      <alignment vertical="center"/>
    </xf>
    <xf numFmtId="0" fontId="308" fillId="98" borderId="0" applyNumberFormat="0" applyBorder="0" applyAlignment="0" applyProtection="0">
      <alignment vertical="center"/>
    </xf>
    <xf numFmtId="0" fontId="308" fillId="88" borderId="0" applyNumberFormat="0" applyBorder="0" applyAlignment="0" applyProtection="0">
      <alignment vertical="center"/>
    </xf>
    <xf numFmtId="0" fontId="308" fillId="104" borderId="0" applyNumberFormat="0" applyBorder="0" applyAlignment="0" applyProtection="0">
      <alignment vertical="center"/>
    </xf>
    <xf numFmtId="0" fontId="308" fillId="96" borderId="0" applyNumberFormat="0" applyBorder="0" applyAlignment="0" applyProtection="0">
      <alignment vertical="center"/>
    </xf>
    <xf numFmtId="0" fontId="308" fillId="94" borderId="0" applyNumberFormat="0" applyBorder="0" applyAlignment="0" applyProtection="0">
      <alignment vertical="center"/>
    </xf>
    <xf numFmtId="0" fontId="308" fillId="88" borderId="0" applyNumberFormat="0" applyBorder="0" applyAlignment="0" applyProtection="0">
      <alignment vertical="center"/>
    </xf>
    <xf numFmtId="0" fontId="315" fillId="57" borderId="0" applyNumberFormat="0" applyBorder="0" applyAlignment="0" applyProtection="0">
      <alignment vertical="center"/>
    </xf>
    <xf numFmtId="0" fontId="277" fillId="0" borderId="25" applyNumberFormat="0" applyFill="0" applyAlignment="0" applyProtection="0">
      <alignment vertical="center"/>
    </xf>
    <xf numFmtId="0" fontId="268" fillId="90" borderId="0" applyNumberFormat="0" applyBorder="0" applyAlignment="0" applyProtection="0">
      <alignment vertical="center"/>
    </xf>
    <xf numFmtId="0" fontId="268" fillId="88" borderId="0" applyNumberFormat="0" applyBorder="0" applyAlignment="0" applyProtection="0">
      <alignment vertical="center"/>
    </xf>
    <xf numFmtId="0" fontId="322" fillId="0" borderId="0" applyNumberFormat="0" applyFill="0" applyBorder="0" applyAlignment="0" applyProtection="0">
      <alignment vertical="center"/>
    </xf>
    <xf numFmtId="0" fontId="268" fillId="86" borderId="0" applyNumberFormat="0" applyBorder="0" applyAlignment="0" applyProtection="0">
      <alignment vertical="center"/>
    </xf>
    <xf numFmtId="0" fontId="319" fillId="0" borderId="22" applyNumberFormat="0" applyFill="0" applyAlignment="0" applyProtection="0">
      <alignment vertical="center"/>
    </xf>
    <xf numFmtId="0" fontId="282" fillId="80" borderId="24" applyNumberFormat="0" applyAlignment="0" applyProtection="0">
      <alignment vertical="center"/>
    </xf>
    <xf numFmtId="0" fontId="268" fillId="76" borderId="0" applyNumberFormat="0" applyBorder="0" applyAlignment="0" applyProtection="0">
      <alignment vertical="center"/>
    </xf>
    <xf numFmtId="0" fontId="268" fillId="74" borderId="0" applyNumberFormat="0" applyBorder="0" applyAlignment="0" applyProtection="0">
      <alignment vertical="center"/>
    </xf>
    <xf numFmtId="0" fontId="275"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68" fillId="84" borderId="0" applyNumberFormat="0" applyBorder="0" applyAlignment="0" applyProtection="0">
      <alignment vertical="center"/>
    </xf>
    <xf numFmtId="0" fontId="275" fillId="0" borderId="21" applyNumberFormat="0" applyFill="0" applyAlignment="0" applyProtection="0">
      <alignment vertical="center"/>
    </xf>
    <xf numFmtId="0" fontId="274" fillId="0" borderId="20" applyNumberFormat="0" applyFill="0" applyAlignment="0" applyProtection="0">
      <alignment vertical="center"/>
    </xf>
    <xf numFmtId="0" fontId="273" fillId="0" borderId="19" applyNumberFormat="0" applyFill="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68" fillId="98" borderId="0" applyNumberFormat="0" applyBorder="0" applyAlignment="0" applyProtection="0">
      <alignment vertical="center"/>
    </xf>
    <xf numFmtId="0" fontId="268" fillId="88" borderId="0" applyNumberFormat="0" applyBorder="0" applyAlignment="0" applyProtection="0">
      <alignment vertical="center"/>
    </xf>
    <xf numFmtId="0" fontId="309" fillId="0" borderId="0" applyNumberFormat="0" applyFill="0" applyBorder="0" applyAlignment="0" applyProtection="0">
      <alignment vertical="center"/>
    </xf>
    <xf numFmtId="0" fontId="268" fillId="86" borderId="0" applyNumberFormat="0" applyBorder="0" applyAlignment="0" applyProtection="0">
      <alignment vertical="center"/>
    </xf>
    <xf numFmtId="0" fontId="268" fillId="96" borderId="0" applyNumberFormat="0" applyBorder="0" applyAlignment="0" applyProtection="0">
      <alignment vertical="center"/>
    </xf>
    <xf numFmtId="0" fontId="267" fillId="65" borderId="0" applyNumberFormat="0" applyBorder="0" applyAlignment="0" applyProtection="0">
      <alignment vertical="center"/>
    </xf>
    <xf numFmtId="0" fontId="284" fillId="0" borderId="22" applyNumberFormat="0" applyFill="0" applyAlignment="0" applyProtection="0">
      <alignment vertical="center"/>
    </xf>
    <xf numFmtId="0" fontId="268" fillId="94" borderId="0" applyNumberFormat="0" applyBorder="0" applyAlignment="0" applyProtection="0">
      <alignment vertical="center"/>
    </xf>
    <xf numFmtId="0" fontId="267" fillId="63" borderId="0" applyNumberFormat="0" applyBorder="0" applyAlignment="0" applyProtection="0">
      <alignment vertical="center"/>
    </xf>
    <xf numFmtId="0" fontId="268" fillId="92" borderId="0" applyNumberFormat="0" applyBorder="0" applyAlignment="0" applyProtection="0">
      <alignment vertical="center"/>
    </xf>
    <xf numFmtId="0" fontId="267" fillId="61" borderId="0" applyNumberFormat="0" applyBorder="0" applyAlignment="0" applyProtection="0">
      <alignment vertical="center"/>
    </xf>
    <xf numFmtId="0" fontId="267" fillId="59" borderId="0" applyNumberFormat="0" applyBorder="0" applyAlignment="0" applyProtection="0">
      <alignment vertical="center"/>
    </xf>
    <xf numFmtId="0" fontId="281" fillId="65" borderId="17" applyNumberFormat="0" applyAlignment="0" applyProtection="0">
      <alignment vertical="center"/>
    </xf>
    <xf numFmtId="0" fontId="267" fillId="57" borderId="0" applyNumberFormat="0" applyBorder="0" applyAlignment="0" applyProtection="0">
      <alignment vertical="center"/>
    </xf>
    <xf numFmtId="0" fontId="267" fillId="55" borderId="0" applyNumberFormat="0" applyBorder="0" applyAlignment="0" applyProtection="0">
      <alignment vertical="center"/>
    </xf>
    <xf numFmtId="0" fontId="313" fillId="59" borderId="0" applyNumberFormat="0" applyBorder="0" applyAlignment="0" applyProtection="0">
      <alignment vertical="center"/>
    </xf>
    <xf numFmtId="0" fontId="318"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1" fillId="0" borderId="0"/>
    <xf numFmtId="0" fontId="121"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1"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8" fillId="0" borderId="0"/>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121" fillId="0" borderId="0" applyNumberFormat="0" applyFill="0" applyBorder="0" applyAlignment="0" applyProtection="0">
      <alignment vertical="top"/>
      <protection locked="0"/>
    </xf>
    <xf numFmtId="0" fontId="324" fillId="0" borderId="0"/>
    <xf numFmtId="0" fontId="71" fillId="37" borderId="0" applyNumberFormat="0" applyBorder="0" applyAlignment="0" applyProtection="0">
      <alignment vertical="center"/>
    </xf>
    <xf numFmtId="0" fontId="87" fillId="0" borderId="22" applyNumberFormat="0" applyFill="0" applyAlignment="0" applyProtection="0">
      <alignment vertical="center"/>
    </xf>
    <xf numFmtId="0" fontId="268" fillId="41" borderId="0" applyNumberFormat="0" applyBorder="0" applyAlignment="0" applyProtection="0">
      <alignment vertical="center"/>
    </xf>
    <xf numFmtId="0" fontId="270" fillId="35" borderId="0" applyNumberFormat="0" applyBorder="0" applyAlignment="0" applyProtection="0">
      <alignment vertical="center"/>
    </xf>
    <xf numFmtId="0" fontId="268" fillId="47" borderId="0" applyNumberFormat="0" applyBorder="0" applyAlignment="0" applyProtection="0">
      <alignment vertical="center"/>
    </xf>
    <xf numFmtId="0" fontId="274" fillId="0" borderId="20" applyNumberFormat="0" applyFill="0" applyAlignment="0" applyProtection="0">
      <alignment vertical="center"/>
    </xf>
    <xf numFmtId="0" fontId="71" fillId="33" borderId="0" applyNumberFormat="0" applyBorder="0" applyAlignment="0" applyProtection="0">
      <alignment vertical="center"/>
    </xf>
    <xf numFmtId="0" fontId="71" fillId="34" borderId="0" applyNumberFormat="0" applyBorder="0" applyAlignment="0" applyProtection="0">
      <alignment vertical="center"/>
    </xf>
    <xf numFmtId="0" fontId="71" fillId="38" borderId="0" applyNumberFormat="0" applyBorder="0" applyAlignment="0" applyProtection="0">
      <alignment vertical="center"/>
    </xf>
    <xf numFmtId="0" fontId="71" fillId="39" borderId="0" applyNumberFormat="0" applyBorder="0" applyAlignment="0" applyProtection="0">
      <alignment vertical="center"/>
    </xf>
    <xf numFmtId="0" fontId="71" fillId="40" borderId="0" applyNumberFormat="0" applyBorder="0" applyAlignment="0" applyProtection="0">
      <alignment vertical="center"/>
    </xf>
    <xf numFmtId="0" fontId="71" fillId="41" borderId="0" applyNumberFormat="0" applyBorder="0" applyAlignment="0" applyProtection="0">
      <alignment vertical="center"/>
    </xf>
    <xf numFmtId="0" fontId="72" fillId="43" borderId="0" applyNumberFormat="0" applyBorder="0" applyAlignment="0" applyProtection="0">
      <alignment vertical="center"/>
    </xf>
    <xf numFmtId="0" fontId="72" fillId="40" borderId="0" applyNumberFormat="0" applyBorder="0" applyAlignment="0" applyProtection="0">
      <alignment vertical="center"/>
    </xf>
    <xf numFmtId="0" fontId="72" fillId="41" borderId="0" applyNumberFormat="0" applyBorder="0" applyAlignment="0" applyProtection="0">
      <alignment vertical="center"/>
    </xf>
    <xf numFmtId="0" fontId="72" fillId="44" borderId="0" applyNumberFormat="0" applyBorder="0" applyAlignment="0" applyProtection="0">
      <alignment vertical="center"/>
    </xf>
    <xf numFmtId="0" fontId="35"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5" fillId="34" borderId="0" applyNumberFormat="0" applyBorder="0" applyAlignment="0" applyProtection="0">
      <alignment vertical="center"/>
    </xf>
    <xf numFmtId="0" fontId="74" fillId="35" borderId="0" applyNumberFormat="0" applyBorder="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79" fillId="52" borderId="18" applyNumberFormat="0" applyAlignment="0" applyProtection="0">
      <alignment vertical="center"/>
    </xf>
    <xf numFmtId="0" fontId="82" fillId="0" borderId="0" applyNumberFormat="0" applyFill="0" applyBorder="0" applyAlignment="0" applyProtection="0">
      <alignment vertical="center"/>
    </xf>
    <xf numFmtId="0" fontId="72" fillId="49" borderId="0" applyNumberFormat="0" applyBorder="0" applyAlignment="0" applyProtection="0">
      <alignment vertical="center"/>
    </xf>
    <xf numFmtId="0" fontId="72" fillId="44" borderId="0" applyNumberFormat="0" applyBorder="0" applyAlignment="0" applyProtection="0">
      <alignment vertical="center"/>
    </xf>
    <xf numFmtId="0" fontId="72" fillId="45" borderId="0" applyNumberFormat="0" applyBorder="0" applyAlignment="0" applyProtection="0">
      <alignment vertical="center"/>
    </xf>
    <xf numFmtId="0" fontId="84" fillId="38" borderId="17" applyNumberFormat="0" applyAlignment="0" applyProtection="0">
      <alignment vertical="center"/>
    </xf>
    <xf numFmtId="0" fontId="267" fillId="33" borderId="0" applyNumberFormat="0" applyBorder="0" applyAlignment="0" applyProtection="0">
      <alignment vertical="center"/>
    </xf>
    <xf numFmtId="0" fontId="267" fillId="34" borderId="0" applyNumberFormat="0" applyBorder="0" applyAlignment="0" applyProtection="0">
      <alignment vertical="center"/>
    </xf>
    <xf numFmtId="0" fontId="267" fillId="35" borderId="0" applyNumberFormat="0" applyBorder="0" applyAlignment="0" applyProtection="0">
      <alignment vertical="center"/>
    </xf>
    <xf numFmtId="0" fontId="267" fillId="36" borderId="0" applyNumberFormat="0" applyBorder="0" applyAlignment="0" applyProtection="0">
      <alignment vertical="center"/>
    </xf>
    <xf numFmtId="0" fontId="267" fillId="37" borderId="0" applyNumberFormat="0" applyBorder="0" applyAlignment="0" applyProtection="0">
      <alignment vertical="center"/>
    </xf>
    <xf numFmtId="0" fontId="267" fillId="38" borderId="0" applyNumberFormat="0" applyBorder="0" applyAlignment="0" applyProtection="0">
      <alignment vertical="center"/>
    </xf>
    <xf numFmtId="0" fontId="267" fillId="39"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7" fillId="36" borderId="0" applyNumberFormat="0" applyBorder="0" applyAlignment="0" applyProtection="0">
      <alignment vertical="center"/>
    </xf>
    <xf numFmtId="0" fontId="267" fillId="39" borderId="0" applyNumberFormat="0" applyBorder="0" applyAlignment="0" applyProtection="0">
      <alignment vertical="center"/>
    </xf>
    <xf numFmtId="0" fontId="267" fillId="42" borderId="0" applyNumberFormat="0" applyBorder="0" applyAlignment="0" applyProtection="0">
      <alignment vertical="center"/>
    </xf>
    <xf numFmtId="0" fontId="268" fillId="43" borderId="0" applyNumberFormat="0" applyBorder="0" applyAlignment="0" applyProtection="0">
      <alignment vertical="center"/>
    </xf>
    <xf numFmtId="0" fontId="268" fillId="40"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68" fillId="46" borderId="0" applyNumberFormat="0" applyBorder="0" applyAlignment="0" applyProtection="0">
      <alignment vertical="center"/>
    </xf>
    <xf numFmtId="0" fontId="271" fillId="34" borderId="0" applyNumberFormat="0" applyBorder="0" applyAlignment="0" applyProtection="0">
      <alignment vertical="center"/>
    </xf>
    <xf numFmtId="0" fontId="268" fillId="48" borderId="0" applyNumberFormat="0" applyBorder="0" applyAlignment="0" applyProtection="0">
      <alignment vertical="center"/>
    </xf>
    <xf numFmtId="0" fontId="268" fillId="49"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68" fillId="50" borderId="0" applyNumberFormat="0" applyBorder="0" applyAlignment="0" applyProtection="0">
      <alignment vertical="center"/>
    </xf>
    <xf numFmtId="0" fontId="275" fillId="0" borderId="21" applyNumberFormat="0" applyFill="0" applyAlignment="0" applyProtection="0">
      <alignment vertical="center"/>
    </xf>
    <xf numFmtId="0" fontId="275"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3" fillId="53" borderId="0" applyNumberFormat="0" applyBorder="0" applyAlignment="0" applyProtection="0">
      <alignment vertical="center"/>
    </xf>
    <xf numFmtId="0" fontId="71" fillId="42" borderId="0" applyNumberFormat="0" applyBorder="0" applyAlignment="0" applyProtection="0">
      <alignment vertical="center"/>
    </xf>
    <xf numFmtId="0" fontId="77" fillId="0" borderId="20" applyNumberFormat="0" applyFill="0" applyAlignment="0" applyProtection="0">
      <alignment vertical="center"/>
    </xf>
    <xf numFmtId="0" fontId="86" fillId="53" borderId="0" applyNumberFormat="0" applyBorder="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 fillId="0" borderId="0"/>
    <xf numFmtId="0" fontId="71" fillId="35" borderId="0" applyNumberFormat="0" applyBorder="0" applyAlignment="0" applyProtection="0">
      <alignment vertical="center"/>
    </xf>
    <xf numFmtId="0" fontId="71" fillId="36" borderId="0" applyNumberFormat="0" applyBorder="0" applyAlignment="0" applyProtection="0">
      <alignment vertical="center"/>
    </xf>
    <xf numFmtId="0" fontId="71" fillId="36" borderId="0" applyNumberFormat="0" applyBorder="0" applyAlignment="0" applyProtection="0">
      <alignment vertical="center"/>
    </xf>
    <xf numFmtId="0" fontId="71" fillId="39" borderId="0" applyNumberFormat="0" applyBorder="0" applyAlignment="0" applyProtection="0">
      <alignment vertical="center"/>
    </xf>
    <xf numFmtId="0" fontId="72" fillId="45" borderId="0" applyNumberFormat="0" applyBorder="0" applyAlignment="0" applyProtection="0">
      <alignment vertical="center"/>
    </xf>
    <xf numFmtId="0" fontId="72" fillId="46" borderId="0" applyNumberFormat="0" applyBorder="0" applyAlignment="0" applyProtection="0">
      <alignment vertical="center"/>
    </xf>
    <xf numFmtId="0" fontId="76" fillId="0" borderId="19" applyNumberFormat="0" applyFill="0" applyAlignment="0" applyProtection="0">
      <alignment vertical="center"/>
    </xf>
    <xf numFmtId="0" fontId="78" fillId="0" borderId="21" applyNumberFormat="0" applyFill="0" applyAlignment="0" applyProtection="0">
      <alignment vertical="center"/>
    </xf>
    <xf numFmtId="0" fontId="81" fillId="0" borderId="0" applyNumberFormat="0" applyFill="0" applyBorder="0" applyAlignment="0" applyProtection="0">
      <alignment vertical="center"/>
    </xf>
    <xf numFmtId="0" fontId="72" fillId="47" borderId="0" applyNumberFormat="0" applyBorder="0" applyAlignment="0" applyProtection="0">
      <alignment vertical="center"/>
    </xf>
    <xf numFmtId="0" fontId="72" fillId="48" borderId="0" applyNumberFormat="0" applyBorder="0" applyAlignment="0" applyProtection="0">
      <alignment vertical="center"/>
    </xf>
    <xf numFmtId="0" fontId="72" fillId="50" borderId="0" applyNumberFormat="0" applyBorder="0" applyAlignment="0" applyProtection="0">
      <alignment vertical="center"/>
    </xf>
    <xf numFmtId="0" fontId="85" fillId="51" borderId="24" applyNumberFormat="0" applyAlignment="0" applyProtection="0">
      <alignment vertical="center"/>
    </xf>
    <xf numFmtId="0" fontId="272" fillId="0" borderId="0" applyNumberFormat="0" applyFill="0" applyBorder="0" applyAlignment="0" applyProtection="0">
      <alignment vertical="center"/>
    </xf>
    <xf numFmtId="0" fontId="273" fillId="0" borderId="19" applyNumberFormat="0" applyFill="0" applyAlignment="0" applyProtection="0">
      <alignment vertical="center"/>
    </xf>
    <xf numFmtId="0" fontId="276" fillId="52" borderId="18" applyNumberFormat="0" applyAlignment="0" applyProtection="0">
      <alignment vertical="center"/>
    </xf>
    <xf numFmtId="0" fontId="277" fillId="0" borderId="25" applyNumberFormat="0" applyFill="0" applyAlignment="0" applyProtection="0">
      <alignment vertical="center"/>
    </xf>
    <xf numFmtId="0" fontId="284" fillId="0" borderId="22"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30" fillId="0" borderId="0" applyFont="0" applyFill="0" applyBorder="0" applyAlignment="0" applyProtection="0"/>
    <xf numFmtId="9" fontId="30" fillId="0" borderId="0" applyFont="0" applyFill="0" applyBorder="0" applyAlignment="0" applyProtection="0"/>
    <xf numFmtId="0" fontId="121" fillId="0" borderId="0" applyNumberFormat="0" applyFill="0" applyBorder="0" applyAlignment="0" applyProtection="0">
      <alignment vertical="top"/>
      <protection locked="0"/>
    </xf>
    <xf numFmtId="0" fontId="114" fillId="80" borderId="17" applyNumberFormat="0" applyAlignment="0" applyProtection="0"/>
    <xf numFmtId="0" fontId="114" fillId="80" borderId="17" applyNumberFormat="0" applyAlignment="0" applyProtection="0"/>
    <xf numFmtId="0" fontId="26" fillId="0" borderId="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30" fillId="0" borderId="0" applyFont="0" applyFill="0" applyBorder="0" applyAlignment="0" applyProtection="0"/>
    <xf numFmtId="9" fontId="30" fillId="0" borderId="0" applyFont="0" applyFill="0" applyBorder="0" applyAlignment="0" applyProtection="0"/>
    <xf numFmtId="0" fontId="121" fillId="0" borderId="0" applyNumberFormat="0" applyFill="0" applyBorder="0" applyAlignment="0" applyProtection="0">
      <alignment vertical="top"/>
      <protection locked="0"/>
    </xf>
    <xf numFmtId="0" fontId="232" fillId="69" borderId="0"/>
    <xf numFmtId="0" fontId="232" fillId="66" borderId="0"/>
    <xf numFmtId="0" fontId="232" fillId="71" borderId="0"/>
    <xf numFmtId="0" fontId="232" fillId="69" borderId="0"/>
    <xf numFmtId="0" fontId="232" fillId="64" borderId="0"/>
    <xf numFmtId="0" fontId="232" fillId="66" borderId="0"/>
    <xf numFmtId="0" fontId="71" fillId="60" borderId="0"/>
    <xf numFmtId="0" fontId="71" fillId="75" borderId="0"/>
    <xf numFmtId="0" fontId="71" fillId="77" borderId="0"/>
    <xf numFmtId="0" fontId="71" fillId="62" borderId="0"/>
    <xf numFmtId="0" fontId="71" fillId="73" borderId="0"/>
    <xf numFmtId="0" fontId="71" fillId="79" borderId="0"/>
    <xf numFmtId="0" fontId="232" fillId="81" borderId="0"/>
    <xf numFmtId="0" fontId="71" fillId="73" borderId="0"/>
    <xf numFmtId="0" fontId="71" fillId="62" borderId="0"/>
    <xf numFmtId="0" fontId="71" fillId="56" borderId="0"/>
    <xf numFmtId="0" fontId="71" fillId="58" borderId="0"/>
    <xf numFmtId="0" fontId="71" fillId="64" borderId="0"/>
    <xf numFmtId="0" fontId="1" fillId="79" borderId="0"/>
    <xf numFmtId="0" fontId="232" fillId="75" borderId="0"/>
    <xf numFmtId="0" fontId="71" fillId="66" borderId="0"/>
    <xf numFmtId="0" fontId="232" fillId="83" borderId="0"/>
    <xf numFmtId="0" fontId="232" fillId="81" borderId="0"/>
    <xf numFmtId="0" fontId="232" fillId="73" borderId="0"/>
    <xf numFmtId="0" fontId="232" fillId="66" borderId="0"/>
    <xf numFmtId="0" fontId="72" fillId="85" borderId="0"/>
    <xf numFmtId="0" fontId="72" fillId="75" borderId="0"/>
    <xf numFmtId="0" fontId="72" fillId="77" borderId="0"/>
    <xf numFmtId="0" fontId="72" fillId="87" borderId="0"/>
    <xf numFmtId="0" fontId="72" fillId="89" borderId="0"/>
    <xf numFmtId="0" fontId="72" fillId="91" borderId="0"/>
    <xf numFmtId="0" fontId="233" fillId="89" borderId="0"/>
    <xf numFmtId="0" fontId="233" fillId="75" borderId="0"/>
    <xf numFmtId="0" fontId="233" fillId="83" borderId="0"/>
    <xf numFmtId="0" fontId="233" fillId="81" borderId="0"/>
    <xf numFmtId="0" fontId="233" fillId="89" borderId="0"/>
    <xf numFmtId="0" fontId="233"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20" fillId="97" borderId="0"/>
    <xf numFmtId="0" fontId="120" fillId="87" borderId="0"/>
    <xf numFmtId="0" fontId="120" fillId="89" borderId="0"/>
    <xf numFmtId="0" fontId="120" fillId="99" borderId="0"/>
    <xf numFmtId="0" fontId="111" fillId="58" borderId="0"/>
    <xf numFmtId="0" fontId="116" fillId="101" borderId="18"/>
    <xf numFmtId="0" fontId="118" fillId="0" borderId="0"/>
    <xf numFmtId="0" fontId="110" fillId="60" borderId="0"/>
    <xf numFmtId="0" fontId="107" fillId="0" borderId="19"/>
    <xf numFmtId="0" fontId="1" fillId="73" borderId="0"/>
    <xf numFmtId="0" fontId="120" fillId="75" borderId="0"/>
    <xf numFmtId="0" fontId="1" fillId="62" borderId="0"/>
    <xf numFmtId="0" fontId="120" fillId="85" borderId="0"/>
    <xf numFmtId="0" fontId="1" fillId="75" borderId="0"/>
    <xf numFmtId="0" fontId="1" fillId="77" borderId="0"/>
    <xf numFmtId="0" fontId="114" fillId="81" borderId="17"/>
    <xf numFmtId="0" fontId="120" fillId="77" borderId="0"/>
    <xf numFmtId="0" fontId="120" fillId="87" borderId="0"/>
    <xf numFmtId="0" fontId="120" fillId="89" borderId="0"/>
    <xf numFmtId="0" fontId="120" fillId="91" borderId="0"/>
    <xf numFmtId="0" fontId="120" fillId="93" borderId="0"/>
    <xf numFmtId="0" fontId="120" fillId="95" borderId="0"/>
    <xf numFmtId="0" fontId="1" fillId="66" borderId="0"/>
    <xf numFmtId="0" fontId="108" fillId="0" borderId="20"/>
    <xf numFmtId="0" fontId="109" fillId="0" borderId="21"/>
    <xf numFmtId="0" fontId="109" fillId="0" borderId="0"/>
    <xf numFmtId="0" fontId="112" fillId="66" borderId="17"/>
    <xf numFmtId="0" fontId="115" fillId="0" borderId="22"/>
    <xf numFmtId="0" fontId="180" fillId="83" borderId="0"/>
    <xf numFmtId="0" fontId="1" fillId="0" borderId="0"/>
    <xf numFmtId="0" fontId="1" fillId="71" borderId="23"/>
    <xf numFmtId="0" fontId="113" fillId="81" borderId="24"/>
    <xf numFmtId="0" fontId="140" fillId="0" borderId="0"/>
    <xf numFmtId="0" fontId="119" fillId="0" borderId="25"/>
    <xf numFmtId="0" fontId="117" fillId="0" borderId="0"/>
    <xf numFmtId="0" fontId="234" fillId="83" borderId="0"/>
    <xf numFmtId="0" fontId="1" fillId="71" borderId="23"/>
    <xf numFmtId="0" fontId="235" fillId="0" borderId="26"/>
    <xf numFmtId="0" fontId="236" fillId="58" borderId="0"/>
    <xf numFmtId="0" fontId="74" fillId="60" borderId="0"/>
    <xf numFmtId="0" fontId="237" fillId="60" borderId="0"/>
    <xf numFmtId="0" fontId="75" fillId="58" borderId="0"/>
    <xf numFmtId="0" fontId="72" fillId="93" borderId="0"/>
    <xf numFmtId="0" fontId="72" fillId="95" borderId="0"/>
    <xf numFmtId="0" fontId="72" fillId="97" borderId="0"/>
    <xf numFmtId="0" fontId="72" fillId="87" borderId="0"/>
    <xf numFmtId="0" fontId="72" fillId="89" borderId="0"/>
    <xf numFmtId="0" fontId="72" fillId="99" borderId="0"/>
    <xf numFmtId="0" fontId="35" fillId="0" borderId="0"/>
    <xf numFmtId="0" fontId="76" fillId="0" borderId="19"/>
    <xf numFmtId="0" fontId="77" fillId="0" borderId="20"/>
    <xf numFmtId="0" fontId="78" fillId="0" borderId="21"/>
    <xf numFmtId="0" fontId="78" fillId="0" borderId="0"/>
    <xf numFmtId="0" fontId="79" fillId="101" borderId="18"/>
    <xf numFmtId="0" fontId="238" fillId="0" borderId="0"/>
    <xf numFmtId="0" fontId="239" fillId="0" borderId="27"/>
    <xf numFmtId="0" fontId="240" fillId="0" borderId="20"/>
    <xf numFmtId="0" fontId="241" fillId="0" borderId="28"/>
    <xf numFmtId="0" fontId="241" fillId="0" borderId="0"/>
    <xf numFmtId="0" fontId="242" fillId="101" borderId="18"/>
    <xf numFmtId="0" fontId="80" fillId="0" borderId="25"/>
    <xf numFmtId="0" fontId="1" fillId="71" borderId="23"/>
    <xf numFmtId="0" fontId="81" fillId="0" borderId="0"/>
    <xf numFmtId="0" fontId="243" fillId="69" borderId="17"/>
    <xf numFmtId="0" fontId="244" fillId="0" borderId="0"/>
    <xf numFmtId="0" fontId="245" fillId="0" borderId="0"/>
    <xf numFmtId="0" fontId="82" fillId="0" borderId="0"/>
    <xf numFmtId="0" fontId="83" fillId="81" borderId="17"/>
    <xf numFmtId="0" fontId="233" fillId="89" borderId="0"/>
    <xf numFmtId="0" fontId="233" fillId="95" borderId="0"/>
    <xf numFmtId="0" fontId="233" fillId="97" borderId="0"/>
    <xf numFmtId="0" fontId="233" fillId="105" borderId="0"/>
    <xf numFmtId="0" fontId="233" fillId="89" borderId="0"/>
    <xf numFmtId="0" fontId="233" fillId="99" borderId="0"/>
    <xf numFmtId="0" fontId="246" fillId="66" borderId="17"/>
    <xf numFmtId="0" fontId="247" fillId="69" borderId="24"/>
    <xf numFmtId="0" fontId="84" fillId="66" borderId="17"/>
    <xf numFmtId="0" fontId="85" fillId="81" borderId="24"/>
    <xf numFmtId="0" fontId="86" fillId="83" borderId="0"/>
    <xf numFmtId="0" fontId="248" fillId="0" borderId="22"/>
    <xf numFmtId="0" fontId="87" fillId="0" borderId="22"/>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 fillId="0" borderId="0"/>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2" fillId="0" borderId="0"/>
    <xf numFmtId="0" fontId="1" fillId="0" borderId="0"/>
    <xf numFmtId="0" fontId="1" fillId="70" borderId="23" applyNumberFormat="0" applyFont="0" applyAlignment="0" applyProtection="0">
      <alignment vertical="center"/>
    </xf>
    <xf numFmtId="9" fontId="1" fillId="0" borderId="0" applyFont="0" applyFill="0" applyBorder="0" applyAlignment="0" applyProtection="0"/>
    <xf numFmtId="0" fontId="1" fillId="70" borderId="23" applyNumberFormat="0" applyFont="0" applyAlignment="0" applyProtection="0">
      <alignment vertical="center"/>
    </xf>
    <xf numFmtId="9" fontId="1" fillId="0" borderId="0" applyFont="0" applyFill="0" applyBorder="0" applyAlignment="0" applyProtection="0"/>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90"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92"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0" borderId="0"/>
    <xf numFmtId="0" fontId="1" fillId="70" borderId="23" applyNumberFormat="0" applyFon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1"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alignment vertical="center"/>
    </xf>
    <xf numFmtId="0" fontId="30" fillId="0" borderId="0"/>
    <xf numFmtId="9" fontId="1" fillId="0" borderId="0" applyFont="0" applyFill="0" applyBorder="0" applyAlignment="0" applyProtection="0"/>
    <xf numFmtId="0" fontId="1" fillId="0" borderId="0"/>
    <xf numFmtId="0" fontId="1" fillId="70" borderId="23" applyNumberFormat="0" applyFon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1"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alignment vertical="center"/>
    </xf>
    <xf numFmtId="0" fontId="30" fillId="0" borderId="0"/>
    <xf numFmtId="9" fontId="1" fillId="0" borderId="0" applyFont="0" applyFill="0" applyBorder="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73" fillId="0" borderId="0"/>
    <xf numFmtId="9" fontId="73" fillId="0" borderId="0" applyFont="0" applyFill="0" applyBorder="0" applyAlignment="0" applyProtection="0"/>
    <xf numFmtId="0" fontId="194" fillId="65" borderId="17"/>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314" fillId="0" borderId="26" applyNumberFormat="0" applyFill="0" applyAlignment="0" applyProtection="0">
      <alignment vertical="center"/>
    </xf>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190" fillId="0" borderId="26" applyNumberFormat="0" applyFill="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30" fillId="0" borderId="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235" fillId="0" borderId="26"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92" fillId="0" borderId="26" applyNumberFormat="0" applyFill="0" applyAlignment="0" applyProtection="0"/>
    <xf numFmtId="0" fontId="114" fillId="81"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60" fillId="0" borderId="26" applyNumberFormat="0" applyFill="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43" fillId="69"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314" fillId="0" borderId="26"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314" fillId="0" borderId="26" applyNumberFormat="0" applyFill="0" applyAlignment="0" applyProtection="0">
      <alignment vertical="center"/>
    </xf>
    <xf numFmtId="0" fontId="114" fillId="80" borderId="17" applyNumberFormat="0" applyAlignment="0" applyProtection="0"/>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90" fillId="0" borderId="26"/>
    <xf numFmtId="0" fontId="208" fillId="51" borderId="17" applyNumberFormat="0" applyAlignment="0" applyProtection="0">
      <alignment vertical="center"/>
    </xf>
    <xf numFmtId="0" fontId="208" fillId="51" borderId="17" applyNumberFormat="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100" fillId="6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26"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47" fillId="55" borderId="0" applyNumberFormat="0" applyBorder="0" applyAlignment="0" applyProtection="0">
      <alignment vertical="center"/>
    </xf>
    <xf numFmtId="0" fontId="147" fillId="56" borderId="0" applyNumberFormat="0" applyBorder="0" applyAlignment="0" applyProtection="0"/>
    <xf numFmtId="0" fontId="147" fillId="33" borderId="0" applyNumberFormat="0" applyBorder="0" applyAlignment="0" applyProtection="0">
      <alignment vertical="center"/>
    </xf>
    <xf numFmtId="0" fontId="147" fillId="57" borderId="0" applyNumberFormat="0" applyBorder="0" applyAlignment="0" applyProtection="0">
      <alignment vertical="center"/>
    </xf>
    <xf numFmtId="0" fontId="147" fillId="58" borderId="0" applyNumberFormat="0" applyBorder="0" applyAlignment="0" applyProtection="0"/>
    <xf numFmtId="0" fontId="147" fillId="34" borderId="0" applyNumberFormat="0" applyBorder="0" applyAlignment="0" applyProtection="0">
      <alignment vertical="center"/>
    </xf>
    <xf numFmtId="0" fontId="147" fillId="59" borderId="0" applyNumberFormat="0" applyBorder="0" applyAlignment="0" applyProtection="0">
      <alignment vertical="center"/>
    </xf>
    <xf numFmtId="0" fontId="147" fillId="60" borderId="0" applyNumberFormat="0" applyBorder="0" applyAlignment="0" applyProtection="0"/>
    <xf numFmtId="0" fontId="147" fillId="35"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xf numFmtId="0" fontId="147" fillId="36" borderId="0" applyNumberFormat="0" applyBorder="0" applyAlignment="0" applyProtection="0">
      <alignment vertical="center"/>
    </xf>
    <xf numFmtId="0" fontId="147" fillId="63" borderId="0" applyNumberFormat="0" applyBorder="0" applyAlignment="0" applyProtection="0">
      <alignment vertical="center"/>
    </xf>
    <xf numFmtId="0" fontId="147" fillId="64" borderId="0" applyNumberFormat="0" applyBorder="0" applyAlignment="0" applyProtection="0"/>
    <xf numFmtId="0" fontId="147" fillId="37" borderId="0" applyNumberFormat="0" applyBorder="0" applyAlignment="0" applyProtection="0">
      <alignment vertical="center"/>
    </xf>
    <xf numFmtId="0" fontId="147" fillId="65" borderId="0" applyNumberFormat="0" applyBorder="0" applyAlignment="0" applyProtection="0">
      <alignment vertical="center"/>
    </xf>
    <xf numFmtId="0" fontId="147" fillId="66" borderId="0" applyNumberFormat="0" applyBorder="0" applyAlignment="0" applyProtection="0"/>
    <xf numFmtId="0" fontId="147" fillId="38" borderId="0" applyNumberFormat="0" applyBorder="0" applyAlignment="0" applyProtection="0">
      <alignment vertical="center"/>
    </xf>
    <xf numFmtId="0" fontId="325" fillId="68" borderId="0" applyNumberFormat="0" applyBorder="0" applyAlignment="0" applyProtection="0">
      <alignment vertical="center"/>
    </xf>
    <xf numFmtId="0" fontId="325" fillId="65" borderId="0" applyNumberFormat="0" applyBorder="0" applyAlignment="0" applyProtection="0">
      <alignment vertical="center"/>
    </xf>
    <xf numFmtId="0" fontId="325" fillId="70" borderId="0" applyNumberFormat="0" applyBorder="0" applyAlignment="0" applyProtection="0">
      <alignment vertical="center"/>
    </xf>
    <xf numFmtId="0" fontId="325" fillId="68" borderId="0" applyNumberFormat="0" applyBorder="0" applyAlignment="0" applyProtection="0">
      <alignment vertical="center"/>
    </xf>
    <xf numFmtId="0" fontId="325" fillId="63" borderId="0" applyNumberFormat="0" applyBorder="0" applyAlignment="0" applyProtection="0">
      <alignment vertical="center"/>
    </xf>
    <xf numFmtId="0" fontId="325" fillId="65" borderId="0" applyNumberFormat="0" applyBorder="0" applyAlignment="0" applyProtection="0">
      <alignment vertical="center"/>
    </xf>
    <xf numFmtId="0" fontId="147" fillId="72" borderId="0" applyNumberFormat="0" applyBorder="0" applyAlignment="0" applyProtection="0">
      <alignment vertical="center"/>
    </xf>
    <xf numFmtId="0" fontId="147" fillId="73" borderId="0" applyNumberFormat="0" applyBorder="0" applyAlignment="0" applyProtection="0"/>
    <xf numFmtId="0" fontId="147" fillId="39" borderId="0" applyNumberFormat="0" applyBorder="0" applyAlignment="0" applyProtection="0">
      <alignment vertical="center"/>
    </xf>
    <xf numFmtId="0" fontId="147" fillId="74" borderId="0" applyNumberFormat="0" applyBorder="0" applyAlignment="0" applyProtection="0">
      <alignment vertical="center"/>
    </xf>
    <xf numFmtId="0" fontId="147" fillId="75" borderId="0" applyNumberFormat="0" applyBorder="0" applyAlignment="0" applyProtection="0"/>
    <xf numFmtId="0" fontId="147" fillId="40" borderId="0" applyNumberFormat="0" applyBorder="0" applyAlignment="0" applyProtection="0">
      <alignment vertical="center"/>
    </xf>
    <xf numFmtId="0" fontId="147" fillId="76" borderId="0" applyNumberFormat="0" applyBorder="0" applyAlignment="0" applyProtection="0">
      <alignment vertical="center"/>
    </xf>
    <xf numFmtId="0" fontId="147" fillId="77" borderId="0" applyNumberFormat="0" applyBorder="0" applyAlignment="0" applyProtection="0"/>
    <xf numFmtId="0" fontId="147" fillId="41"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xf numFmtId="0" fontId="147" fillId="36" borderId="0" applyNumberFormat="0" applyBorder="0" applyAlignment="0" applyProtection="0">
      <alignment vertical="center"/>
    </xf>
    <xf numFmtId="0" fontId="147" fillId="72" borderId="0" applyNumberFormat="0" applyBorder="0" applyAlignment="0" applyProtection="0">
      <alignment vertical="center"/>
    </xf>
    <xf numFmtId="0" fontId="147" fillId="73" borderId="0" applyNumberFormat="0" applyBorder="0" applyAlignment="0" applyProtection="0"/>
    <xf numFmtId="0" fontId="147" fillId="39" borderId="0" applyNumberFormat="0" applyBorder="0" applyAlignment="0" applyProtection="0">
      <alignment vertical="center"/>
    </xf>
    <xf numFmtId="0" fontId="147" fillId="78" borderId="0" applyNumberFormat="0" applyBorder="0" applyAlignment="0" applyProtection="0">
      <alignment vertical="center"/>
    </xf>
    <xf numFmtId="0" fontId="147" fillId="79" borderId="0" applyNumberFormat="0" applyBorder="0" applyAlignment="0" applyProtection="0"/>
    <xf numFmtId="0" fontId="147" fillId="42" borderId="0" applyNumberFormat="0" applyBorder="0" applyAlignment="0" applyProtection="0">
      <alignment vertical="center"/>
    </xf>
    <xf numFmtId="0" fontId="325" fillId="80" borderId="0" applyNumberFormat="0" applyBorder="0" applyAlignment="0" applyProtection="0">
      <alignment vertical="center"/>
    </xf>
    <xf numFmtId="0" fontId="325" fillId="74" borderId="0" applyNumberFormat="0" applyBorder="0" applyAlignment="0" applyProtection="0">
      <alignment vertical="center"/>
    </xf>
    <xf numFmtId="0" fontId="325" fillId="82" borderId="0" applyNumberFormat="0" applyBorder="0" applyAlignment="0" applyProtection="0">
      <alignment vertical="center"/>
    </xf>
    <xf numFmtId="0" fontId="325" fillId="80" borderId="0" applyNumberFormat="0" applyBorder="0" applyAlignment="0" applyProtection="0">
      <alignment vertical="center"/>
    </xf>
    <xf numFmtId="0" fontId="325" fillId="72" borderId="0" applyNumberFormat="0" applyBorder="0" applyAlignment="0" applyProtection="0">
      <alignment vertical="center"/>
    </xf>
    <xf numFmtId="0" fontId="325" fillId="65" borderId="0" applyNumberFormat="0" applyBorder="0" applyAlignment="0" applyProtection="0">
      <alignment vertical="center"/>
    </xf>
    <xf numFmtId="0" fontId="148" fillId="84" borderId="0" applyNumberFormat="0" applyBorder="0" applyAlignment="0" applyProtection="0">
      <alignment vertical="center"/>
    </xf>
    <xf numFmtId="0" fontId="148" fillId="85" borderId="0" applyNumberFormat="0" applyBorder="0" applyAlignment="0" applyProtection="0"/>
    <xf numFmtId="0" fontId="148" fillId="43" borderId="0" applyNumberFormat="0" applyBorder="0" applyAlignment="0" applyProtection="0">
      <alignment vertical="center"/>
    </xf>
    <xf numFmtId="0" fontId="148" fillId="74" borderId="0" applyNumberFormat="0" applyBorder="0" applyAlignment="0" applyProtection="0">
      <alignment vertical="center"/>
    </xf>
    <xf numFmtId="0" fontId="148" fillId="75" borderId="0" applyNumberFormat="0" applyBorder="0" applyAlignment="0" applyProtection="0"/>
    <xf numFmtId="0" fontId="148" fillId="40" borderId="0" applyNumberFormat="0" applyBorder="0" applyAlignment="0" applyProtection="0">
      <alignment vertical="center"/>
    </xf>
    <xf numFmtId="0" fontId="148" fillId="76" borderId="0" applyNumberFormat="0" applyBorder="0" applyAlignment="0" applyProtection="0">
      <alignment vertical="center"/>
    </xf>
    <xf numFmtId="0" fontId="148" fillId="77" borderId="0" applyNumberFormat="0" applyBorder="0" applyAlignment="0" applyProtection="0"/>
    <xf numFmtId="0" fontId="148" fillId="41" borderId="0" applyNumberFormat="0" applyBorder="0" applyAlignment="0" applyProtection="0">
      <alignment vertical="center"/>
    </xf>
    <xf numFmtId="0" fontId="148" fillId="86" borderId="0" applyNumberFormat="0" applyBorder="0" applyAlignment="0" applyProtection="0">
      <alignment vertical="center"/>
    </xf>
    <xf numFmtId="0" fontId="148" fillId="87" borderId="0" applyNumberFormat="0" applyBorder="0" applyAlignment="0" applyProtection="0"/>
    <xf numFmtId="0" fontId="148" fillId="44" borderId="0" applyNumberFormat="0" applyBorder="0" applyAlignment="0" applyProtection="0">
      <alignment vertical="center"/>
    </xf>
    <xf numFmtId="0" fontId="148" fillId="88" borderId="0" applyNumberFormat="0" applyBorder="0" applyAlignment="0" applyProtection="0">
      <alignment vertical="center"/>
    </xf>
    <xf numFmtId="0" fontId="148" fillId="89" borderId="0" applyNumberFormat="0" applyBorder="0" applyAlignment="0" applyProtection="0"/>
    <xf numFmtId="0" fontId="148" fillId="45" borderId="0" applyNumberFormat="0" applyBorder="0" applyAlignment="0" applyProtection="0">
      <alignment vertical="center"/>
    </xf>
    <xf numFmtId="0" fontId="148" fillId="90" borderId="0" applyNumberFormat="0" applyBorder="0" applyAlignment="0" applyProtection="0">
      <alignment vertical="center"/>
    </xf>
    <xf numFmtId="0" fontId="148" fillId="91" borderId="0" applyNumberFormat="0" applyBorder="0" applyAlignment="0" applyProtection="0"/>
    <xf numFmtId="0" fontId="148" fillId="46" borderId="0" applyNumberFormat="0" applyBorder="0" applyAlignment="0" applyProtection="0">
      <alignment vertical="center"/>
    </xf>
    <xf numFmtId="0" fontId="326" fillId="88" borderId="0" applyNumberFormat="0" applyBorder="0" applyAlignment="0" applyProtection="0">
      <alignment vertical="center"/>
    </xf>
    <xf numFmtId="0" fontId="326" fillId="74" borderId="0" applyNumberFormat="0" applyBorder="0" applyAlignment="0" applyProtection="0">
      <alignment vertical="center"/>
    </xf>
    <xf numFmtId="0" fontId="326" fillId="82" borderId="0" applyNumberFormat="0" applyBorder="0" applyAlignment="0" applyProtection="0">
      <alignment vertical="center"/>
    </xf>
    <xf numFmtId="0" fontId="326" fillId="80" borderId="0" applyNumberFormat="0" applyBorder="0" applyAlignment="0" applyProtection="0">
      <alignment vertical="center"/>
    </xf>
    <xf numFmtId="0" fontId="326" fillId="88" borderId="0" applyNumberFormat="0" applyBorder="0" applyAlignment="0" applyProtection="0">
      <alignment vertical="center"/>
    </xf>
    <xf numFmtId="0" fontId="326" fillId="65" borderId="0" applyNumberFormat="0" applyBorder="0" applyAlignment="0" applyProtection="0">
      <alignment vertical="center"/>
    </xf>
    <xf numFmtId="0" fontId="149" fillId="0" borderId="0">
      <alignment vertical="center"/>
    </xf>
    <xf numFmtId="0" fontId="149" fillId="0" borderId="0">
      <alignment vertical="center"/>
    </xf>
    <xf numFmtId="0" fontId="149" fillId="0" borderId="0">
      <alignment vertical="center"/>
    </xf>
    <xf numFmtId="0" fontId="327" fillId="82" borderId="0" applyNumberFormat="0" applyBorder="0" applyAlignment="0" applyProtection="0">
      <alignment vertical="center"/>
    </xf>
    <xf numFmtId="0" fontId="328" fillId="0" borderId="26" applyNumberFormat="0" applyFill="0" applyAlignment="0" applyProtection="0">
      <alignment vertical="center"/>
    </xf>
    <xf numFmtId="0" fontId="329" fillId="57" borderId="0" applyNumberFormat="0" applyBorder="0" applyAlignment="0" applyProtection="0">
      <alignment vertical="center"/>
    </xf>
    <xf numFmtId="0" fontId="141" fillId="59" borderId="0" applyNumberFormat="0" applyBorder="0" applyAlignment="0" applyProtection="0">
      <alignment vertical="center"/>
    </xf>
    <xf numFmtId="0" fontId="141" fillId="60" borderId="0" applyNumberFormat="0" applyBorder="0" applyAlignment="0" applyProtection="0"/>
    <xf numFmtId="0" fontId="141" fillId="35" borderId="0" applyNumberFormat="0" applyBorder="0" applyAlignment="0" applyProtection="0">
      <alignment vertical="center"/>
    </xf>
    <xf numFmtId="0" fontId="330" fillId="59" borderId="0" applyNumberFormat="0" applyBorder="0" applyAlignment="0" applyProtection="0">
      <alignment vertical="center"/>
    </xf>
    <xf numFmtId="0" fontId="142" fillId="57" borderId="0" applyNumberFormat="0" applyBorder="0" applyAlignment="0" applyProtection="0">
      <alignment vertical="center"/>
    </xf>
    <xf numFmtId="0" fontId="142" fillId="58" borderId="0" applyNumberFormat="0" applyBorder="0" applyAlignment="0" applyProtection="0"/>
    <xf numFmtId="0" fontId="142" fillId="34" borderId="0" applyNumberFormat="0" applyBorder="0" applyAlignment="0" applyProtection="0">
      <alignment vertical="center"/>
    </xf>
    <xf numFmtId="0" fontId="148" fillId="92" borderId="0" applyNumberFormat="0" applyBorder="0" applyAlignment="0" applyProtection="0">
      <alignment vertical="center"/>
    </xf>
    <xf numFmtId="0" fontId="148" fillId="93" borderId="0" applyNumberFormat="0" applyBorder="0" applyAlignment="0" applyProtection="0"/>
    <xf numFmtId="0" fontId="148" fillId="47" borderId="0" applyNumberFormat="0" applyBorder="0" applyAlignment="0" applyProtection="0">
      <alignment vertical="center"/>
    </xf>
    <xf numFmtId="0" fontId="148" fillId="94" borderId="0" applyNumberFormat="0" applyBorder="0" applyAlignment="0" applyProtection="0">
      <alignment vertical="center"/>
    </xf>
    <xf numFmtId="0" fontId="148" fillId="95" borderId="0" applyNumberFormat="0" applyBorder="0" applyAlignment="0" applyProtection="0"/>
    <xf numFmtId="0" fontId="148" fillId="48" borderId="0" applyNumberFormat="0" applyBorder="0" applyAlignment="0" applyProtection="0">
      <alignment vertical="center"/>
    </xf>
    <xf numFmtId="0" fontId="148" fillId="96" borderId="0" applyNumberFormat="0" applyBorder="0" applyAlignment="0" applyProtection="0">
      <alignment vertical="center"/>
    </xf>
    <xf numFmtId="0" fontId="148" fillId="97" borderId="0" applyNumberFormat="0" applyBorder="0" applyAlignment="0" applyProtection="0"/>
    <xf numFmtId="0" fontId="148" fillId="49" borderId="0" applyNumberFormat="0" applyBorder="0" applyAlignment="0" applyProtection="0">
      <alignment vertical="center"/>
    </xf>
    <xf numFmtId="0" fontId="148" fillId="86" borderId="0" applyNumberFormat="0" applyBorder="0" applyAlignment="0" applyProtection="0">
      <alignment vertical="center"/>
    </xf>
    <xf numFmtId="0" fontId="148" fillId="87" borderId="0" applyNumberFormat="0" applyBorder="0" applyAlignment="0" applyProtection="0"/>
    <xf numFmtId="0" fontId="148" fillId="44" borderId="0" applyNumberFormat="0" applyBorder="0" applyAlignment="0" applyProtection="0">
      <alignment vertical="center"/>
    </xf>
    <xf numFmtId="0" fontId="148" fillId="88" borderId="0" applyNumberFormat="0" applyBorder="0" applyAlignment="0" applyProtection="0">
      <alignment vertical="center"/>
    </xf>
    <xf numFmtId="0" fontId="148" fillId="89" borderId="0" applyNumberFormat="0" applyBorder="0" applyAlignment="0" applyProtection="0"/>
    <xf numFmtId="0" fontId="148" fillId="45" borderId="0" applyNumberFormat="0" applyBorder="0" applyAlignment="0" applyProtection="0">
      <alignment vertical="center"/>
    </xf>
    <xf numFmtId="0" fontId="148" fillId="98" borderId="0" applyNumberFormat="0" applyBorder="0" applyAlignment="0" applyProtection="0">
      <alignment vertical="center"/>
    </xf>
    <xf numFmtId="0" fontId="148" fillId="99" borderId="0" applyNumberFormat="0" applyBorder="0" applyAlignment="0" applyProtection="0"/>
    <xf numFmtId="0" fontId="148" fillId="50" borderId="0" applyNumberFormat="0" applyBorder="0" applyAlignment="0" applyProtection="0">
      <alignment vertical="center"/>
    </xf>
    <xf numFmtId="0" fontId="150" fillId="0" borderId="19" applyNumberFormat="0" applyFill="0" applyAlignment="0" applyProtection="0"/>
    <xf numFmtId="0" fontId="150" fillId="0" borderId="19" applyNumberFormat="0" applyFill="0" applyAlignment="0" applyProtection="0">
      <alignment vertical="center"/>
    </xf>
    <xf numFmtId="0" fontId="143" fillId="0" borderId="0" applyNumberFormat="0" applyFill="0" applyBorder="0" applyAlignment="0" applyProtection="0">
      <alignment vertical="center"/>
    </xf>
    <xf numFmtId="0" fontId="151" fillId="0" borderId="20" applyNumberFormat="0" applyFill="0" applyAlignment="0" applyProtection="0"/>
    <xf numFmtId="0" fontId="151" fillId="0" borderId="20" applyNumberFormat="0" applyFill="0" applyAlignment="0" applyProtection="0">
      <alignment vertical="center"/>
    </xf>
    <xf numFmtId="0" fontId="152" fillId="0" borderId="21" applyNumberFormat="0" applyFill="0" applyAlignment="0" applyProtection="0"/>
    <xf numFmtId="0" fontId="152" fillId="0" borderId="21" applyNumberFormat="0" applyFill="0" applyAlignment="0" applyProtection="0">
      <alignment vertical="center"/>
    </xf>
    <xf numFmtId="0" fontId="152" fillId="0" borderId="0" applyNumberFormat="0" applyFill="0" applyBorder="0" applyAlignment="0" applyProtection="0"/>
    <xf numFmtId="0" fontId="152" fillId="0" borderId="0" applyNumberFormat="0" applyFill="0" applyBorder="0" applyAlignment="0" applyProtection="0">
      <alignment vertical="center"/>
    </xf>
    <xf numFmtId="0" fontId="143" fillId="0" borderId="0" applyNumberFormat="0" applyFill="0" applyBorder="0" applyAlignment="0" applyProtection="0"/>
    <xf numFmtId="0" fontId="153" fillId="100" borderId="18" applyNumberFormat="0" applyAlignment="0" applyProtection="0">
      <alignment vertical="center"/>
    </xf>
    <xf numFmtId="0" fontId="153" fillId="101" borderId="18" applyNumberFormat="0" applyAlignment="0" applyProtection="0"/>
    <xf numFmtId="0" fontId="153" fillId="52" borderId="18" applyNumberFormat="0" applyAlignment="0" applyProtection="0">
      <alignment vertical="center"/>
    </xf>
    <xf numFmtId="0" fontId="332" fillId="0" borderId="27" applyNumberFormat="0" applyFill="0" applyAlignment="0" applyProtection="0">
      <alignment vertical="center"/>
    </xf>
    <xf numFmtId="0" fontId="333" fillId="0" borderId="20" applyNumberFormat="0" applyFill="0" applyAlignment="0" applyProtection="0">
      <alignment vertical="center"/>
    </xf>
    <xf numFmtId="0" fontId="334" fillId="0" borderId="28" applyNumberFormat="0" applyFill="0" applyAlignment="0" applyProtection="0">
      <alignment vertical="center"/>
    </xf>
    <xf numFmtId="0" fontId="334" fillId="0" borderId="0" applyNumberFormat="0" applyFill="0" applyBorder="0" applyAlignment="0" applyProtection="0">
      <alignment vertical="center"/>
    </xf>
    <xf numFmtId="0" fontId="331" fillId="0" borderId="0" applyNumberFormat="0" applyFill="0" applyBorder="0" applyAlignment="0" applyProtection="0">
      <alignment vertical="center"/>
    </xf>
    <xf numFmtId="0" fontId="335" fillId="100" borderId="18"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5" fillId="0" borderId="0" applyNumberFormat="0" applyFill="0" applyBorder="0" applyAlignment="0" applyProtection="0"/>
    <xf numFmtId="0" fontId="155" fillId="0" borderId="0" applyNumberFormat="0" applyFill="0" applyBorder="0" applyAlignment="0" applyProtection="0">
      <alignment vertical="center"/>
    </xf>
    <xf numFmtId="0" fontId="336" fillId="68" borderId="17" applyNumberFormat="0" applyAlignment="0" applyProtection="0">
      <alignment vertical="center"/>
    </xf>
    <xf numFmtId="0" fontId="337" fillId="0" borderId="0" applyNumberFormat="0" applyFill="0" applyBorder="0" applyAlignment="0" applyProtection="0">
      <alignment vertical="center"/>
    </xf>
    <xf numFmtId="0" fontId="338" fillId="0" borderId="0" applyNumberFormat="0" applyFill="0" applyBorder="0" applyAlignment="0" applyProtection="0">
      <alignment vertical="center"/>
    </xf>
    <xf numFmtId="0" fontId="156" fillId="0" borderId="0" applyNumberFormat="0" applyFill="0" applyBorder="0" applyAlignment="0" applyProtection="0"/>
    <xf numFmtId="0" fontId="156" fillId="0" borderId="0" applyNumberFormat="0" applyFill="0" applyBorder="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26" fillId="88" borderId="0" applyNumberFormat="0" applyBorder="0" applyAlignment="0" applyProtection="0">
      <alignment vertical="center"/>
    </xf>
    <xf numFmtId="0" fontId="326" fillId="94" borderId="0" applyNumberFormat="0" applyBorder="0" applyAlignment="0" applyProtection="0">
      <alignment vertical="center"/>
    </xf>
    <xf numFmtId="0" fontId="326" fillId="96" borderId="0" applyNumberFormat="0" applyBorder="0" applyAlignment="0" applyProtection="0">
      <alignment vertical="center"/>
    </xf>
    <xf numFmtId="0" fontId="326" fillId="104" borderId="0" applyNumberFormat="0" applyBorder="0" applyAlignment="0" applyProtection="0">
      <alignment vertical="center"/>
    </xf>
    <xf numFmtId="0" fontId="326" fillId="88" borderId="0" applyNumberFormat="0" applyBorder="0" applyAlignment="0" applyProtection="0">
      <alignment vertical="center"/>
    </xf>
    <xf numFmtId="0" fontId="326" fillId="98" borderId="0" applyNumberFormat="0" applyBorder="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60" fillId="82" borderId="0" applyNumberFormat="0" applyBorder="0" applyAlignment="0" applyProtection="0">
      <alignment vertical="center"/>
    </xf>
    <xf numFmtId="0" fontId="160" fillId="83" borderId="0" applyNumberFormat="0" applyBorder="0" applyAlignment="0" applyProtection="0"/>
    <xf numFmtId="0" fontId="160" fillId="53" borderId="0" applyNumberFormat="0" applyBorder="0" applyAlignment="0" applyProtection="0">
      <alignment vertical="center"/>
    </xf>
    <xf numFmtId="0" fontId="341" fillId="0" borderId="22" applyNumberFormat="0" applyFill="0" applyAlignment="0" applyProtection="0">
      <alignment vertical="center"/>
    </xf>
    <xf numFmtId="0" fontId="161" fillId="0" borderId="22" applyNumberFormat="0" applyFill="0" applyAlignment="0" applyProtection="0"/>
    <xf numFmtId="0" fontId="161" fillId="0" borderId="22" applyNumberFormat="0" applyFill="0" applyAlignment="0" applyProtection="0">
      <alignment vertical="center"/>
    </xf>
    <xf numFmtId="0" fontId="143"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147" fillId="78" borderId="0" applyNumberFormat="0" applyBorder="0" applyAlignment="0" applyProtection="0">
      <alignment vertical="center"/>
    </xf>
    <xf numFmtId="0" fontId="147" fillId="72" borderId="0" applyNumberFormat="0" applyBorder="0" applyAlignment="0" applyProtection="0">
      <alignment vertical="center"/>
    </xf>
    <xf numFmtId="0" fontId="148" fillId="74" borderId="0" applyNumberFormat="0" applyBorder="0" applyAlignment="0" applyProtection="0">
      <alignment vertical="center"/>
    </xf>
    <xf numFmtId="0" fontId="153" fillId="100" borderId="18" applyNumberFormat="0" applyAlignment="0" applyProtection="0">
      <alignment vertical="center"/>
    </xf>
    <xf numFmtId="0" fontId="159" fillId="80" borderId="24" applyNumberFormat="0" applyAlignment="0" applyProtection="0">
      <alignment vertical="center"/>
    </xf>
    <xf numFmtId="0" fontId="148" fillId="76" borderId="0" applyNumberFormat="0" applyBorder="0" applyAlignment="0" applyProtection="0">
      <alignment vertical="center"/>
    </xf>
    <xf numFmtId="0" fontId="156" fillId="0" borderId="0" applyNumberFormat="0" applyFill="0" applyBorder="0" applyAlignment="0" applyProtection="0">
      <alignment vertical="center"/>
    </xf>
    <xf numFmtId="0" fontId="160" fillId="82" borderId="0" applyNumberFormat="0" applyBorder="0" applyAlignment="0" applyProtection="0">
      <alignment vertical="center"/>
    </xf>
    <xf numFmtId="0" fontId="147" fillId="72" borderId="0" applyNumberFormat="0" applyBorder="0" applyAlignment="0" applyProtection="0">
      <alignment vertical="center"/>
    </xf>
    <xf numFmtId="0" fontId="148" fillId="90" borderId="0" applyNumberFormat="0" applyBorder="0" applyAlignment="0" applyProtection="0">
      <alignment vertical="center"/>
    </xf>
    <xf numFmtId="0" fontId="151" fillId="0" borderId="20" applyNumberFormat="0" applyFill="0" applyAlignment="0" applyProtection="0">
      <alignment vertical="center"/>
    </xf>
    <xf numFmtId="0" fontId="154" fillId="0" borderId="25" applyNumberFormat="0" applyFill="0" applyAlignment="0" applyProtection="0">
      <alignment vertical="center"/>
    </xf>
    <xf numFmtId="0" fontId="148" fillId="86" borderId="0" applyNumberFormat="0" applyBorder="0" applyAlignment="0" applyProtection="0">
      <alignment vertical="center"/>
    </xf>
    <xf numFmtId="0" fontId="148" fillId="86" borderId="0" applyNumberFormat="0" applyBorder="0" applyAlignment="0" applyProtection="0">
      <alignment vertical="center"/>
    </xf>
    <xf numFmtId="0" fontId="152" fillId="0" borderId="21" applyNumberFormat="0" applyFill="0" applyAlignment="0" applyProtection="0">
      <alignment vertical="center"/>
    </xf>
    <xf numFmtId="0" fontId="148" fillId="92" borderId="0" applyNumberFormat="0" applyBorder="0" applyAlignment="0" applyProtection="0">
      <alignment vertical="center"/>
    </xf>
    <xf numFmtId="0" fontId="147" fillId="57" borderId="0" applyNumberFormat="0" applyBorder="0" applyAlignment="0" applyProtection="0">
      <alignment vertical="center"/>
    </xf>
    <xf numFmtId="0" fontId="148" fillId="98" borderId="0" applyNumberFormat="0" applyBorder="0" applyAlignment="0" applyProtection="0">
      <alignment vertical="center"/>
    </xf>
    <xf numFmtId="0" fontId="157" fillId="80" borderId="17" applyNumberFormat="0" applyAlignment="0" applyProtection="0">
      <alignment vertical="center"/>
    </xf>
    <xf numFmtId="0" fontId="147" fillId="76" borderId="0" applyNumberFormat="0" applyBorder="0" applyAlignment="0" applyProtection="0">
      <alignment vertical="center"/>
    </xf>
    <xf numFmtId="0" fontId="150" fillId="0" borderId="19" applyNumberFormat="0" applyFill="0" applyAlignment="0" applyProtection="0">
      <alignment vertical="center"/>
    </xf>
    <xf numFmtId="0" fontId="148" fillId="88" borderId="0" applyNumberFormat="0" applyBorder="0" applyAlignment="0" applyProtection="0">
      <alignment vertical="center"/>
    </xf>
    <xf numFmtId="0" fontId="147" fillId="55" borderId="0" applyNumberFormat="0" applyBorder="0" applyAlignment="0" applyProtection="0">
      <alignment vertical="center"/>
    </xf>
    <xf numFmtId="0" fontId="158" fillId="65" borderId="17" applyNumberFormat="0" applyAlignment="0" applyProtection="0">
      <alignment vertical="center"/>
    </xf>
    <xf numFmtId="0" fontId="147" fillId="74" borderId="0" applyNumberFormat="0" applyBorder="0" applyAlignment="0" applyProtection="0">
      <alignment vertical="center"/>
    </xf>
    <xf numFmtId="0" fontId="148" fillId="94" borderId="0" applyNumberFormat="0" applyBorder="0" applyAlignment="0" applyProtection="0">
      <alignment vertical="center"/>
    </xf>
    <xf numFmtId="0" fontId="147" fillId="63" borderId="0" applyNumberFormat="0" applyBorder="0" applyAlignment="0" applyProtection="0">
      <alignment vertical="center"/>
    </xf>
    <xf numFmtId="0" fontId="142" fillId="57" borderId="0" applyNumberFormat="0" applyBorder="0" applyAlignment="0" applyProtection="0">
      <alignment vertical="center"/>
    </xf>
    <xf numFmtId="0" fontId="148" fillId="88" borderId="0" applyNumberFormat="0" applyBorder="0" applyAlignment="0" applyProtection="0">
      <alignment vertical="center"/>
    </xf>
    <xf numFmtId="0" fontId="148" fillId="96" borderId="0" applyNumberFormat="0" applyBorder="0" applyAlignment="0" applyProtection="0">
      <alignment vertical="center"/>
    </xf>
    <xf numFmtId="0" fontId="161" fillId="0" borderId="22" applyNumberFormat="0" applyFill="0" applyAlignment="0" applyProtection="0">
      <alignment vertical="center"/>
    </xf>
    <xf numFmtId="0" fontId="147" fillId="59" borderId="0" applyNumberFormat="0" applyBorder="0" applyAlignment="0" applyProtection="0">
      <alignment vertical="center"/>
    </xf>
    <xf numFmtId="0" fontId="152" fillId="0" borderId="0" applyNumberFormat="0" applyFill="0" applyBorder="0" applyAlignment="0" applyProtection="0">
      <alignment vertical="center"/>
    </xf>
    <xf numFmtId="0" fontId="148" fillId="84" borderId="0" applyNumberFormat="0" applyBorder="0" applyAlignment="0" applyProtection="0">
      <alignment vertical="center"/>
    </xf>
    <xf numFmtId="0" fontId="141" fillId="59" borderId="0" applyNumberFormat="0" applyBorder="0" applyAlignment="0" applyProtection="0">
      <alignment vertical="center"/>
    </xf>
    <xf numFmtId="0" fontId="147" fillId="61" borderId="0" applyNumberFormat="0" applyBorder="0" applyAlignment="0" applyProtection="0">
      <alignment vertical="center"/>
    </xf>
    <xf numFmtId="0" fontId="147" fillId="65" borderId="0" applyNumberFormat="0" applyBorder="0" applyAlignment="0" applyProtection="0">
      <alignment vertical="center"/>
    </xf>
    <xf numFmtId="0" fontId="147" fillId="61" borderId="0" applyNumberFormat="0" applyBorder="0" applyAlignment="0" applyProtection="0">
      <alignment vertical="center"/>
    </xf>
    <xf numFmtId="0" fontId="147" fillId="0" borderId="0"/>
    <xf numFmtId="0" fontId="147" fillId="0" borderId="0"/>
    <xf numFmtId="0" fontId="147" fillId="37" borderId="0" applyNumberFormat="0" applyBorder="0" applyAlignment="0" applyProtection="0">
      <alignment vertical="center"/>
    </xf>
    <xf numFmtId="0" fontId="161" fillId="0" borderId="22" applyNumberFormat="0" applyFill="0" applyAlignment="0" applyProtection="0">
      <alignment vertical="center"/>
    </xf>
    <xf numFmtId="0" fontId="147" fillId="33" borderId="0" applyNumberFormat="0" applyBorder="0" applyAlignment="0" applyProtection="0">
      <alignment vertical="center"/>
    </xf>
    <xf numFmtId="0" fontId="147" fillId="34" borderId="0" applyNumberFormat="0" applyBorder="0" applyAlignment="0" applyProtection="0">
      <alignment vertical="center"/>
    </xf>
    <xf numFmtId="0" fontId="147" fillId="38" borderId="0" applyNumberFormat="0" applyBorder="0" applyAlignment="0" applyProtection="0">
      <alignment vertical="center"/>
    </xf>
    <xf numFmtId="0" fontId="147" fillId="39" borderId="0" applyNumberFormat="0" applyBorder="0" applyAlignment="0" applyProtection="0">
      <alignment vertical="center"/>
    </xf>
    <xf numFmtId="0" fontId="147" fillId="40" borderId="0" applyNumberFormat="0" applyBorder="0" applyAlignment="0" applyProtection="0">
      <alignment vertical="center"/>
    </xf>
    <xf numFmtId="0" fontId="147" fillId="41" borderId="0" applyNumberFormat="0" applyBorder="0" applyAlignment="0" applyProtection="0">
      <alignment vertical="center"/>
    </xf>
    <xf numFmtId="0" fontId="148" fillId="43" borderId="0" applyNumberFormat="0" applyBorder="0" applyAlignment="0" applyProtection="0">
      <alignment vertical="center"/>
    </xf>
    <xf numFmtId="0" fontId="148" fillId="40" borderId="0" applyNumberFormat="0" applyBorder="0" applyAlignment="0" applyProtection="0">
      <alignment vertical="center"/>
    </xf>
    <xf numFmtId="0" fontId="148" fillId="41" borderId="0" applyNumberFormat="0" applyBorder="0" applyAlignment="0" applyProtection="0">
      <alignment vertical="center"/>
    </xf>
    <xf numFmtId="0" fontId="148" fillId="44" borderId="0" applyNumberFormat="0" applyBorder="0" applyAlignment="0" applyProtection="0">
      <alignment vertical="center"/>
    </xf>
    <xf numFmtId="0" fontId="143" fillId="0" borderId="0" applyNumberFormat="0" applyFill="0" applyBorder="0" applyAlignment="0" applyProtection="0">
      <alignment vertical="center"/>
    </xf>
    <xf numFmtId="0" fontId="152" fillId="0" borderId="0" applyNumberFormat="0" applyFill="0" applyBorder="0" applyAlignment="0" applyProtection="0">
      <alignment vertical="center"/>
    </xf>
    <xf numFmtId="0" fontId="142" fillId="34" borderId="0" applyNumberFormat="0" applyBorder="0" applyAlignment="0" applyProtection="0">
      <alignment vertical="center"/>
    </xf>
    <xf numFmtId="0" fontId="141" fillId="35" borderId="0" applyNumberFormat="0" applyBorder="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3" fillId="52" borderId="18" applyNumberFormat="0" applyAlignment="0" applyProtection="0">
      <alignment vertical="center"/>
    </xf>
    <xf numFmtId="0" fontId="156" fillId="0" borderId="0" applyNumberFormat="0" applyFill="0" applyBorder="0" applyAlignment="0" applyProtection="0">
      <alignment vertical="center"/>
    </xf>
    <xf numFmtId="0" fontId="148" fillId="49" borderId="0" applyNumberFormat="0" applyBorder="0" applyAlignment="0" applyProtection="0">
      <alignment vertical="center"/>
    </xf>
    <xf numFmtId="0" fontId="148" fillId="44" borderId="0" applyNumberFormat="0" applyBorder="0" applyAlignment="0" applyProtection="0">
      <alignment vertical="center"/>
    </xf>
    <xf numFmtId="0" fontId="148" fillId="45" borderId="0" applyNumberFormat="0" applyBorder="0" applyAlignment="0" applyProtection="0">
      <alignment vertical="center"/>
    </xf>
    <xf numFmtId="0" fontId="158" fillId="38" borderId="17" applyNumberFormat="0" applyAlignment="0" applyProtection="0">
      <alignment vertical="center"/>
    </xf>
    <xf numFmtId="0" fontId="147" fillId="42" borderId="0" applyNumberFormat="0" applyBorder="0" applyAlignment="0" applyProtection="0">
      <alignment vertical="center"/>
    </xf>
    <xf numFmtId="0" fontId="151" fillId="0" borderId="20" applyNumberFormat="0" applyFill="0" applyAlignment="0" applyProtection="0">
      <alignment vertical="center"/>
    </xf>
    <xf numFmtId="0" fontId="160" fillId="53" borderId="0" applyNumberFormat="0" applyBorder="0" applyAlignment="0" applyProtection="0">
      <alignment vertical="center"/>
    </xf>
    <xf numFmtId="0" fontId="149" fillId="54" borderId="23" applyNumberFormat="0" applyFont="0" applyAlignment="0" applyProtection="0">
      <alignment vertical="center"/>
    </xf>
    <xf numFmtId="0" fontId="147" fillId="35" borderId="0" applyNumberFormat="0" applyBorder="0" applyAlignment="0" applyProtection="0">
      <alignment vertical="center"/>
    </xf>
    <xf numFmtId="0" fontId="147" fillId="36" borderId="0" applyNumberFormat="0" applyBorder="0" applyAlignment="0" applyProtection="0">
      <alignment vertical="center"/>
    </xf>
    <xf numFmtId="0" fontId="147" fillId="36" borderId="0" applyNumberFormat="0" applyBorder="0" applyAlignment="0" applyProtection="0">
      <alignment vertical="center"/>
    </xf>
    <xf numFmtId="0" fontId="147" fillId="39" borderId="0" applyNumberFormat="0" applyBorder="0" applyAlignment="0" applyProtection="0">
      <alignment vertical="center"/>
    </xf>
    <xf numFmtId="0" fontId="148" fillId="45" borderId="0" applyNumberFormat="0" applyBorder="0" applyAlignment="0" applyProtection="0">
      <alignment vertical="center"/>
    </xf>
    <xf numFmtId="0" fontId="148" fillId="46" borderId="0" applyNumberFormat="0" applyBorder="0" applyAlignment="0" applyProtection="0">
      <alignment vertical="center"/>
    </xf>
    <xf numFmtId="0" fontId="150" fillId="0" borderId="19" applyNumberFormat="0" applyFill="0" applyAlignment="0" applyProtection="0">
      <alignment vertical="center"/>
    </xf>
    <xf numFmtId="0" fontId="152" fillId="0" borderId="21" applyNumberFormat="0" applyFill="0" applyAlignment="0" applyProtection="0">
      <alignment vertical="center"/>
    </xf>
    <xf numFmtId="0" fontId="155" fillId="0" borderId="0" applyNumberFormat="0" applyFill="0" applyBorder="0" applyAlignment="0" applyProtection="0">
      <alignment vertical="center"/>
    </xf>
    <xf numFmtId="0" fontId="148" fillId="47" borderId="0" applyNumberFormat="0" applyBorder="0" applyAlignment="0" applyProtection="0">
      <alignment vertical="center"/>
    </xf>
    <xf numFmtId="0" fontId="148" fillId="48" borderId="0" applyNumberFormat="0" applyBorder="0" applyAlignment="0" applyProtection="0">
      <alignment vertical="center"/>
    </xf>
    <xf numFmtId="0" fontId="148" fillId="50" borderId="0" applyNumberFormat="0" applyBorder="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325" fillId="69" borderId="0"/>
    <xf numFmtId="0" fontId="325" fillId="66" borderId="0"/>
    <xf numFmtId="0" fontId="325" fillId="71" borderId="0"/>
    <xf numFmtId="0" fontId="325" fillId="69" borderId="0"/>
    <xf numFmtId="0" fontId="325" fillId="64" borderId="0"/>
    <xf numFmtId="0" fontId="325" fillId="66" borderId="0"/>
    <xf numFmtId="0" fontId="147" fillId="60" borderId="0"/>
    <xf numFmtId="0" fontId="147" fillId="75" borderId="0"/>
    <xf numFmtId="0" fontId="147" fillId="77" borderId="0"/>
    <xf numFmtId="0" fontId="147" fillId="62" borderId="0"/>
    <xf numFmtId="0" fontId="147" fillId="73" borderId="0"/>
    <xf numFmtId="0" fontId="147" fillId="79" borderId="0"/>
    <xf numFmtId="0" fontId="325" fillId="81" borderId="0"/>
    <xf numFmtId="0" fontId="147" fillId="73" borderId="0"/>
    <xf numFmtId="0" fontId="147" fillId="62" borderId="0"/>
    <xf numFmtId="0" fontId="147" fillId="56" borderId="0"/>
    <xf numFmtId="0" fontId="147" fillId="58" borderId="0"/>
    <xf numFmtId="0" fontId="147" fillId="64" borderId="0"/>
    <xf numFmtId="0" fontId="325" fillId="75" borderId="0"/>
    <xf numFmtId="0" fontId="147" fillId="66" borderId="0"/>
    <xf numFmtId="0" fontId="325" fillId="83" borderId="0"/>
    <xf numFmtId="0" fontId="325" fillId="81" borderId="0"/>
    <xf numFmtId="0" fontId="325" fillId="73" borderId="0"/>
    <xf numFmtId="0" fontId="325" fillId="66" borderId="0"/>
    <xf numFmtId="0" fontId="148" fillId="85" borderId="0"/>
    <xf numFmtId="0" fontId="148" fillId="75" borderId="0"/>
    <xf numFmtId="0" fontId="148" fillId="77" borderId="0"/>
    <xf numFmtId="0" fontId="148" fillId="87" borderId="0"/>
    <xf numFmtId="0" fontId="148" fillId="89" borderId="0"/>
    <xf numFmtId="0" fontId="148" fillId="91" borderId="0"/>
    <xf numFmtId="0" fontId="326" fillId="89" borderId="0"/>
    <xf numFmtId="0" fontId="326" fillId="75" borderId="0"/>
    <xf numFmtId="0" fontId="326" fillId="83" borderId="0"/>
    <xf numFmtId="0" fontId="326" fillId="81" borderId="0"/>
    <xf numFmtId="0" fontId="326" fillId="89" borderId="0"/>
    <xf numFmtId="0" fontId="326" fillId="66" borderId="0"/>
    <xf numFmtId="0" fontId="327" fillId="83" borderId="0"/>
    <xf numFmtId="0" fontId="328" fillId="0" borderId="26"/>
    <xf numFmtId="0" fontId="329" fillId="58" borderId="0"/>
    <xf numFmtId="0" fontId="141" fillId="60" borderId="0"/>
    <xf numFmtId="0" fontId="330" fillId="60" borderId="0"/>
    <xf numFmtId="0" fontId="142" fillId="58" borderId="0"/>
    <xf numFmtId="0" fontId="148" fillId="93" borderId="0"/>
    <xf numFmtId="0" fontId="148" fillId="95" borderId="0"/>
    <xf numFmtId="0" fontId="148" fillId="97" borderId="0"/>
    <xf numFmtId="0" fontId="148" fillId="87" borderId="0"/>
    <xf numFmtId="0" fontId="148" fillId="89" borderId="0"/>
    <xf numFmtId="0" fontId="148" fillId="99" borderId="0"/>
    <xf numFmtId="0" fontId="143" fillId="0" borderId="0"/>
    <xf numFmtId="0" fontId="150" fillId="0" borderId="19"/>
    <xf numFmtId="0" fontId="151" fillId="0" borderId="20"/>
    <xf numFmtId="0" fontId="152" fillId="0" borderId="21"/>
    <xf numFmtId="0" fontId="152" fillId="0" borderId="0"/>
    <xf numFmtId="0" fontId="153" fillId="101" borderId="18"/>
    <xf numFmtId="0" fontId="331" fillId="0" borderId="0"/>
    <xf numFmtId="0" fontId="332" fillId="0" borderId="27"/>
    <xf numFmtId="0" fontId="333" fillId="0" borderId="20"/>
    <xf numFmtId="0" fontId="334" fillId="0" borderId="28"/>
    <xf numFmtId="0" fontId="334" fillId="0" borderId="0"/>
    <xf numFmtId="0" fontId="335" fillId="101" borderId="18"/>
    <xf numFmtId="0" fontId="154" fillId="0" borderId="25"/>
    <xf numFmtId="0" fontId="155" fillId="0" borderId="0"/>
    <xf numFmtId="0" fontId="336" fillId="69" borderId="17"/>
    <xf numFmtId="0" fontId="337" fillId="0" borderId="0"/>
    <xf numFmtId="0" fontId="338" fillId="0" borderId="0"/>
    <xf numFmtId="0" fontId="156" fillId="0" borderId="0"/>
    <xf numFmtId="0" fontId="157" fillId="81" borderId="17"/>
    <xf numFmtId="0" fontId="326" fillId="89" borderId="0"/>
    <xf numFmtId="0" fontId="326" fillId="95" borderId="0"/>
    <xf numFmtId="0" fontId="326" fillId="97" borderId="0"/>
    <xf numFmtId="0" fontId="326" fillId="105" borderId="0"/>
    <xf numFmtId="0" fontId="326" fillId="89" borderId="0"/>
    <xf numFmtId="0" fontId="326" fillId="99" borderId="0"/>
    <xf numFmtId="0" fontId="339" fillId="66" borderId="17"/>
    <xf numFmtId="0" fontId="340" fillId="69" borderId="24"/>
    <xf numFmtId="0" fontId="158" fillId="66" borderId="17"/>
    <xf numFmtId="0" fontId="159" fillId="81" borderId="24"/>
    <xf numFmtId="0" fontId="160" fillId="83" borderId="0"/>
    <xf numFmtId="0" fontId="341" fillId="0" borderId="22"/>
    <xf numFmtId="0" fontId="161" fillId="0" borderId="22"/>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92" fillId="0" borderId="26" applyNumberFormat="0" applyFill="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0" fillId="0" borderId="0"/>
    <xf numFmtId="0" fontId="343" fillId="0" borderId="0"/>
    <xf numFmtId="0" fontId="343" fillId="0" borderId="0"/>
    <xf numFmtId="0" fontId="343" fillId="0" borderId="0"/>
    <xf numFmtId="0" fontId="73" fillId="0" borderId="0">
      <alignment vertical="center"/>
    </xf>
    <xf numFmtId="0" fontId="30" fillId="0" borderId="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7" fillId="2" borderId="0" applyNumberFormat="0" applyBorder="0" applyAlignment="0" applyProtection="0">
      <alignment vertical="center"/>
    </xf>
    <xf numFmtId="0" fontId="343" fillId="0" borderId="0"/>
    <xf numFmtId="0" fontId="343" fillId="0" borderId="0"/>
    <xf numFmtId="0" fontId="343" fillId="0" borderId="0"/>
    <xf numFmtId="0" fontId="343" fillId="0" borderId="0"/>
    <xf numFmtId="0" fontId="269" fillId="0" borderId="0">
      <alignment vertical="center"/>
    </xf>
    <xf numFmtId="0" fontId="343" fillId="0" borderId="0"/>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3" fillId="0" borderId="0">
      <alignment vertical="center"/>
    </xf>
    <xf numFmtId="0" fontId="73" fillId="0" borderId="0">
      <alignment vertical="center"/>
    </xf>
    <xf numFmtId="0" fontId="73"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320" fillId="68"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74" fillId="35" borderId="0" applyNumberFormat="0" applyBorder="0" applyAlignment="0" applyProtection="0">
      <alignment vertical="center"/>
    </xf>
    <xf numFmtId="0" fontId="75" fillId="34" borderId="0" applyNumberFormat="0" applyBorder="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267" fillId="55" borderId="0" applyNumberFormat="0" applyBorder="0" applyAlignment="0" applyProtection="0">
      <alignment vertical="center"/>
    </xf>
    <xf numFmtId="0" fontId="267" fillId="56" borderId="0" applyNumberFormat="0" applyBorder="0" applyAlignment="0" applyProtection="0"/>
    <xf numFmtId="0" fontId="267" fillId="33" borderId="0" applyNumberFormat="0" applyBorder="0" applyAlignment="0" applyProtection="0">
      <alignment vertical="center"/>
    </xf>
    <xf numFmtId="0" fontId="267" fillId="57" borderId="0" applyNumberFormat="0" applyBorder="0" applyAlignment="0" applyProtection="0">
      <alignment vertical="center"/>
    </xf>
    <xf numFmtId="0" fontId="267" fillId="58" borderId="0" applyNumberFormat="0" applyBorder="0" applyAlignment="0" applyProtection="0"/>
    <xf numFmtId="0" fontId="267" fillId="34" borderId="0" applyNumberFormat="0" applyBorder="0" applyAlignment="0" applyProtection="0">
      <alignment vertical="center"/>
    </xf>
    <xf numFmtId="0" fontId="267" fillId="59" borderId="0" applyNumberFormat="0" applyBorder="0" applyAlignment="0" applyProtection="0">
      <alignment vertical="center"/>
    </xf>
    <xf numFmtId="0" fontId="267" fillId="60" borderId="0" applyNumberFormat="0" applyBorder="0" applyAlignment="0" applyProtection="0"/>
    <xf numFmtId="0" fontId="267" fillId="35" borderId="0" applyNumberFormat="0" applyBorder="0" applyAlignment="0" applyProtection="0">
      <alignment vertical="center"/>
    </xf>
    <xf numFmtId="0" fontId="267" fillId="61" borderId="0" applyNumberFormat="0" applyBorder="0" applyAlignment="0" applyProtection="0">
      <alignment vertical="center"/>
    </xf>
    <xf numFmtId="0" fontId="267" fillId="62" borderId="0" applyNumberFormat="0" applyBorder="0" applyAlignment="0" applyProtection="0"/>
    <xf numFmtId="0" fontId="267" fillId="36" borderId="0" applyNumberFormat="0" applyBorder="0" applyAlignment="0" applyProtection="0">
      <alignment vertical="center"/>
    </xf>
    <xf numFmtId="0" fontId="267" fillId="63" borderId="0" applyNumberFormat="0" applyBorder="0" applyAlignment="0" applyProtection="0">
      <alignment vertical="center"/>
    </xf>
    <xf numFmtId="0" fontId="267" fillId="64" borderId="0" applyNumberFormat="0" applyBorder="0" applyAlignment="0" applyProtection="0"/>
    <xf numFmtId="0" fontId="267" fillId="37" borderId="0" applyNumberFormat="0" applyBorder="0" applyAlignment="0" applyProtection="0">
      <alignment vertical="center"/>
    </xf>
    <xf numFmtId="0" fontId="267" fillId="65" borderId="0" applyNumberFormat="0" applyBorder="0" applyAlignment="0" applyProtection="0">
      <alignment vertical="center"/>
    </xf>
    <xf numFmtId="0" fontId="267" fillId="66" borderId="0" applyNumberFormat="0" applyBorder="0" applyAlignment="0" applyProtection="0"/>
    <xf numFmtId="0" fontId="267" fillId="38" borderId="0" applyNumberFormat="0" applyBorder="0" applyAlignment="0" applyProtection="0">
      <alignment vertical="center"/>
    </xf>
    <xf numFmtId="0" fontId="88" fillId="68" borderId="0" applyNumberFormat="0" applyBorder="0" applyAlignment="0" applyProtection="0">
      <alignment vertical="center"/>
    </xf>
    <xf numFmtId="0" fontId="88" fillId="65" borderId="0" applyNumberFormat="0" applyBorder="0" applyAlignment="0" applyProtection="0">
      <alignment vertical="center"/>
    </xf>
    <xf numFmtId="0" fontId="88" fillId="70" borderId="0" applyNumberFormat="0" applyBorder="0" applyAlignment="0" applyProtection="0">
      <alignment vertical="center"/>
    </xf>
    <xf numFmtId="0" fontId="88" fillId="68" borderId="0" applyNumberFormat="0" applyBorder="0" applyAlignment="0" applyProtection="0">
      <alignment vertical="center"/>
    </xf>
    <xf numFmtId="0" fontId="88" fillId="63" borderId="0" applyNumberFormat="0" applyBorder="0" applyAlignment="0" applyProtection="0">
      <alignment vertical="center"/>
    </xf>
    <xf numFmtId="0" fontId="88" fillId="65" borderId="0" applyNumberFormat="0" applyBorder="0" applyAlignment="0" applyProtection="0">
      <alignment vertical="center"/>
    </xf>
    <xf numFmtId="0" fontId="267" fillId="72" borderId="0" applyNumberFormat="0" applyBorder="0" applyAlignment="0" applyProtection="0">
      <alignment vertical="center"/>
    </xf>
    <xf numFmtId="0" fontId="267" fillId="73" borderId="0" applyNumberFormat="0" applyBorder="0" applyAlignment="0" applyProtection="0"/>
    <xf numFmtId="0" fontId="267" fillId="39" borderId="0" applyNumberFormat="0" applyBorder="0" applyAlignment="0" applyProtection="0">
      <alignment vertical="center"/>
    </xf>
    <xf numFmtId="0" fontId="267" fillId="74" borderId="0" applyNumberFormat="0" applyBorder="0" applyAlignment="0" applyProtection="0">
      <alignment vertical="center"/>
    </xf>
    <xf numFmtId="0" fontId="267" fillId="75" borderId="0" applyNumberFormat="0" applyBorder="0" applyAlignment="0" applyProtection="0"/>
    <xf numFmtId="0" fontId="267" fillId="40" borderId="0" applyNumberFormat="0" applyBorder="0" applyAlignment="0" applyProtection="0">
      <alignment vertical="center"/>
    </xf>
    <xf numFmtId="0" fontId="267" fillId="76" borderId="0" applyNumberFormat="0" applyBorder="0" applyAlignment="0" applyProtection="0">
      <alignment vertical="center"/>
    </xf>
    <xf numFmtId="0" fontId="267" fillId="77" borderId="0" applyNumberFormat="0" applyBorder="0" applyAlignment="0" applyProtection="0"/>
    <xf numFmtId="0" fontId="267" fillId="41" borderId="0" applyNumberFormat="0" applyBorder="0" applyAlignment="0" applyProtection="0">
      <alignment vertical="center"/>
    </xf>
    <xf numFmtId="0" fontId="267" fillId="61" borderId="0" applyNumberFormat="0" applyBorder="0" applyAlignment="0" applyProtection="0">
      <alignment vertical="center"/>
    </xf>
    <xf numFmtId="0" fontId="267" fillId="62" borderId="0" applyNumberFormat="0" applyBorder="0" applyAlignment="0" applyProtection="0"/>
    <xf numFmtId="0" fontId="267" fillId="36" borderId="0" applyNumberFormat="0" applyBorder="0" applyAlignment="0" applyProtection="0">
      <alignment vertical="center"/>
    </xf>
    <xf numFmtId="0" fontId="267" fillId="72" borderId="0" applyNumberFormat="0" applyBorder="0" applyAlignment="0" applyProtection="0">
      <alignment vertical="center"/>
    </xf>
    <xf numFmtId="0" fontId="267" fillId="73" borderId="0" applyNumberFormat="0" applyBorder="0" applyAlignment="0" applyProtection="0"/>
    <xf numFmtId="0" fontId="267" fillId="39" borderId="0" applyNumberFormat="0" applyBorder="0" applyAlignment="0" applyProtection="0">
      <alignment vertical="center"/>
    </xf>
    <xf numFmtId="0" fontId="267" fillId="78" borderId="0" applyNumberFormat="0" applyBorder="0" applyAlignment="0" applyProtection="0">
      <alignment vertical="center"/>
    </xf>
    <xf numFmtId="0" fontId="267" fillId="79" borderId="0" applyNumberFormat="0" applyBorder="0" applyAlignment="0" applyProtection="0"/>
    <xf numFmtId="0" fontId="267" fillId="42" borderId="0" applyNumberFormat="0" applyBorder="0" applyAlignment="0" applyProtection="0">
      <alignment vertical="center"/>
    </xf>
    <xf numFmtId="0" fontId="88" fillId="80" borderId="0" applyNumberFormat="0" applyBorder="0" applyAlignment="0" applyProtection="0">
      <alignment vertical="center"/>
    </xf>
    <xf numFmtId="0" fontId="88" fillId="74" borderId="0" applyNumberFormat="0" applyBorder="0" applyAlignment="0" applyProtection="0">
      <alignment vertical="center"/>
    </xf>
    <xf numFmtId="0" fontId="88" fillId="82" borderId="0" applyNumberFormat="0" applyBorder="0" applyAlignment="0" applyProtection="0">
      <alignment vertical="center"/>
    </xf>
    <xf numFmtId="0" fontId="88" fillId="80" borderId="0" applyNumberFormat="0" applyBorder="0" applyAlignment="0" applyProtection="0">
      <alignment vertical="center"/>
    </xf>
    <xf numFmtId="0" fontId="88" fillId="72" borderId="0" applyNumberFormat="0" applyBorder="0" applyAlignment="0" applyProtection="0">
      <alignment vertical="center"/>
    </xf>
    <xf numFmtId="0" fontId="88" fillId="65" borderId="0" applyNumberFormat="0" applyBorder="0" applyAlignment="0" applyProtection="0">
      <alignment vertical="center"/>
    </xf>
    <xf numFmtId="0" fontId="268" fillId="84" borderId="0" applyNumberFormat="0" applyBorder="0" applyAlignment="0" applyProtection="0">
      <alignment vertical="center"/>
    </xf>
    <xf numFmtId="0" fontId="268" fillId="85" borderId="0" applyNumberFormat="0" applyBorder="0" applyAlignment="0" applyProtection="0"/>
    <xf numFmtId="0" fontId="268" fillId="43" borderId="0" applyNumberFormat="0" applyBorder="0" applyAlignment="0" applyProtection="0">
      <alignment vertical="center"/>
    </xf>
    <xf numFmtId="0" fontId="268" fillId="74" borderId="0" applyNumberFormat="0" applyBorder="0" applyAlignment="0" applyProtection="0">
      <alignment vertical="center"/>
    </xf>
    <xf numFmtId="0" fontId="268" fillId="75" borderId="0" applyNumberFormat="0" applyBorder="0" applyAlignment="0" applyProtection="0"/>
    <xf numFmtId="0" fontId="268" fillId="40" borderId="0" applyNumberFormat="0" applyBorder="0" applyAlignment="0" applyProtection="0">
      <alignment vertical="center"/>
    </xf>
    <xf numFmtId="0" fontId="268" fillId="76" borderId="0" applyNumberFormat="0" applyBorder="0" applyAlignment="0" applyProtection="0">
      <alignment vertical="center"/>
    </xf>
    <xf numFmtId="0" fontId="268" fillId="77" borderId="0" applyNumberFormat="0" applyBorder="0" applyAlignment="0" applyProtection="0"/>
    <xf numFmtId="0" fontId="268" fillId="41" borderId="0" applyNumberFormat="0" applyBorder="0" applyAlignment="0" applyProtection="0">
      <alignment vertical="center"/>
    </xf>
    <xf numFmtId="0" fontId="268" fillId="86" borderId="0" applyNumberFormat="0" applyBorder="0" applyAlignment="0" applyProtection="0">
      <alignment vertical="center"/>
    </xf>
    <xf numFmtId="0" fontId="268" fillId="87" borderId="0" applyNumberFormat="0" applyBorder="0" applyAlignment="0" applyProtection="0"/>
    <xf numFmtId="0" fontId="268" fillId="44" borderId="0" applyNumberFormat="0" applyBorder="0" applyAlignment="0" applyProtection="0">
      <alignment vertical="center"/>
    </xf>
    <xf numFmtId="0" fontId="268" fillId="88" borderId="0" applyNumberFormat="0" applyBorder="0" applyAlignment="0" applyProtection="0">
      <alignment vertical="center"/>
    </xf>
    <xf numFmtId="0" fontId="268" fillId="89" borderId="0" applyNumberFormat="0" applyBorder="0" applyAlignment="0" applyProtection="0"/>
    <xf numFmtId="0" fontId="268" fillId="45" borderId="0" applyNumberFormat="0" applyBorder="0" applyAlignment="0" applyProtection="0">
      <alignment vertical="center"/>
    </xf>
    <xf numFmtId="0" fontId="268" fillId="90" borderId="0" applyNumberFormat="0" applyBorder="0" applyAlignment="0" applyProtection="0">
      <alignment vertical="center"/>
    </xf>
    <xf numFmtId="0" fontId="268" fillId="91" borderId="0" applyNumberFormat="0" applyBorder="0" applyAlignment="0" applyProtection="0"/>
    <xf numFmtId="0" fontId="268" fillId="46" borderId="0" applyNumberFormat="0" applyBorder="0" applyAlignment="0" applyProtection="0">
      <alignment vertical="center"/>
    </xf>
    <xf numFmtId="0" fontId="89" fillId="88" borderId="0" applyNumberFormat="0" applyBorder="0" applyAlignment="0" applyProtection="0">
      <alignment vertical="center"/>
    </xf>
    <xf numFmtId="0" fontId="89" fillId="74" borderId="0" applyNumberFormat="0" applyBorder="0" applyAlignment="0" applyProtection="0">
      <alignment vertical="center"/>
    </xf>
    <xf numFmtId="0" fontId="89" fillId="82" borderId="0" applyNumberFormat="0" applyBorder="0" applyAlignment="0" applyProtection="0">
      <alignment vertical="center"/>
    </xf>
    <xf numFmtId="0" fontId="89" fillId="80" borderId="0" applyNumberFormat="0" applyBorder="0" applyAlignment="0" applyProtection="0">
      <alignment vertical="center"/>
    </xf>
    <xf numFmtId="0" fontId="89" fillId="88" borderId="0" applyNumberFormat="0" applyBorder="0" applyAlignment="0" applyProtection="0">
      <alignment vertical="center"/>
    </xf>
    <xf numFmtId="0" fontId="89" fillId="65" borderId="0" applyNumberFormat="0" applyBorder="0" applyAlignment="0" applyProtection="0">
      <alignment vertical="center"/>
    </xf>
    <xf numFmtId="0" fontId="269" fillId="0" borderId="0">
      <alignment vertical="center"/>
    </xf>
    <xf numFmtId="0" fontId="269" fillId="0" borderId="0">
      <alignment vertical="center"/>
    </xf>
    <xf numFmtId="0" fontId="269" fillId="0" borderId="0">
      <alignment vertical="center"/>
    </xf>
    <xf numFmtId="0" fontId="90" fillId="82" borderId="0" applyNumberFormat="0" applyBorder="0" applyAlignment="0" applyProtection="0">
      <alignment vertical="center"/>
    </xf>
    <xf numFmtId="0" fontId="92" fillId="0" borderId="26" applyNumberFormat="0" applyFill="0" applyAlignment="0" applyProtection="0">
      <alignment vertical="center"/>
    </xf>
    <xf numFmtId="0" fontId="93" fillId="57" borderId="0" applyNumberFormat="0" applyBorder="0" applyAlignment="0" applyProtection="0">
      <alignment vertical="center"/>
    </xf>
    <xf numFmtId="0" fontId="270" fillId="59" borderId="0" applyNumberFormat="0" applyBorder="0" applyAlignment="0" applyProtection="0">
      <alignment vertical="center"/>
    </xf>
    <xf numFmtId="0" fontId="270" fillId="60" borderId="0" applyNumberFormat="0" applyBorder="0" applyAlignment="0" applyProtection="0"/>
    <xf numFmtId="0" fontId="270" fillId="35" borderId="0" applyNumberFormat="0" applyBorder="0" applyAlignment="0" applyProtection="0">
      <alignment vertical="center"/>
    </xf>
    <xf numFmtId="0" fontId="94" fillId="59" borderId="0" applyNumberFormat="0" applyBorder="0" applyAlignment="0" applyProtection="0">
      <alignment vertical="center"/>
    </xf>
    <xf numFmtId="0" fontId="271" fillId="57" borderId="0" applyNumberFormat="0" applyBorder="0" applyAlignment="0" applyProtection="0">
      <alignment vertical="center"/>
    </xf>
    <xf numFmtId="0" fontId="271" fillId="58" borderId="0" applyNumberFormat="0" applyBorder="0" applyAlignment="0" applyProtection="0"/>
    <xf numFmtId="0" fontId="271" fillId="34" borderId="0" applyNumberFormat="0" applyBorder="0" applyAlignment="0" applyProtection="0">
      <alignment vertical="center"/>
    </xf>
    <xf numFmtId="0" fontId="268" fillId="92" borderId="0" applyNumberFormat="0" applyBorder="0" applyAlignment="0" applyProtection="0">
      <alignment vertical="center"/>
    </xf>
    <xf numFmtId="0" fontId="268" fillId="93" borderId="0" applyNumberFormat="0" applyBorder="0" applyAlignment="0" applyProtection="0"/>
    <xf numFmtId="0" fontId="268" fillId="47" borderId="0" applyNumberFormat="0" applyBorder="0" applyAlignment="0" applyProtection="0">
      <alignment vertical="center"/>
    </xf>
    <xf numFmtId="0" fontId="268" fillId="94" borderId="0" applyNumberFormat="0" applyBorder="0" applyAlignment="0" applyProtection="0">
      <alignment vertical="center"/>
    </xf>
    <xf numFmtId="0" fontId="268" fillId="95" borderId="0" applyNumberFormat="0" applyBorder="0" applyAlignment="0" applyProtection="0"/>
    <xf numFmtId="0" fontId="268" fillId="48" borderId="0" applyNumberFormat="0" applyBorder="0" applyAlignment="0" applyProtection="0">
      <alignment vertical="center"/>
    </xf>
    <xf numFmtId="0" fontId="268" fillId="96" borderId="0" applyNumberFormat="0" applyBorder="0" applyAlignment="0" applyProtection="0">
      <alignment vertical="center"/>
    </xf>
    <xf numFmtId="0" fontId="268" fillId="97" borderId="0" applyNumberFormat="0" applyBorder="0" applyAlignment="0" applyProtection="0"/>
    <xf numFmtId="0" fontId="268" fillId="49" borderId="0" applyNumberFormat="0" applyBorder="0" applyAlignment="0" applyProtection="0">
      <alignment vertical="center"/>
    </xf>
    <xf numFmtId="0" fontId="268" fillId="86" borderId="0" applyNumberFormat="0" applyBorder="0" applyAlignment="0" applyProtection="0">
      <alignment vertical="center"/>
    </xf>
    <xf numFmtId="0" fontId="268" fillId="87" borderId="0" applyNumberFormat="0" applyBorder="0" applyAlignment="0" applyProtection="0"/>
    <xf numFmtId="0" fontId="268" fillId="44" borderId="0" applyNumberFormat="0" applyBorder="0" applyAlignment="0" applyProtection="0">
      <alignment vertical="center"/>
    </xf>
    <xf numFmtId="0" fontId="268" fillId="88" borderId="0" applyNumberFormat="0" applyBorder="0" applyAlignment="0" applyProtection="0">
      <alignment vertical="center"/>
    </xf>
    <xf numFmtId="0" fontId="268" fillId="89" borderId="0" applyNumberFormat="0" applyBorder="0" applyAlignment="0" applyProtection="0"/>
    <xf numFmtId="0" fontId="268" fillId="45" borderId="0" applyNumberFormat="0" applyBorder="0" applyAlignment="0" applyProtection="0">
      <alignment vertical="center"/>
    </xf>
    <xf numFmtId="0" fontId="268" fillId="98" borderId="0" applyNumberFormat="0" applyBorder="0" applyAlignment="0" applyProtection="0">
      <alignment vertical="center"/>
    </xf>
    <xf numFmtId="0" fontId="268" fillId="99" borderId="0" applyNumberFormat="0" applyBorder="0" applyAlignment="0" applyProtection="0"/>
    <xf numFmtId="0" fontId="268" fillId="50" borderId="0" applyNumberFormat="0" applyBorder="0" applyAlignment="0" applyProtection="0">
      <alignment vertical="center"/>
    </xf>
    <xf numFmtId="0" fontId="273" fillId="0" borderId="19" applyNumberFormat="0" applyFill="0" applyAlignment="0" applyProtection="0"/>
    <xf numFmtId="0" fontId="273" fillId="0" borderId="19" applyNumberFormat="0" applyFill="0" applyAlignment="0" applyProtection="0">
      <alignment vertical="center"/>
    </xf>
    <xf numFmtId="0" fontId="272" fillId="0" borderId="0" applyNumberFormat="0" applyFill="0" applyBorder="0" applyAlignment="0" applyProtection="0">
      <alignment vertical="center"/>
    </xf>
    <xf numFmtId="0" fontId="274" fillId="0" borderId="20" applyNumberFormat="0" applyFill="0" applyAlignment="0" applyProtection="0"/>
    <xf numFmtId="0" fontId="274" fillId="0" borderId="20" applyNumberFormat="0" applyFill="0" applyAlignment="0" applyProtection="0">
      <alignment vertical="center"/>
    </xf>
    <xf numFmtId="0" fontId="275" fillId="0" borderId="21" applyNumberFormat="0" applyFill="0" applyAlignment="0" applyProtection="0"/>
    <xf numFmtId="0" fontId="275" fillId="0" borderId="21" applyNumberFormat="0" applyFill="0" applyAlignment="0" applyProtection="0">
      <alignment vertical="center"/>
    </xf>
    <xf numFmtId="0" fontId="275" fillId="0" borderId="0" applyNumberFormat="0" applyFill="0" applyBorder="0" applyAlignment="0" applyProtection="0"/>
    <xf numFmtId="0" fontId="275" fillId="0" borderId="0" applyNumberFormat="0" applyFill="0" applyBorder="0" applyAlignment="0" applyProtection="0">
      <alignment vertical="center"/>
    </xf>
    <xf numFmtId="0" fontId="272" fillId="0" borderId="0" applyNumberFormat="0" applyFill="0" applyBorder="0" applyAlignment="0" applyProtection="0"/>
    <xf numFmtId="0" fontId="276" fillId="100" borderId="18" applyNumberFormat="0" applyAlignment="0" applyProtection="0">
      <alignment vertical="center"/>
    </xf>
    <xf numFmtId="0" fontId="276" fillId="101" borderId="18" applyNumberFormat="0" applyAlignment="0" applyProtection="0"/>
    <xf numFmtId="0" fontId="276" fillId="52" borderId="18" applyNumberFormat="0" applyAlignment="0" applyProtection="0">
      <alignment vertical="center"/>
    </xf>
    <xf numFmtId="0" fontId="96" fillId="0" borderId="27" applyNumberFormat="0" applyFill="0" applyAlignment="0" applyProtection="0">
      <alignment vertical="center"/>
    </xf>
    <xf numFmtId="0" fontId="97" fillId="0" borderId="20" applyNumberFormat="0" applyFill="0" applyAlignment="0" applyProtection="0">
      <alignment vertical="center"/>
    </xf>
    <xf numFmtId="0" fontId="98" fillId="0" borderId="28" applyNumberFormat="0" applyFill="0" applyAlignment="0" applyProtection="0">
      <alignment vertical="center"/>
    </xf>
    <xf numFmtId="0" fontId="98"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9" fillId="100" borderId="18" applyNumberFormat="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78" fillId="0" borderId="0" applyNumberFormat="0" applyFill="0" applyBorder="0" applyAlignment="0" applyProtection="0"/>
    <xf numFmtId="0" fontId="278" fillId="0" borderId="0" applyNumberFormat="0" applyFill="0" applyBorder="0" applyAlignment="0" applyProtection="0">
      <alignment vertical="center"/>
    </xf>
    <xf numFmtId="0" fontId="100" fillId="68" borderId="17" applyNumberFormat="0" applyAlignment="0" applyProtection="0">
      <alignment vertical="center"/>
    </xf>
    <xf numFmtId="0" fontId="101" fillId="0" borderId="0" applyNumberFormat="0" applyFill="0" applyBorder="0" applyAlignment="0" applyProtection="0">
      <alignment vertical="center"/>
    </xf>
    <xf numFmtId="0" fontId="102" fillId="0" borderId="0" applyNumberFormat="0" applyFill="0" applyBorder="0" applyAlignment="0" applyProtection="0">
      <alignment vertical="center"/>
    </xf>
    <xf numFmtId="0" fontId="279" fillId="0" borderId="0" applyNumberFormat="0" applyFill="0" applyBorder="0" applyAlignment="0" applyProtection="0"/>
    <xf numFmtId="0" fontId="279" fillId="0" borderId="0" applyNumberFormat="0" applyFill="0" applyBorder="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89" fillId="88" borderId="0" applyNumberFormat="0" applyBorder="0" applyAlignment="0" applyProtection="0">
      <alignment vertical="center"/>
    </xf>
    <xf numFmtId="0" fontId="89" fillId="94" borderId="0" applyNumberFormat="0" applyBorder="0" applyAlignment="0" applyProtection="0">
      <alignment vertical="center"/>
    </xf>
    <xf numFmtId="0" fontId="89" fillId="96" borderId="0" applyNumberFormat="0" applyBorder="0" applyAlignment="0" applyProtection="0">
      <alignment vertical="center"/>
    </xf>
    <xf numFmtId="0" fontId="89" fillId="104" borderId="0" applyNumberFormat="0" applyBorder="0" applyAlignment="0" applyProtection="0">
      <alignment vertical="center"/>
    </xf>
    <xf numFmtId="0" fontId="89" fillId="88" borderId="0" applyNumberFormat="0" applyBorder="0" applyAlignment="0" applyProtection="0">
      <alignment vertical="center"/>
    </xf>
    <xf numFmtId="0" fontId="89" fillId="98" borderId="0" applyNumberFormat="0" applyBorder="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3" fillId="82" borderId="0" applyNumberFormat="0" applyBorder="0" applyAlignment="0" applyProtection="0">
      <alignment vertical="center"/>
    </xf>
    <xf numFmtId="0" fontId="283" fillId="83" borderId="0" applyNumberFormat="0" applyBorder="0" applyAlignment="0" applyProtection="0"/>
    <xf numFmtId="0" fontId="283" fillId="53" borderId="0" applyNumberFormat="0" applyBorder="0" applyAlignment="0" applyProtection="0">
      <alignment vertical="center"/>
    </xf>
    <xf numFmtId="0" fontId="105" fillId="0" borderId="22" applyNumberFormat="0" applyFill="0" applyAlignment="0" applyProtection="0">
      <alignment vertical="center"/>
    </xf>
    <xf numFmtId="0" fontId="284" fillId="0" borderId="22" applyNumberFormat="0" applyFill="0" applyAlignment="0" applyProtection="0"/>
    <xf numFmtId="0" fontId="284" fillId="0" borderId="22" applyNumberFormat="0" applyFill="0" applyAlignment="0" applyProtection="0">
      <alignment vertical="center"/>
    </xf>
    <xf numFmtId="0" fontId="272"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67" fillId="78" borderId="0" applyNumberFormat="0" applyBorder="0" applyAlignment="0" applyProtection="0">
      <alignment vertical="center"/>
    </xf>
    <xf numFmtId="0" fontId="267" fillId="72" borderId="0" applyNumberFormat="0" applyBorder="0" applyAlignment="0" applyProtection="0">
      <alignment vertical="center"/>
    </xf>
    <xf numFmtId="0" fontId="268" fillId="74" borderId="0" applyNumberFormat="0" applyBorder="0" applyAlignment="0" applyProtection="0">
      <alignment vertical="center"/>
    </xf>
    <xf numFmtId="0" fontId="276" fillId="100" borderId="18" applyNumberFormat="0" applyAlignment="0" applyProtection="0">
      <alignment vertical="center"/>
    </xf>
    <xf numFmtId="0" fontId="282" fillId="80" borderId="24" applyNumberFormat="0" applyAlignment="0" applyProtection="0">
      <alignment vertical="center"/>
    </xf>
    <xf numFmtId="0" fontId="268" fillId="76" borderId="0" applyNumberFormat="0" applyBorder="0" applyAlignment="0" applyProtection="0">
      <alignment vertical="center"/>
    </xf>
    <xf numFmtId="0" fontId="279" fillId="0" borderId="0" applyNumberFormat="0" applyFill="0" applyBorder="0" applyAlignment="0" applyProtection="0">
      <alignment vertical="center"/>
    </xf>
    <xf numFmtId="0" fontId="283" fillId="82" borderId="0" applyNumberFormat="0" applyBorder="0" applyAlignment="0" applyProtection="0">
      <alignment vertical="center"/>
    </xf>
    <xf numFmtId="0" fontId="267" fillId="72" borderId="0" applyNumberFormat="0" applyBorder="0" applyAlignment="0" applyProtection="0">
      <alignment vertical="center"/>
    </xf>
    <xf numFmtId="0" fontId="268" fillId="90" borderId="0" applyNumberFormat="0" applyBorder="0" applyAlignment="0" applyProtection="0">
      <alignment vertical="center"/>
    </xf>
    <xf numFmtId="0" fontId="274" fillId="0" borderId="20" applyNumberFormat="0" applyFill="0" applyAlignment="0" applyProtection="0">
      <alignment vertical="center"/>
    </xf>
    <xf numFmtId="0" fontId="277" fillId="0" borderId="25" applyNumberFormat="0" applyFill="0" applyAlignment="0" applyProtection="0">
      <alignment vertical="center"/>
    </xf>
    <xf numFmtId="0" fontId="268" fillId="86" borderId="0" applyNumberFormat="0" applyBorder="0" applyAlignment="0" applyProtection="0">
      <alignment vertical="center"/>
    </xf>
    <xf numFmtId="0" fontId="268" fillId="86" borderId="0" applyNumberFormat="0" applyBorder="0" applyAlignment="0" applyProtection="0">
      <alignment vertical="center"/>
    </xf>
    <xf numFmtId="0" fontId="275" fillId="0" borderId="21" applyNumberFormat="0" applyFill="0" applyAlignment="0" applyProtection="0">
      <alignment vertical="center"/>
    </xf>
    <xf numFmtId="0" fontId="268" fillId="92" borderId="0" applyNumberFormat="0" applyBorder="0" applyAlignment="0" applyProtection="0">
      <alignment vertical="center"/>
    </xf>
    <xf numFmtId="0" fontId="267" fillId="57" borderId="0" applyNumberFormat="0" applyBorder="0" applyAlignment="0" applyProtection="0">
      <alignment vertical="center"/>
    </xf>
    <xf numFmtId="0" fontId="268" fillId="98" borderId="0" applyNumberFormat="0" applyBorder="0" applyAlignment="0" applyProtection="0">
      <alignment vertical="center"/>
    </xf>
    <xf numFmtId="0" fontId="280" fillId="80" borderId="17" applyNumberFormat="0" applyAlignment="0" applyProtection="0">
      <alignment vertical="center"/>
    </xf>
    <xf numFmtId="0" fontId="267" fillId="76" borderId="0" applyNumberFormat="0" applyBorder="0" applyAlignment="0" applyProtection="0">
      <alignment vertical="center"/>
    </xf>
    <xf numFmtId="0" fontId="273" fillId="0" borderId="19" applyNumberFormat="0" applyFill="0" applyAlignment="0" applyProtection="0">
      <alignment vertical="center"/>
    </xf>
    <xf numFmtId="0" fontId="268" fillId="88" borderId="0" applyNumberFormat="0" applyBorder="0" applyAlignment="0" applyProtection="0">
      <alignment vertical="center"/>
    </xf>
    <xf numFmtId="0" fontId="267" fillId="55" borderId="0" applyNumberFormat="0" applyBorder="0" applyAlignment="0" applyProtection="0">
      <alignment vertical="center"/>
    </xf>
    <xf numFmtId="0" fontId="281" fillId="65" borderId="17" applyNumberFormat="0" applyAlignment="0" applyProtection="0">
      <alignment vertical="center"/>
    </xf>
    <xf numFmtId="0" fontId="267" fillId="74" borderId="0" applyNumberFormat="0" applyBorder="0" applyAlignment="0" applyProtection="0">
      <alignment vertical="center"/>
    </xf>
    <xf numFmtId="0" fontId="268" fillId="94" borderId="0" applyNumberFormat="0" applyBorder="0" applyAlignment="0" applyProtection="0">
      <alignment vertical="center"/>
    </xf>
    <xf numFmtId="0" fontId="267" fillId="63" borderId="0" applyNumberFormat="0" applyBorder="0" applyAlignment="0" applyProtection="0">
      <alignment vertical="center"/>
    </xf>
    <xf numFmtId="0" fontId="271" fillId="57" borderId="0" applyNumberFormat="0" applyBorder="0" applyAlignment="0" applyProtection="0">
      <alignment vertical="center"/>
    </xf>
    <xf numFmtId="0" fontId="268" fillId="88" borderId="0" applyNumberFormat="0" applyBorder="0" applyAlignment="0" applyProtection="0">
      <alignment vertical="center"/>
    </xf>
    <xf numFmtId="0" fontId="268" fillId="96" borderId="0" applyNumberFormat="0" applyBorder="0" applyAlignment="0" applyProtection="0">
      <alignment vertical="center"/>
    </xf>
    <xf numFmtId="0" fontId="284" fillId="0" borderId="22" applyNumberFormat="0" applyFill="0" applyAlignment="0" applyProtection="0">
      <alignment vertical="center"/>
    </xf>
    <xf numFmtId="0" fontId="267" fillId="59" borderId="0" applyNumberFormat="0" applyBorder="0" applyAlignment="0" applyProtection="0">
      <alignment vertical="center"/>
    </xf>
    <xf numFmtId="0" fontId="275" fillId="0" borderId="0" applyNumberFormat="0" applyFill="0" applyBorder="0" applyAlignment="0" applyProtection="0">
      <alignment vertical="center"/>
    </xf>
    <xf numFmtId="0" fontId="268" fillId="84" borderId="0" applyNumberFormat="0" applyBorder="0" applyAlignment="0" applyProtection="0">
      <alignment vertical="center"/>
    </xf>
    <xf numFmtId="0" fontId="270" fillId="59" borderId="0" applyNumberFormat="0" applyBorder="0" applyAlignment="0" applyProtection="0">
      <alignment vertical="center"/>
    </xf>
    <xf numFmtId="0" fontId="267" fillId="61" borderId="0" applyNumberFormat="0" applyBorder="0" applyAlignment="0" applyProtection="0">
      <alignment vertical="center"/>
    </xf>
    <xf numFmtId="0" fontId="267" fillId="65" borderId="0" applyNumberFormat="0" applyBorder="0" applyAlignment="0" applyProtection="0">
      <alignment vertical="center"/>
    </xf>
    <xf numFmtId="0" fontId="267" fillId="61" borderId="0" applyNumberFormat="0" applyBorder="0" applyAlignment="0" applyProtection="0">
      <alignment vertical="center"/>
    </xf>
    <xf numFmtId="0" fontId="267" fillId="0" borderId="0"/>
    <xf numFmtId="0" fontId="267" fillId="0" borderId="0"/>
    <xf numFmtId="0" fontId="267" fillId="37" borderId="0" applyNumberFormat="0" applyBorder="0" applyAlignment="0" applyProtection="0">
      <alignment vertical="center"/>
    </xf>
    <xf numFmtId="0" fontId="284" fillId="0" borderId="22" applyNumberFormat="0" applyFill="0" applyAlignment="0" applyProtection="0">
      <alignment vertical="center"/>
    </xf>
    <xf numFmtId="0" fontId="267" fillId="33" borderId="0" applyNumberFormat="0" applyBorder="0" applyAlignment="0" applyProtection="0">
      <alignment vertical="center"/>
    </xf>
    <xf numFmtId="0" fontId="267" fillId="34" borderId="0" applyNumberFormat="0" applyBorder="0" applyAlignment="0" applyProtection="0">
      <alignment vertical="center"/>
    </xf>
    <xf numFmtId="0" fontId="267" fillId="38" borderId="0" applyNumberFormat="0" applyBorder="0" applyAlignment="0" applyProtection="0">
      <alignment vertical="center"/>
    </xf>
    <xf numFmtId="0" fontId="267" fillId="39"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8" fillId="43" borderId="0" applyNumberFormat="0" applyBorder="0" applyAlignment="0" applyProtection="0">
      <alignment vertical="center"/>
    </xf>
    <xf numFmtId="0" fontId="268" fillId="40" borderId="0" applyNumberFormat="0" applyBorder="0" applyAlignment="0" applyProtection="0">
      <alignment vertical="center"/>
    </xf>
    <xf numFmtId="0" fontId="268" fillId="41" borderId="0" applyNumberFormat="0" applyBorder="0" applyAlignment="0" applyProtection="0">
      <alignment vertical="center"/>
    </xf>
    <xf numFmtId="0" fontId="268" fillId="44" borderId="0" applyNumberFormat="0" applyBorder="0" applyAlignment="0" applyProtection="0">
      <alignment vertical="center"/>
    </xf>
    <xf numFmtId="0" fontId="272"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271" fillId="34" borderId="0" applyNumberFormat="0" applyBorder="0" applyAlignment="0" applyProtection="0">
      <alignment vertical="center"/>
    </xf>
    <xf numFmtId="0" fontId="270" fillId="35" borderId="0" applyNumberFormat="0" applyBorder="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76" fillId="52" borderId="18" applyNumberFormat="0" applyAlignment="0" applyProtection="0">
      <alignment vertical="center"/>
    </xf>
    <xf numFmtId="0" fontId="279" fillId="0" borderId="0" applyNumberFormat="0" applyFill="0" applyBorder="0" applyAlignment="0" applyProtection="0">
      <alignment vertical="center"/>
    </xf>
    <xf numFmtId="0" fontId="268" fillId="49"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81" fillId="38" borderId="17" applyNumberFormat="0" applyAlignment="0" applyProtection="0">
      <alignment vertical="center"/>
    </xf>
    <xf numFmtId="0" fontId="267" fillId="42" borderId="0" applyNumberFormat="0" applyBorder="0" applyAlignment="0" applyProtection="0">
      <alignment vertical="center"/>
    </xf>
    <xf numFmtId="0" fontId="274" fillId="0" borderId="20" applyNumberFormat="0" applyFill="0" applyAlignment="0" applyProtection="0">
      <alignment vertical="center"/>
    </xf>
    <xf numFmtId="0" fontId="283" fillId="53" borderId="0" applyNumberFormat="0" applyBorder="0" applyAlignment="0" applyProtection="0">
      <alignment vertical="center"/>
    </xf>
    <xf numFmtId="0" fontId="269" fillId="54" borderId="23" applyNumberFormat="0" applyFont="0" applyAlignment="0" applyProtection="0">
      <alignment vertical="center"/>
    </xf>
    <xf numFmtId="0" fontId="267" fillId="35" borderId="0" applyNumberFormat="0" applyBorder="0" applyAlignment="0" applyProtection="0">
      <alignment vertical="center"/>
    </xf>
    <xf numFmtId="0" fontId="267" fillId="36" borderId="0" applyNumberFormat="0" applyBorder="0" applyAlignment="0" applyProtection="0">
      <alignment vertical="center"/>
    </xf>
    <xf numFmtId="0" fontId="267" fillId="36" borderId="0" applyNumberFormat="0" applyBorder="0" applyAlignment="0" applyProtection="0">
      <alignment vertical="center"/>
    </xf>
    <xf numFmtId="0" fontId="267" fillId="39" borderId="0" applyNumberFormat="0" applyBorder="0" applyAlignment="0" applyProtection="0">
      <alignment vertical="center"/>
    </xf>
    <xf numFmtId="0" fontId="268" fillId="45" borderId="0" applyNumberFormat="0" applyBorder="0" applyAlignment="0" applyProtection="0">
      <alignment vertical="center"/>
    </xf>
    <xf numFmtId="0" fontId="268" fillId="46" borderId="0" applyNumberFormat="0" applyBorder="0" applyAlignment="0" applyProtection="0">
      <alignment vertical="center"/>
    </xf>
    <xf numFmtId="0" fontId="273" fillId="0" borderId="19" applyNumberFormat="0" applyFill="0" applyAlignment="0" applyProtection="0">
      <alignment vertical="center"/>
    </xf>
    <xf numFmtId="0" fontId="275" fillId="0" borderId="21" applyNumberFormat="0" applyFill="0" applyAlignment="0" applyProtection="0">
      <alignment vertical="center"/>
    </xf>
    <xf numFmtId="0" fontId="278" fillId="0" borderId="0" applyNumberFormat="0" applyFill="0" applyBorder="0" applyAlignment="0" applyProtection="0">
      <alignment vertical="center"/>
    </xf>
    <xf numFmtId="0" fontId="268" fillId="47" borderId="0" applyNumberFormat="0" applyBorder="0" applyAlignment="0" applyProtection="0">
      <alignment vertical="center"/>
    </xf>
    <xf numFmtId="0" fontId="268" fillId="48" borderId="0" applyNumberFormat="0" applyBorder="0" applyAlignment="0" applyProtection="0">
      <alignment vertical="center"/>
    </xf>
    <xf numFmtId="0" fontId="268" fillId="50" borderId="0" applyNumberFormat="0" applyBorder="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8" fillId="69" borderId="0"/>
    <xf numFmtId="0" fontId="88" fillId="66" borderId="0"/>
    <xf numFmtId="0" fontId="88" fillId="71" borderId="0"/>
    <xf numFmtId="0" fontId="88" fillId="69" borderId="0"/>
    <xf numFmtId="0" fontId="88" fillId="64" borderId="0"/>
    <xf numFmtId="0" fontId="88" fillId="66" borderId="0"/>
    <xf numFmtId="0" fontId="267" fillId="60" borderId="0"/>
    <xf numFmtId="0" fontId="267" fillId="75" borderId="0"/>
    <xf numFmtId="0" fontId="267" fillId="77" borderId="0"/>
    <xf numFmtId="0" fontId="267" fillId="62" borderId="0"/>
    <xf numFmtId="0" fontId="267" fillId="73" borderId="0"/>
    <xf numFmtId="0" fontId="267" fillId="79" borderId="0"/>
    <xf numFmtId="0" fontId="88" fillId="81" borderId="0"/>
    <xf numFmtId="0" fontId="267" fillId="73" borderId="0"/>
    <xf numFmtId="0" fontId="267" fillId="62" borderId="0"/>
    <xf numFmtId="0" fontId="267" fillId="56" borderId="0"/>
    <xf numFmtId="0" fontId="267" fillId="58" borderId="0"/>
    <xf numFmtId="0" fontId="267" fillId="64" borderId="0"/>
    <xf numFmtId="0" fontId="88" fillId="75" borderId="0"/>
    <xf numFmtId="0" fontId="267" fillId="66" borderId="0"/>
    <xf numFmtId="0" fontId="88" fillId="83" borderId="0"/>
    <xf numFmtId="0" fontId="88" fillId="81" borderId="0"/>
    <xf numFmtId="0" fontId="88" fillId="73" borderId="0"/>
    <xf numFmtId="0" fontId="88" fillId="66" borderId="0"/>
    <xf numFmtId="0" fontId="268" fillId="85" borderId="0"/>
    <xf numFmtId="0" fontId="268" fillId="75" borderId="0"/>
    <xf numFmtId="0" fontId="268" fillId="77" borderId="0"/>
    <xf numFmtId="0" fontId="268" fillId="87" borderId="0"/>
    <xf numFmtId="0" fontId="268" fillId="89" borderId="0"/>
    <xf numFmtId="0" fontId="268" fillId="91" borderId="0"/>
    <xf numFmtId="0" fontId="89" fillId="89" borderId="0"/>
    <xf numFmtId="0" fontId="89" fillId="75" borderId="0"/>
    <xf numFmtId="0" fontId="89" fillId="83" borderId="0"/>
    <xf numFmtId="0" fontId="89" fillId="81" borderId="0"/>
    <xf numFmtId="0" fontId="89" fillId="89" borderId="0"/>
    <xf numFmtId="0" fontId="89" fillId="66" borderId="0"/>
    <xf numFmtId="0" fontId="90" fillId="83" borderId="0"/>
    <xf numFmtId="0" fontId="92" fillId="0" borderId="26"/>
    <xf numFmtId="0" fontId="93" fillId="58" borderId="0"/>
    <xf numFmtId="0" fontId="270" fillId="60" borderId="0"/>
    <xf numFmtId="0" fontId="94" fillId="60" borderId="0"/>
    <xf numFmtId="0" fontId="271" fillId="58" borderId="0"/>
    <xf numFmtId="0" fontId="268" fillId="93" borderId="0"/>
    <xf numFmtId="0" fontId="268" fillId="95" borderId="0"/>
    <xf numFmtId="0" fontId="268" fillId="97" borderId="0"/>
    <xf numFmtId="0" fontId="268" fillId="87" borderId="0"/>
    <xf numFmtId="0" fontId="268" fillId="89" borderId="0"/>
    <xf numFmtId="0" fontId="268" fillId="99" borderId="0"/>
    <xf numFmtId="0" fontId="272" fillId="0" borderId="0"/>
    <xf numFmtId="0" fontId="273" fillId="0" borderId="19"/>
    <xf numFmtId="0" fontId="274" fillId="0" borderId="20"/>
    <xf numFmtId="0" fontId="275" fillId="0" borderId="21"/>
    <xf numFmtId="0" fontId="275" fillId="0" borderId="0"/>
    <xf numFmtId="0" fontId="276" fillId="101" borderId="18"/>
    <xf numFmtId="0" fontId="95" fillId="0" borderId="0"/>
    <xf numFmtId="0" fontId="96" fillId="0" borderId="27"/>
    <xf numFmtId="0" fontId="97" fillId="0" borderId="20"/>
    <xf numFmtId="0" fontId="98" fillId="0" borderId="28"/>
    <xf numFmtId="0" fontId="98" fillId="0" borderId="0"/>
    <xf numFmtId="0" fontId="99" fillId="101" borderId="18"/>
    <xf numFmtId="0" fontId="277" fillId="0" borderId="25"/>
    <xf numFmtId="0" fontId="278" fillId="0" borderId="0"/>
    <xf numFmtId="0" fontId="100" fillId="69" borderId="17"/>
    <xf numFmtId="0" fontId="101" fillId="0" borderId="0"/>
    <xf numFmtId="0" fontId="102" fillId="0" borderId="0"/>
    <xf numFmtId="0" fontId="279" fillId="0" borderId="0"/>
    <xf numFmtId="0" fontId="280" fillId="81" borderId="17"/>
    <xf numFmtId="0" fontId="89" fillId="89" borderId="0"/>
    <xf numFmtId="0" fontId="89" fillId="95" borderId="0"/>
    <xf numFmtId="0" fontId="89" fillId="97" borderId="0"/>
    <xf numFmtId="0" fontId="89" fillId="105" borderId="0"/>
    <xf numFmtId="0" fontId="89" fillId="89" borderId="0"/>
    <xf numFmtId="0" fontId="89" fillId="99" borderId="0"/>
    <xf numFmtId="0" fontId="103" fillId="66" borderId="17"/>
    <xf numFmtId="0" fontId="104" fillId="69" borderId="24"/>
    <xf numFmtId="0" fontId="281" fillId="66" borderId="17"/>
    <xf numFmtId="0" fontId="282" fillId="81" borderId="24"/>
    <xf numFmtId="0" fontId="283" fillId="83" borderId="0"/>
    <xf numFmtId="0" fontId="105" fillId="0" borderId="22"/>
    <xf numFmtId="0" fontId="284" fillId="0" borderId="22"/>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280" fillId="51" borderId="17" applyNumberFormat="0" applyAlignment="0" applyProtection="0">
      <alignment vertical="center"/>
    </xf>
    <xf numFmtId="0" fontId="112" fillId="65" borderId="17" applyNumberFormat="0" applyAlignment="0" applyProtection="0"/>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114" fillId="81" borderId="17" applyNumberFormat="0" applyAlignment="0" applyProtection="0"/>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243" fillId="69" borderId="17"/>
    <xf numFmtId="0" fontId="119" fillId="0" borderId="25" applyNumberFormat="0" applyFill="0" applyAlignment="0" applyProtection="0"/>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54" fillId="0" borderId="25"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59" fillId="51" borderId="24" applyNumberFormat="0" applyAlignment="0" applyProtection="0">
      <alignment vertical="center"/>
    </xf>
    <xf numFmtId="0" fontId="80"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154" fillId="0" borderId="25" applyNumberFormat="0" applyFill="0" applyAlignment="0" applyProtection="0">
      <alignment vertical="center"/>
    </xf>
    <xf numFmtId="0" fontId="100" fillId="68" borderId="17" applyNumberFormat="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126" fillId="51"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205" fillId="0" borderId="25"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0"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9" fontId="30" fillId="0" borderId="0" applyFont="0" applyFill="0" applyBorder="0" applyAlignment="0" applyProtection="0"/>
    <xf numFmtId="0" fontId="2" fillId="0" borderId="0"/>
    <xf numFmtId="0" fontId="2" fillId="32" borderId="16" applyNumberFormat="0" applyFont="0" applyAlignment="0" applyProtection="0"/>
    <xf numFmtId="0" fontId="30" fillId="0" borderId="0"/>
    <xf numFmtId="0" fontId="33"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33" fillId="36"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36" borderId="0" applyNumberFormat="0" applyBorder="0" applyAlignment="0" applyProtection="0"/>
    <xf numFmtId="0" fontId="33" fillId="39" borderId="0" applyNumberFormat="0" applyBorder="0" applyAlignment="0" applyProtection="0"/>
    <xf numFmtId="0" fontId="33" fillId="42" borderId="0" applyNumberFormat="0" applyBorder="0" applyAlignment="0" applyProtection="0"/>
    <xf numFmtId="0" fontId="34" fillId="43"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50" fillId="4" borderId="0" applyNumberFormat="0" applyBorder="0" applyAlignment="0" applyProtection="0"/>
    <xf numFmtId="0" fontId="31" fillId="32" borderId="16" applyNumberFormat="0" applyFont="0" applyAlignment="0" applyProtection="0"/>
    <xf numFmtId="9" fontId="30" fillId="0" borderId="0" applyFont="0" applyFill="0" applyBorder="0" applyAlignment="0" applyProtection="0"/>
    <xf numFmtId="0" fontId="3" fillId="0" borderId="0" applyNumberFormat="0" applyFill="0" applyBorder="0" applyAlignment="0" applyProtection="0"/>
    <xf numFmtId="0" fontId="40" fillId="35" borderId="0" applyNumberFormat="0" applyBorder="0" applyAlignment="0" applyProtection="0"/>
    <xf numFmtId="0" fontId="39" fillId="34" borderId="0" applyNumberFormat="0" applyBorder="0" applyAlignment="0" applyProtection="0"/>
    <xf numFmtId="0" fontId="34" fillId="47"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50" borderId="0" applyNumberFormat="0" applyBorder="0" applyAlignment="0" applyProtection="0"/>
    <xf numFmtId="0" fontId="36" fillId="0" borderId="19" applyNumberFormat="0" applyFill="0" applyAlignment="0" applyProtection="0"/>
    <xf numFmtId="0" fontId="37" fillId="0" borderId="20" applyNumberFormat="0" applyFill="0" applyAlignment="0" applyProtection="0"/>
    <xf numFmtId="0" fontId="38" fillId="0" borderId="21" applyNumberFormat="0" applyFill="0" applyAlignment="0" applyProtection="0"/>
    <xf numFmtId="0" fontId="38" fillId="0" borderId="0" applyNumberFormat="0" applyFill="0" applyBorder="0" applyAlignment="0" applyProtection="0"/>
    <xf numFmtId="0" fontId="43" fillId="52" borderId="18" applyNumberForma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7" fillId="53" borderId="0" applyNumberFormat="0" applyBorder="0" applyAlignment="0" applyProtection="0"/>
    <xf numFmtId="0" fontId="46" fillId="0" borderId="22" applyNumberFormat="0" applyFill="0" applyAlignment="0" applyProtection="0"/>
    <xf numFmtId="0" fontId="68" fillId="0" borderId="0">
      <alignment vertical="center"/>
    </xf>
    <xf numFmtId="0" fontId="30" fillId="0" borderId="0"/>
    <xf numFmtId="0" fontId="30" fillId="0" borderId="0"/>
    <xf numFmtId="9" fontId="30" fillId="0" borderId="0" applyFont="0" applyFill="0" applyBorder="0" applyAlignment="0" applyProtection="0"/>
    <xf numFmtId="0" fontId="73" fillId="0" borderId="0"/>
    <xf numFmtId="0" fontId="51" fillId="0" borderId="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190" fillId="0" borderId="26"/>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235" fillId="0" borderId="26"/>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90"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92"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328" fillId="0" borderId="26"/>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100" fillId="68" borderId="17" applyNumberFormat="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92" fillId="0" borderId="26"/>
    <xf numFmtId="0" fontId="277" fillId="0" borderId="25"/>
    <xf numFmtId="0" fontId="100" fillId="69" borderId="17"/>
    <xf numFmtId="0" fontId="280" fillId="81" borderId="17"/>
    <xf numFmtId="0" fontId="103" fillId="66" borderId="17"/>
    <xf numFmtId="0" fontId="104" fillId="69" borderId="24"/>
    <xf numFmtId="0" fontId="281" fillId="66" borderId="17"/>
    <xf numFmtId="0" fontId="282" fillId="81" borderId="24"/>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314" fillId="0" borderId="26" applyNumberFormat="0" applyFill="0" applyAlignment="0" applyProtection="0">
      <alignment vertical="center"/>
    </xf>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190" fillId="0" borderId="26" applyNumberFormat="0" applyFill="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235" fillId="0" borderId="26"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92" fillId="0" borderId="26" applyNumberFormat="0" applyFill="0" applyAlignment="0" applyProtection="0"/>
    <xf numFmtId="0" fontId="114" fillId="81"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60" fillId="0" borderId="26" applyNumberFormat="0" applyFill="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43" fillId="69"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314" fillId="0" borderId="26"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314" fillId="0" borderId="26" applyNumberFormat="0" applyFill="0" applyAlignment="0" applyProtection="0">
      <alignment vertical="center"/>
    </xf>
    <xf numFmtId="0" fontId="114" fillId="80" borderId="17" applyNumberFormat="0" applyAlignment="0" applyProtection="0"/>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90" fillId="0" borderId="26"/>
    <xf numFmtId="0" fontId="208" fillId="51" borderId="17" applyNumberFormat="0" applyAlignment="0" applyProtection="0">
      <alignment vertical="center"/>
    </xf>
    <xf numFmtId="0" fontId="208" fillId="51" borderId="17" applyNumberFormat="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100" fillId="6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26"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92" fillId="0" borderId="26" applyNumberFormat="0" applyFill="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80" fillId="0" borderId="25" applyNumberFormat="0" applyFill="0" applyAlignment="0" applyProtection="0"/>
    <xf numFmtId="0" fontId="83" fillId="80" borderId="17" applyNumberFormat="0" applyAlignment="0" applyProtection="0">
      <alignment vertical="center"/>
    </xf>
    <xf numFmtId="0" fontId="84" fillId="65" borderId="17" applyNumberFormat="0" applyAlignment="0" applyProtection="0">
      <alignment vertical="center"/>
    </xf>
    <xf numFmtId="0" fontId="85" fillId="80" borderId="24" applyNumberFormat="0" applyAlignment="0" applyProtection="0">
      <alignment vertical="center"/>
    </xf>
    <xf numFmtId="0" fontId="247" fillId="68"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47" fillId="68"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47" fillId="69" borderId="24"/>
    <xf numFmtId="0" fontId="85" fillId="81" borderId="24"/>
    <xf numFmtId="0" fontId="85" fillId="80"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47" fillId="68"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47" fillId="68"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320" fillId="68"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264" fillId="51"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1" borderId="24"/>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159"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100" fillId="68" borderId="17" applyNumberFormat="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92" fillId="0" borderId="26"/>
    <xf numFmtId="0" fontId="277" fillId="0" borderId="25"/>
    <xf numFmtId="0" fontId="100" fillId="69" borderId="17"/>
    <xf numFmtId="0" fontId="280" fillId="81" borderId="17"/>
    <xf numFmtId="0" fontId="103" fillId="66" borderId="17"/>
    <xf numFmtId="0" fontId="104" fillId="69" borderId="24"/>
    <xf numFmtId="0" fontId="281" fillId="66" borderId="17"/>
    <xf numFmtId="0" fontId="282" fillId="81" borderId="24"/>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280" fillId="51"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262"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159" fillId="51" borderId="24" applyNumberFormat="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114" fillId="81" borderId="17" applyNumberFormat="0" applyAlignment="0" applyProtection="0"/>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62" fillId="51" borderId="17"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243" fillId="69" borderId="17"/>
    <xf numFmtId="0" fontId="119" fillId="0" borderId="25" applyNumberFormat="0" applyFill="0" applyAlignment="0" applyProtection="0"/>
    <xf numFmtId="0" fontId="159" fillId="51" borderId="24"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277" fillId="0" borderId="25" applyNumberFormat="0" applyFill="0" applyAlignment="0" applyProtection="0">
      <alignment vertical="center"/>
    </xf>
    <xf numFmtId="0" fontId="340" fillId="69" borderId="24"/>
    <xf numFmtId="0" fontId="159" fillId="81" borderId="24" applyNumberFormat="0" applyAlignment="0" applyProtection="0"/>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159" fillId="51" borderId="24"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59" fillId="51" borderId="24" applyNumberFormat="0" applyAlignment="0" applyProtection="0">
      <alignment vertical="center"/>
    </xf>
    <xf numFmtId="0" fontId="80"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100" fillId="68" borderId="17" applyNumberFormat="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126" fillId="51"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205" fillId="0" borderId="25"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264" fillId="51"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1" borderId="24"/>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340" fillId="68" borderId="24" applyNumberFormat="0" applyAlignment="0" applyProtection="0">
      <alignment vertical="center"/>
    </xf>
    <xf numFmtId="0" fontId="100" fillId="68" borderId="17" applyNumberFormat="0" applyAlignment="0" applyProtection="0">
      <alignment vertical="center"/>
    </xf>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157" fillId="80" borderId="17" applyNumberFormat="0" applyAlignment="0" applyProtection="0">
      <alignment vertical="center"/>
    </xf>
    <xf numFmtId="0" fontId="158" fillId="65" borderId="17"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60" fillId="0" borderId="26" applyNumberFormat="0" applyFill="0" applyAlignment="0" applyProtection="0">
      <alignment vertical="center"/>
    </xf>
    <xf numFmtId="0" fontId="114" fillId="80"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82" fillId="68" borderId="24" applyNumberFormat="0" applyAlignment="0" applyProtection="0">
      <alignment vertical="center"/>
    </xf>
    <xf numFmtId="0" fontId="49" fillId="38" borderId="17" applyNumberFormat="0" applyAlignment="0" applyProtection="0"/>
    <xf numFmtId="0" fontId="215" fillId="54" borderId="23" applyNumberFormat="0" applyFont="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228" fillId="51" borderId="24" applyNumberFormat="0" applyAlignment="0" applyProtection="0">
      <alignment vertical="center"/>
    </xf>
    <xf numFmtId="0" fontId="227" fillId="38" borderId="17" applyNumberFormat="0" applyAlignment="0" applyProtection="0">
      <alignment vertical="center"/>
    </xf>
    <xf numFmtId="0" fontId="182"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03" fillId="65" borderId="17" applyNumberForma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00" fillId="68" borderId="17" applyNumberFormat="0" applyAlignment="0" applyProtection="0">
      <alignment vertical="center"/>
    </xf>
    <xf numFmtId="0" fontId="113" fillId="51" borderId="24" applyNumberFormat="0" applyAlignment="0" applyProtection="0"/>
    <xf numFmtId="0" fontId="114" fillId="81" borderId="17" applyNumberFormat="0" applyAlignment="0" applyProtection="0"/>
    <xf numFmtId="0" fontId="1" fillId="70" borderId="23" applyNumberFormat="0" applyFont="0" applyAlignment="0" applyProtection="0"/>
    <xf numFmtId="0" fontId="197" fillId="54" borderId="23" applyNumberFormat="0" applyFon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5" borderId="17" applyNumberFormat="0" applyAlignment="0" applyProtection="0">
      <alignment vertical="center"/>
    </xf>
    <xf numFmtId="0" fontId="277" fillId="0" borderId="25" applyNumberFormat="0" applyFill="0" applyAlignment="0" applyProtection="0">
      <alignment vertical="center"/>
    </xf>
    <xf numFmtId="0" fontId="48" fillId="51" borderId="24" applyNumberFormat="0" applyAlignment="0" applyProtection="0"/>
    <xf numFmtId="0" fontId="80" fillId="0" borderId="25" applyNumberFormat="0" applyFill="0" applyAlignment="0" applyProtection="0">
      <alignment vertical="center"/>
    </xf>
    <xf numFmtId="0" fontId="1" fillId="71" borderId="23" applyNumberFormat="0" applyAlignment="0" applyProtection="0"/>
    <xf numFmtId="0" fontId="281" fillId="38" borderId="17" applyNumberFormat="0" applyAlignment="0" applyProtection="0">
      <alignment vertical="center"/>
    </xf>
    <xf numFmtId="0" fontId="113" fillId="80" borderId="24" applyNumberFormat="0" applyAlignment="0" applyProtection="0"/>
    <xf numFmtId="0" fontId="104"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80" fillId="0" borderId="25" applyNumberFormat="0" applyFill="0" applyAlignment="0" applyProtection="0">
      <alignment vertical="center"/>
    </xf>
    <xf numFmtId="0" fontId="157" fillId="81" borderId="17" applyNumberFormat="0" applyAlignment="0" applyProtection="0"/>
    <xf numFmtId="0" fontId="159" fillId="81" borderId="24"/>
    <xf numFmtId="0" fontId="336" fillId="68" borderId="17" applyNumberFormat="0" applyAlignment="0" applyProtection="0">
      <alignment vertical="center"/>
    </xf>
    <xf numFmtId="0" fontId="336" fillId="68" borderId="17" applyNumberFormat="0" applyAlignment="0" applyProtection="0">
      <alignment vertical="center"/>
    </xf>
    <xf numFmtId="0" fontId="80" fillId="0" borderId="25"/>
    <xf numFmtId="0" fontId="1" fillId="70" borderId="23" applyNumberFormat="0" applyFont="0" applyAlignment="0" applyProtection="0">
      <alignment vertical="center"/>
    </xf>
    <xf numFmtId="0" fontId="113" fillId="80" borderId="24" applyNumberFormat="0" applyAlignment="0" applyProtection="0"/>
    <xf numFmtId="0" fontId="112" fillId="65" borderId="17" applyNumberFormat="0" applyAlignment="0" applyProtection="0"/>
    <xf numFmtId="0" fontId="113" fillId="81" borderId="24" applyNumberFormat="0" applyAlignment="0" applyProtection="0"/>
    <xf numFmtId="0" fontId="164"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182" fillId="68" borderId="24"/>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51" borderId="24" applyNumberFormat="0" applyAlignment="0" applyProtection="0"/>
    <xf numFmtId="0" fontId="228" fillId="51" borderId="24" applyNumberFormat="0" applyAlignment="0" applyProtection="0">
      <alignment vertical="center"/>
    </xf>
    <xf numFmtId="0" fontId="113" fillId="81"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228" fillId="51" borderId="24" applyNumberFormat="0" applyAlignment="0" applyProtection="0">
      <alignment vertical="center"/>
    </xf>
    <xf numFmtId="0" fontId="228" fillId="51"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03" fillId="65" borderId="17" applyNumberFormat="0" applyAlignment="0" applyProtection="0">
      <alignment vertical="center"/>
    </xf>
    <xf numFmtId="0" fontId="114" fillId="80" borderId="17" applyNumberFormat="0" applyAlignment="0" applyProtection="0"/>
    <xf numFmtId="0" fontId="133" fillId="38" borderId="17" applyNumberFormat="0" applyAlignment="0" applyProtection="0">
      <alignment vertical="center"/>
    </xf>
    <xf numFmtId="0" fontId="112" fillId="65" borderId="17" applyNumberFormat="0" applyAlignment="0" applyProtection="0"/>
    <xf numFmtId="0" fontId="126" fillId="51" borderId="17" applyNumberFormat="0" applyAlignment="0" applyProtection="0">
      <alignment vertical="center"/>
    </xf>
    <xf numFmtId="0" fontId="119" fillId="0" borderId="25" applyNumberFormat="0" applyFill="0" applyAlignment="0" applyProtection="0"/>
    <xf numFmtId="0" fontId="172" fillId="0" borderId="25" applyNumberFormat="0" applyFill="0" applyAlignment="0" applyProtection="0">
      <alignment vertical="center"/>
    </xf>
    <xf numFmtId="0" fontId="80" fillId="0" borderId="25" applyNumberFormat="0" applyFill="0" applyAlignment="0" applyProtection="0">
      <alignment vertical="center"/>
    </xf>
    <xf numFmtId="0" fontId="100" fillId="68" borderId="17" applyNumberFormat="0" applyAlignment="0" applyProtection="0">
      <alignment vertical="center"/>
    </xf>
    <xf numFmtId="0" fontId="340" fillId="68" borderId="24"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263"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94" fillId="65" borderId="17"/>
    <xf numFmtId="0" fontId="133" fillId="38" borderId="17" applyNumberFormat="0" applyAlignment="0" applyProtection="0">
      <alignment vertical="center"/>
    </xf>
    <xf numFmtId="0" fontId="114" fillId="80" borderId="17" applyNumberFormat="0" applyAlignment="0" applyProtection="0"/>
    <xf numFmtId="0" fontId="262" fillId="51" borderId="17" applyNumberFormat="0" applyAlignment="0" applyProtection="0">
      <alignment vertical="center"/>
    </xf>
    <xf numFmtId="0" fontId="133" fillId="38" borderId="17" applyNumberFormat="0" applyAlignment="0" applyProtection="0">
      <alignment vertical="center"/>
    </xf>
    <xf numFmtId="0" fontId="112" fillId="38" borderId="17" applyNumberFormat="0" applyAlignment="0" applyProtection="0"/>
    <xf numFmtId="0" fontId="41" fillId="0" borderId="25" applyNumberFormat="0" applyFill="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316" fillId="68" borderId="17" applyNumberFormat="0" applyAlignment="0" applyProtection="0">
      <alignment vertical="center"/>
    </xf>
    <xf numFmtId="0" fontId="119" fillId="0" borderId="25" applyNumberFormat="0" applyFill="0" applyAlignment="0" applyProtection="0"/>
    <xf numFmtId="0" fontId="194" fillId="65"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92" fillId="0" borderId="26"/>
    <xf numFmtId="0" fontId="277" fillId="0" borderId="25" applyNumberFormat="0" applyFill="0" applyAlignment="0" applyProtection="0">
      <alignment vertical="center"/>
    </xf>
    <xf numFmtId="0" fontId="1" fillId="71" borderId="23" applyNumberFormat="0" applyAlignment="0" applyProtection="0"/>
    <xf numFmtId="0" fontId="100" fillId="69" borderId="17" applyNumberFormat="0" applyAlignment="0" applyProtection="0"/>
    <xf numFmtId="0" fontId="194" fillId="65" borderId="17" applyNumberFormat="0" applyAlignment="0" applyProtection="0">
      <alignment vertical="center"/>
    </xf>
    <xf numFmtId="0" fontId="176" fillId="38" borderId="17" applyNumberFormat="0" applyAlignment="0" applyProtection="0">
      <alignment vertical="center"/>
    </xf>
    <xf numFmtId="0" fontId="210" fillId="51" borderId="24" applyNumberFormat="0" applyAlignment="0" applyProtection="0">
      <alignment vertical="center"/>
    </xf>
    <xf numFmtId="0" fontId="73" fillId="54" borderId="23" applyNumberFormat="0" applyFont="0" applyAlignment="0" applyProtection="0">
      <alignment vertical="center"/>
    </xf>
    <xf numFmtId="0" fontId="114" fillId="80" borderId="17" applyNumberFormat="0" applyAlignment="0" applyProtection="0"/>
    <xf numFmtId="0" fontId="320" fillId="68" borderId="24"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94" fillId="65" borderId="17"/>
    <xf numFmtId="0" fontId="80" fillId="0" borderId="25" applyNumberFormat="0" applyFill="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205" fillId="0" borderId="25" applyNumberFormat="0" applyFill="0" applyAlignment="0" applyProtection="0">
      <alignment vertical="center"/>
    </xf>
    <xf numFmtId="0" fontId="103" fillId="66" borderId="17" applyNumberFormat="0" applyAlignment="0" applyProtection="0"/>
    <xf numFmtId="0" fontId="210" fillId="51" borderId="24" applyNumberFormat="0" applyAlignment="0" applyProtection="0">
      <alignment vertical="center"/>
    </xf>
    <xf numFmtId="0" fontId="277" fillId="0" borderId="25" applyNumberFormat="0" applyFill="0" applyAlignment="0" applyProtection="0">
      <alignment vertical="center"/>
    </xf>
    <xf numFmtId="0" fontId="114" fillId="80" borderId="17" applyNumberFormat="0" applyAlignment="0" applyProtection="0"/>
    <xf numFmtId="0" fontId="1" fillId="70"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75" fillId="51" borderId="17" applyNumberFormat="0" applyAlignment="0" applyProtection="0">
      <alignment vertical="center"/>
    </xf>
    <xf numFmtId="0" fontId="246" fillId="65" borderId="17" applyNumberFormat="0" applyAlignment="0" applyProtection="0">
      <alignment vertical="center"/>
    </xf>
    <xf numFmtId="0" fontId="228" fillId="51" borderId="24" applyNumberForma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alignment vertical="center"/>
    </xf>
    <xf numFmtId="0" fontId="194" fillId="38"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83" fillId="81" borderId="17" applyNumberFormat="0" applyAlignment="0" applyProtection="0"/>
    <xf numFmtId="0" fontId="113" fillId="51" borderId="24" applyNumberFormat="0" applyAlignment="0" applyProtection="0"/>
    <xf numFmtId="0" fontId="104" fillId="67" borderId="24" applyNumberFormat="0" applyAlignment="0" applyProtection="0">
      <alignment vertical="center"/>
    </xf>
    <xf numFmtId="0" fontId="1" fillId="70" borderId="23" applyNumberFormat="0" applyFon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3" fillId="51" borderId="24" applyNumberFormat="0" applyAlignment="0" applyProtection="0"/>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applyNumberFormat="0" applyAlignment="0" applyProtection="0">
      <alignment vertical="center"/>
    </xf>
    <xf numFmtId="0" fontId="177" fillId="51" borderId="24" applyNumberFormat="0" applyAlignment="0" applyProtection="0">
      <alignment vertical="center"/>
    </xf>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85" fillId="80" borderId="24" applyNumberFormat="0" applyAlignment="0" applyProtection="0">
      <alignment vertical="center"/>
    </xf>
    <xf numFmtId="0" fontId="85" fillId="81" borderId="24"/>
    <xf numFmtId="0" fontId="247" fillId="69" borderId="24"/>
    <xf numFmtId="0" fontId="113" fillId="81" borderId="24"/>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82" fillId="68" borderId="24"/>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3" fillId="51"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2" fillId="81" borderId="24"/>
    <xf numFmtId="0" fontId="104" fillId="69" borderId="24"/>
    <xf numFmtId="0" fontId="104" fillId="68"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85" fillId="80"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82" fillId="68" borderId="24"/>
    <xf numFmtId="0" fontId="85"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113" fillId="81" borderId="24"/>
    <xf numFmtId="0" fontId="113" fillId="80" borderId="24" applyNumberFormat="0" applyAlignment="0" applyProtection="0"/>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64" fillId="51" borderId="24" applyNumberFormat="0" applyAlignment="0" applyProtection="0">
      <alignment vertical="center"/>
    </xf>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83" fillId="51" borderId="17"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103" fillId="66" borderId="17" applyNumberFormat="0" applyAlignment="0" applyProtection="0"/>
    <xf numFmtId="0" fontId="112" fillId="65"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194"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38"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46" fillId="65" borderId="17" applyNumberFormat="0" applyAlignment="0" applyProtection="0">
      <alignment vertical="center"/>
    </xf>
    <xf numFmtId="0" fontId="281" fillId="38" borderId="17" applyNumberFormat="0" applyAlignment="0" applyProtection="0">
      <alignment vertical="center"/>
    </xf>
    <xf numFmtId="0" fontId="183" fillId="6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264" fillId="51" borderId="24" applyNumberFormat="0" applyAlignment="0" applyProtection="0">
      <alignment vertical="center"/>
    </xf>
    <xf numFmtId="0" fontId="139"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320" fillId="68" borderId="24" applyNumberFormat="0" applyAlignment="0" applyProtection="0">
      <alignment vertical="center"/>
    </xf>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39" fillId="51" borderId="24" applyNumberFormat="0" applyAlignment="0" applyProtection="0">
      <alignment vertical="center"/>
    </xf>
    <xf numFmtId="0" fontId="182" fillId="68" borderId="24"/>
    <xf numFmtId="0" fontId="182"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113" fillId="81" borderId="24"/>
    <xf numFmtId="0" fontId="282"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1" borderId="24" applyNumberFormat="0" applyAlignment="0" applyProtection="0"/>
    <xf numFmtId="0" fontId="104" fillId="67" borderId="24" applyNumberFormat="0" applyAlignment="0" applyProtection="0">
      <alignment vertical="center"/>
    </xf>
    <xf numFmtId="0" fontId="182" fillId="68"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82"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104" fillId="68"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94" fillId="65" borderId="17" applyNumberFormat="0" applyAlignment="0" applyProtection="0">
      <alignment vertical="center"/>
    </xf>
    <xf numFmtId="0" fontId="281" fillId="38" borderId="17" applyNumberFormat="0" applyAlignment="0" applyProtection="0">
      <alignment vertical="center"/>
    </xf>
    <xf numFmtId="0" fontId="159" fillId="51" borderId="24" applyNumberFormat="0" applyAlignment="0" applyProtection="0">
      <alignment vertical="center"/>
    </xf>
    <xf numFmtId="0" fontId="126" fillId="51" borderId="17" applyNumberFormat="0" applyAlignment="0" applyProtection="0">
      <alignment vertical="center"/>
    </xf>
    <xf numFmtId="0" fontId="49" fillId="38" borderId="17" applyNumberFormat="0" applyAlignment="0" applyProtection="0"/>
    <xf numFmtId="0" fontId="159" fillId="80" borderId="24" applyNumberFormat="0" applyAlignment="0" applyProtection="0">
      <alignment vertical="center"/>
    </xf>
    <xf numFmtId="0" fontId="119" fillId="0" borderId="25" applyNumberFormat="0" applyFill="0" applyAlignment="0" applyProtection="0"/>
    <xf numFmtId="0" fontId="340" fillId="68"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112" fillId="65" borderId="17" applyNumberFormat="0" applyAlignment="0" applyProtection="0"/>
    <xf numFmtId="0" fontId="83" fillId="81"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42" fillId="51"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77" fillId="0" borderId="25"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49" fillId="38" borderId="17" applyNumberFormat="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09" fillId="38" borderId="17" applyNumberFormat="0" applyAlignment="0" applyProtection="0">
      <alignment vertical="center"/>
    </xf>
    <xf numFmtId="0" fontId="112" fillId="66" borderId="17" applyNumberFormat="0" applyAlignment="0" applyProtection="0"/>
    <xf numFmtId="0" fontId="84" fillId="65" borderId="17" applyNumberFormat="0" applyAlignment="0" applyProtection="0">
      <alignment vertical="center"/>
    </xf>
    <xf numFmtId="0" fontId="112" fillId="66" borderId="17"/>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59" fillId="81" borderId="24" applyNumberFormat="0" applyAlignment="0" applyProtection="0"/>
    <xf numFmtId="0" fontId="340" fillId="69" borderId="24"/>
    <xf numFmtId="0" fontId="277" fillId="0" borderId="25" applyNumberFormat="0" applyFill="0" applyAlignment="0" applyProtection="0">
      <alignment vertical="center"/>
    </xf>
    <xf numFmtId="0" fontId="83" fillId="81" borderId="17" applyNumberFormat="0" applyAlignment="0" applyProtection="0"/>
    <xf numFmtId="0" fontId="84" fillId="65" borderId="17" applyNumberFormat="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00" fillId="67" borderId="17" applyNumberFormat="0" applyAlignment="0" applyProtection="0">
      <alignment vertical="center"/>
    </xf>
    <xf numFmtId="0" fontId="114" fillId="80" borderId="17" applyNumberFormat="0" applyAlignment="0" applyProtection="0"/>
    <xf numFmtId="0" fontId="243" fillId="69" borderId="17"/>
    <xf numFmtId="0" fontId="83" fillId="51" borderId="17" applyNumberFormat="0" applyAlignment="0" applyProtection="0">
      <alignment vertical="center"/>
    </xf>
    <xf numFmtId="0" fontId="262" fillId="51" borderId="17" applyNumberFormat="0" applyAlignment="0" applyProtection="0">
      <alignment vertical="center"/>
    </xf>
    <xf numFmtId="0" fontId="100" fillId="6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27" fillId="38" borderId="17" applyNumberFormat="0" applyAlignment="0" applyProtection="0">
      <alignment vertical="center"/>
    </xf>
    <xf numFmtId="0" fontId="277" fillId="0" borderId="25" applyNumberFormat="0" applyFill="0" applyAlignment="0" applyProtection="0">
      <alignment vertical="center"/>
    </xf>
    <xf numFmtId="0" fontId="84" fillId="38" borderId="17" applyNumberFormat="0" applyAlignment="0" applyProtection="0">
      <alignment vertical="center"/>
    </xf>
    <xf numFmtId="0" fontId="114" fillId="81" borderId="17" applyNumberFormat="0" applyAlignment="0" applyProtection="0"/>
    <xf numFmtId="0" fontId="183" fillId="68" borderId="17" applyNumberFormat="0" applyAlignment="0" applyProtection="0">
      <alignment vertical="center"/>
    </xf>
    <xf numFmtId="0" fontId="321" fillId="65" borderId="17" applyNumberFormat="0" applyAlignment="0" applyProtection="0">
      <alignment vertical="center"/>
    </xf>
    <xf numFmtId="0" fontId="223" fillId="0" borderId="25" applyNumberFormat="0" applyFill="0" applyAlignment="0" applyProtection="0">
      <alignment vertical="center"/>
    </xf>
    <xf numFmtId="0" fontId="84"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33" fillId="38" borderId="17" applyNumberFormat="0" applyAlignment="0" applyProtection="0">
      <alignment vertical="center"/>
    </xf>
    <xf numFmtId="0" fontId="183" fillId="68" borderId="17"/>
    <xf numFmtId="0" fontId="114" fillId="80" borderId="17" applyNumberFormat="0" applyAlignment="0" applyProtection="0"/>
    <xf numFmtId="0" fontId="83" fillId="51" borderId="17" applyNumberFormat="0" applyAlignment="0" applyProtection="0">
      <alignment vertical="center"/>
    </xf>
    <xf numFmtId="0" fontId="119" fillId="0" borderId="25"/>
    <xf numFmtId="0" fontId="100" fillId="69"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246" fillId="65" borderId="17" applyNumberFormat="0" applyAlignment="0" applyProtection="0">
      <alignment vertical="center"/>
    </xf>
    <xf numFmtId="0" fontId="321"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262" fillId="51"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08" fillId="51" borderId="17" applyNumberFormat="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205" fillId="0" borderId="25" applyNumberFormat="0" applyFill="0" applyAlignment="0" applyProtection="0">
      <alignment vertical="center"/>
    </xf>
    <xf numFmtId="0" fontId="84" fillId="66" borderId="17" applyNumberFormat="0" applyAlignment="0" applyProtection="0"/>
    <xf numFmtId="0" fontId="175" fillId="51"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8" fillId="51" borderId="17" applyNumberFormat="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62" fillId="51"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1" borderId="24"/>
    <xf numFmtId="0" fontId="281" fillId="65" borderId="17" applyNumberFormat="0" applyAlignment="0" applyProtection="0">
      <alignment vertical="center"/>
    </xf>
    <xf numFmtId="0" fontId="183" fillId="67" borderId="17" applyNumberFormat="0" applyAlignment="0" applyProtection="0">
      <alignment vertical="center"/>
    </xf>
    <xf numFmtId="0" fontId="114" fillId="80" borderId="17" applyNumberFormat="0" applyAlignment="0" applyProtection="0"/>
    <xf numFmtId="0" fontId="194" fillId="65" borderId="17"/>
    <xf numFmtId="0" fontId="209"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80" fillId="0" borderId="25"/>
    <xf numFmtId="0" fontId="42" fillId="51" borderId="17" applyNumberFormat="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26" fillId="51" borderId="17" applyNumberFormat="0" applyAlignment="0" applyProtection="0">
      <alignment vertical="center"/>
    </xf>
    <xf numFmtId="0" fontId="176" fillId="38" borderId="17" applyNumberFormat="0" applyAlignment="0" applyProtection="0">
      <alignment vertical="center"/>
    </xf>
    <xf numFmtId="0" fontId="83" fillId="80" borderId="17" applyNumberFormat="0" applyAlignment="0" applyProtection="0">
      <alignment vertical="center"/>
    </xf>
    <xf numFmtId="0" fontId="112" fillId="66" borderId="17" applyNumberFormat="0" applyAlignment="0" applyProtection="0"/>
    <xf numFmtId="0" fontId="208"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23" fillId="0" borderId="25" applyNumberFormat="0" applyFill="0" applyAlignment="0" applyProtection="0">
      <alignment vertical="center"/>
    </xf>
    <xf numFmtId="0" fontId="183" fillId="67" borderId="17" applyNumberFormat="0" applyAlignment="0" applyProtection="0">
      <alignment vertical="center"/>
    </xf>
    <xf numFmtId="0" fontId="84" fillId="38" borderId="17" applyNumberFormat="0" applyAlignment="0" applyProtection="0">
      <alignment vertical="center"/>
    </xf>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112" fillId="65" borderId="17" applyNumberFormat="0" applyAlignment="0" applyProtection="0"/>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9" fillId="0" borderId="25" applyNumberFormat="0" applyFill="0" applyAlignment="0" applyProtection="0"/>
    <xf numFmtId="0" fontId="183" fillId="68" borderId="17" applyNumberFormat="0" applyAlignment="0" applyProtection="0">
      <alignment vertical="center"/>
    </xf>
    <xf numFmtId="0" fontId="83" fillId="51" borderId="17" applyNumberFormat="0" applyAlignment="0" applyProtection="0">
      <alignment vertical="center"/>
    </xf>
    <xf numFmtId="0" fontId="157" fillId="51" borderId="17" applyNumberFormat="0" applyAlignment="0" applyProtection="0">
      <alignment vertical="center"/>
    </xf>
    <xf numFmtId="0" fontId="175" fillId="51" borderId="17" applyNumberFormat="0" applyAlignment="0" applyProtection="0">
      <alignment vertical="center"/>
    </xf>
    <xf numFmtId="0" fontId="126" fillId="51" borderId="17" applyNumberFormat="0" applyAlignment="0" applyProtection="0">
      <alignment vertical="center"/>
    </xf>
    <xf numFmtId="0" fontId="83" fillId="80"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09" fillId="38" borderId="17" applyNumberFormat="0" applyAlignment="0" applyProtection="0">
      <alignment vertical="center"/>
    </xf>
    <xf numFmtId="0" fontId="226" fillId="51"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4" fillId="80" borderId="17" applyNumberFormat="0" applyAlignment="0" applyProtection="0"/>
    <xf numFmtId="0" fontId="114" fillId="80" borderId="17" applyNumberFormat="0" applyAlignment="0" applyProtection="0"/>
    <xf numFmtId="0" fontId="84" fillId="38" borderId="17" applyNumberFormat="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246" fillId="66" borderId="17"/>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126" fillId="51" borderId="17" applyNumberFormat="0" applyAlignment="0" applyProtection="0">
      <alignment vertical="center"/>
    </xf>
    <xf numFmtId="0" fontId="281" fillId="65" borderId="17" applyNumberFormat="0" applyAlignment="0" applyProtection="0">
      <alignment vertical="center"/>
    </xf>
    <xf numFmtId="0" fontId="2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03" fillId="38" borderId="17" applyNumberFormat="0" applyAlignment="0" applyProtection="0">
      <alignment vertical="center"/>
    </xf>
    <xf numFmtId="0" fontId="209" fillId="38" borderId="17" applyNumberFormat="0" applyAlignment="0" applyProtection="0">
      <alignment vertical="center"/>
    </xf>
    <xf numFmtId="0" fontId="80" fillId="0" borderId="25" applyNumberFormat="0" applyFill="0" applyAlignment="0" applyProtection="0">
      <alignment vertical="center"/>
    </xf>
    <xf numFmtId="0" fontId="183" fillId="68" borderId="17"/>
    <xf numFmtId="0" fontId="280" fillId="51" borderId="17"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158" fillId="38" borderId="17" applyNumberFormat="0" applyAlignment="0" applyProtection="0">
      <alignment vertical="center"/>
    </xf>
    <xf numFmtId="0" fontId="114" fillId="80" borderId="17" applyNumberFormat="0" applyAlignment="0" applyProtection="0"/>
    <xf numFmtId="0" fontId="159" fillId="80" borderId="24" applyNumberFormat="0" applyAlignment="0" applyProtection="0">
      <alignment vertical="center"/>
    </xf>
    <xf numFmtId="0" fontId="183" fillId="68" borderId="17"/>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1" fillId="38" borderId="17" applyNumberFormat="0" applyAlignment="0" applyProtection="0">
      <alignment vertical="center"/>
    </xf>
    <xf numFmtId="0" fontId="208" fillId="51" borderId="17" applyNumberFormat="0" applyAlignment="0" applyProtection="0">
      <alignment vertical="center"/>
    </xf>
    <xf numFmtId="0" fontId="194" fillId="65" borderId="17"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83" fillId="81" borderId="17"/>
    <xf numFmtId="0" fontId="114" fillId="80"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63" fillId="38" borderId="17" applyNumberFormat="0" applyAlignment="0" applyProtection="0">
      <alignment vertical="center"/>
    </xf>
    <xf numFmtId="0" fontId="209" fillId="38" borderId="17" applyNumberFormat="0" applyAlignment="0" applyProtection="0">
      <alignment vertical="center"/>
    </xf>
    <xf numFmtId="0" fontId="183" fillId="68" borderId="17"/>
    <xf numFmtId="0" fontId="159" fillId="81" borderId="24"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0" fillId="51" borderId="17" applyNumberFormat="0" applyAlignment="0" applyProtection="0">
      <alignment vertical="center"/>
    </xf>
    <xf numFmtId="0" fontId="103" fillId="38" borderId="17" applyNumberFormat="0" applyAlignment="0" applyProtection="0">
      <alignment vertical="center"/>
    </xf>
    <xf numFmtId="0" fontId="281" fillId="38" borderId="17" applyNumberFormat="0" applyAlignment="0" applyProtection="0">
      <alignment vertical="center"/>
    </xf>
    <xf numFmtId="0" fontId="280" fillId="80"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14" fillId="51" borderId="17" applyNumberFormat="0" applyAlignment="0" applyProtection="0"/>
    <xf numFmtId="0" fontId="114" fillId="80" borderId="17" applyNumberFormat="0" applyAlignment="0" applyProtection="0"/>
    <xf numFmtId="0" fontId="114" fillId="80" borderId="17" applyNumberFormat="0" applyAlignment="0" applyProtection="0"/>
    <xf numFmtId="0" fontId="100" fillId="69" borderId="17" applyNumberFormat="0" applyAlignment="0" applyProtection="0"/>
    <xf numFmtId="0" fontId="83"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259" fillId="0" borderId="25"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83" fillId="51"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112" fillId="65" borderId="17" applyNumberFormat="0" applyAlignment="0" applyProtection="0"/>
    <xf numFmtId="0" fontId="172" fillId="0" borderId="25" applyNumberFormat="0" applyFill="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27" fillId="38" borderId="17" applyNumberFormat="0" applyAlignment="0" applyProtection="0">
      <alignment vertical="center"/>
    </xf>
    <xf numFmtId="0" fontId="340" fillId="68" borderId="24" applyNumberFormat="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xf numFmtId="0" fontId="92" fillId="0" borderId="26" applyNumberFormat="0" applyFill="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0" fillId="51"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103" fillId="65" borderId="17" applyNumberFormat="0" applyAlignment="0" applyProtection="0">
      <alignment vertical="center"/>
    </xf>
    <xf numFmtId="0" fontId="277" fillId="0" borderId="25"/>
    <xf numFmtId="0" fontId="277" fillId="0" borderId="25" applyNumberFormat="0" applyFill="0" applyAlignment="0" applyProtection="0">
      <alignment vertical="center"/>
    </xf>
    <xf numFmtId="0" fontId="280" fillId="80" borderId="17" applyNumberFormat="0" applyAlignment="0" applyProtection="0">
      <alignment vertical="center"/>
    </xf>
    <xf numFmtId="0" fontId="282" fillId="81" borderId="24"/>
    <xf numFmtId="0" fontId="281" fillId="66" borderId="17"/>
    <xf numFmtId="0" fontId="104" fillId="69" borderId="24"/>
    <xf numFmtId="0" fontId="92" fillId="0" borderId="26" applyNumberFormat="0" applyFill="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xf numFmtId="0" fontId="100" fillId="68" borderId="17" applyNumberFormat="0" applyAlignment="0" applyProtection="0">
      <alignment vertical="center"/>
    </xf>
    <xf numFmtId="0" fontId="280" fillId="81" borderId="17" applyNumberFormat="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0" fillId="51" borderId="17" applyNumberFormat="0" applyAlignment="0" applyProtection="0">
      <alignment vertical="center"/>
    </xf>
    <xf numFmtId="0" fontId="280" fillId="81" borderId="17" applyNumberFormat="0" applyAlignment="0" applyProtection="0"/>
    <xf numFmtId="0" fontId="280" fillId="80" borderId="17" applyNumberFormat="0" applyAlignment="0" applyProtection="0">
      <alignment vertical="center"/>
    </xf>
    <xf numFmtId="0" fontId="277" fillId="0" borderId="25" applyNumberFormat="0" applyFill="0" applyAlignment="0" applyProtection="0"/>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83" fillId="51" borderId="17"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9" fillId="51" borderId="24" applyNumberFormat="0" applyAlignment="0" applyProtection="0">
      <alignment vertical="center"/>
    </xf>
    <xf numFmtId="0" fontId="154" fillId="0" borderId="25" applyNumberFormat="0" applyFill="0" applyAlignment="0" applyProtection="0"/>
    <xf numFmtId="0" fontId="149" fillId="54" borderId="23" applyNumberFormat="0" applyFont="0" applyAlignment="0" applyProtection="0">
      <alignment vertical="center"/>
    </xf>
    <xf numFmtId="0" fontId="339" fillId="65" borderId="17" applyNumberFormat="0" applyAlignment="0" applyProtection="0">
      <alignment vertical="center"/>
    </xf>
    <xf numFmtId="0" fontId="158" fillId="38" borderId="17" applyNumberFormat="0" applyAlignment="0" applyProtection="0">
      <alignment vertical="center"/>
    </xf>
    <xf numFmtId="0" fontId="159" fillId="81" borderId="24" applyNumberFormat="0" applyAlignment="0" applyProtection="0"/>
    <xf numFmtId="0" fontId="149" fillId="54" borderId="23" applyNumberFormat="0" applyFon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xf numFmtId="0" fontId="157" fillId="51" borderId="17" applyNumberFormat="0" applyAlignment="0" applyProtection="0">
      <alignment vertical="center"/>
    </xf>
    <xf numFmtId="0" fontId="157" fillId="80"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7" fillId="51"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57" fillId="80" borderId="17" applyNumberFormat="0" applyAlignment="0" applyProtection="0">
      <alignment vertical="center"/>
    </xf>
    <xf numFmtId="0" fontId="336" fillId="69" borderId="17"/>
    <xf numFmtId="0" fontId="158" fillId="66" borderId="17"/>
    <xf numFmtId="0" fontId="159" fillId="51" borderId="24"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81" borderId="17" applyNumberFormat="0" applyAlignment="0" applyProtection="0"/>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9" fillId="80" borderId="24" applyNumberFormat="0" applyAlignment="0" applyProtection="0">
      <alignment vertical="center"/>
    </xf>
    <xf numFmtId="0" fontId="158" fillId="65" borderId="17" applyNumberFormat="0" applyAlignment="0" applyProtection="0">
      <alignment vertical="center"/>
    </xf>
    <xf numFmtId="0" fontId="340" fillId="68" borderId="24" applyNumberFormat="0" applyAlignment="0" applyProtection="0">
      <alignment vertical="center"/>
    </xf>
    <xf numFmtId="0" fontId="339" fillId="65"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xf numFmtId="0" fontId="149" fillId="54" borderId="23" applyNumberFormat="0" applyFont="0" applyAlignment="0" applyProtection="0">
      <alignment vertical="center"/>
    </xf>
    <xf numFmtId="0" fontId="282" fillId="51" borderId="24" applyNumberFormat="0" applyAlignment="0" applyProtection="0">
      <alignment vertical="center"/>
    </xf>
    <xf numFmtId="0" fontId="182" fillId="68" borderId="24"/>
    <xf numFmtId="0" fontId="113" fillId="81" borderId="24" applyNumberFormat="0" applyAlignment="0" applyProtection="0"/>
    <xf numFmtId="0" fontId="113" fillId="80" borderId="24" applyNumberFormat="0" applyAlignment="0" applyProtection="0"/>
    <xf numFmtId="0" fontId="182" fillId="68"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04" fillId="68" borderId="24" applyNumberFormat="0" applyAlignment="0" applyProtection="0">
      <alignment vertical="center"/>
    </xf>
    <xf numFmtId="0" fontId="182" fillId="68"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320" fillId="68"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82" fillId="68" borderId="24"/>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59" fillId="51"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 fillId="70" borderId="23" applyNumberFormat="0" applyFon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94" fillId="65" borderId="17"/>
    <xf numFmtId="0" fontId="280"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83" fillId="80" borderId="17" applyNumberFormat="0" applyAlignment="0" applyProtection="0">
      <alignment vertical="center"/>
    </xf>
    <xf numFmtId="0" fontId="262" fillId="51" borderId="17" applyNumberFormat="0" applyAlignment="0" applyProtection="0">
      <alignment vertical="center"/>
    </xf>
    <xf numFmtId="0" fontId="103" fillId="65" borderId="17"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 fillId="70" borderId="23" applyNumberFormat="0" applyFont="0" applyAlignment="0" applyProtection="0">
      <alignment vertical="center"/>
    </xf>
    <xf numFmtId="0" fontId="1" fillId="70" borderId="23"/>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51" borderId="24" applyNumberFormat="0" applyAlignment="0" applyProtection="0"/>
    <xf numFmtId="0" fontId="183" fillId="67" borderId="17" applyNumberFormat="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03" fillId="38" borderId="17" applyNumberFormat="0" applyAlignment="0" applyProtection="0">
      <alignment vertical="center"/>
    </xf>
    <xf numFmtId="0" fontId="100"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209" fillId="38"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85" fillId="81" borderId="24" applyNumberFormat="0" applyAlignment="0" applyProtection="0"/>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69" fillId="54" borderId="23" applyNumberFormat="0" applyFont="0" applyAlignment="0" applyProtection="0">
      <alignment vertical="center"/>
    </xf>
    <xf numFmtId="0" fontId="228" fillId="51" borderId="24"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126" fillId="51" borderId="17" applyNumberFormat="0" applyAlignment="0" applyProtection="0">
      <alignment vertical="center"/>
    </xf>
    <xf numFmtId="0" fontId="71" fillId="54" borderId="23" applyNumberFormat="0" applyFont="0" applyAlignment="0" applyProtection="0">
      <alignment vertical="center"/>
    </xf>
    <xf numFmtId="0" fontId="269" fillId="54" borderId="23" applyNumberFormat="0" applyFont="0" applyAlignment="0" applyProtection="0">
      <alignment vertical="center"/>
    </xf>
    <xf numFmtId="0" fontId="183" fillId="68" borderId="17"/>
    <xf numFmtId="0" fontId="277" fillId="0" borderId="25" applyNumberFormat="0" applyFill="0" applyAlignment="0" applyProtection="0">
      <alignment vertical="center"/>
    </xf>
    <xf numFmtId="0" fontId="85" fillId="51" borderId="24" applyNumberFormat="0" applyAlignment="0" applyProtection="0">
      <alignment vertical="center"/>
    </xf>
    <xf numFmtId="0" fontId="205" fillId="0" borderId="25" applyNumberFormat="0" applyFill="0" applyAlignment="0" applyProtection="0">
      <alignment vertical="center"/>
    </xf>
    <xf numFmtId="0" fontId="251" fillId="54" borderId="23" applyNumberFormat="0" applyFont="0" applyAlignment="0" applyProtection="0">
      <alignment vertical="center"/>
    </xf>
    <xf numFmtId="0" fontId="1" fillId="70" borderId="23" applyNumberFormat="0" applyFont="0" applyAlignment="0" applyProtection="0">
      <alignment vertical="center"/>
    </xf>
    <xf numFmtId="0" fontId="83" fillId="81" borderId="17" applyNumberFormat="0" applyAlignment="0" applyProtection="0"/>
    <xf numFmtId="0" fontId="182" fillId="67" borderId="24"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 fillId="54" borderId="23" applyNumberFormat="0" applyFont="0" applyAlignment="0" applyProtection="0"/>
    <xf numFmtId="0" fontId="113" fillId="81" borderId="24" applyNumberFormat="0" applyAlignment="0" applyProtection="0"/>
    <xf numFmtId="0" fontId="1" fillId="71" borderId="23" applyNumberFormat="0" applyAlignment="0" applyProtection="0"/>
    <xf numFmtId="0" fontId="83" fillId="51" borderId="17" applyNumberFormat="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14" fillId="80" borderId="17" applyNumberFormat="0" applyAlignment="0" applyProtection="0"/>
    <xf numFmtId="0" fontId="262"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9" fillId="0" borderId="25" applyNumberFormat="0" applyFill="0" applyAlignment="0" applyProtection="0"/>
    <xf numFmtId="0" fontId="210" fillId="51" borderId="24" applyNumberFormat="0" applyAlignment="0" applyProtection="0">
      <alignment vertical="center"/>
    </xf>
    <xf numFmtId="0" fontId="84" fillId="65" borderId="17" applyNumberFormat="0" applyAlignment="0" applyProtection="0">
      <alignment vertical="center"/>
    </xf>
    <xf numFmtId="0" fontId="104" fillId="69" borderId="24" applyNumberFormat="0" applyAlignment="0" applyProtection="0"/>
    <xf numFmtId="0" fontId="103" fillId="38" borderId="17" applyNumberFormat="0" applyAlignment="0" applyProtection="0">
      <alignment vertical="center"/>
    </xf>
    <xf numFmtId="0" fontId="226" fillId="51" borderId="17" applyNumberFormat="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24" fillId="54" borderId="23" applyNumberFormat="0" applyFont="0" applyAlignment="0" applyProtection="0">
      <alignment vertical="center"/>
    </xf>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00" fillId="67" borderId="17" applyNumberFormat="0" applyAlignment="0" applyProtection="0">
      <alignment vertical="center"/>
    </xf>
    <xf numFmtId="0" fontId="183" fillId="67" borderId="17" applyNumberFormat="0" applyAlignment="0" applyProtection="0">
      <alignment vertical="center"/>
    </xf>
    <xf numFmtId="0" fontId="100" fillId="68"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194" fillId="38" borderId="17" applyNumberFormat="0" applyAlignment="0" applyProtection="0">
      <alignment vertical="center"/>
    </xf>
    <xf numFmtId="0" fontId="177"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85" fillId="80"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82" fillId="68" borderId="24"/>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316" fillId="68" borderId="17"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280" fillId="51" borderId="17" applyNumberFormat="0" applyAlignment="0" applyProtection="0">
      <alignment vertical="center"/>
    </xf>
    <xf numFmtId="0" fontId="112" fillId="38" borderId="17" applyNumberFormat="0" applyAlignment="0" applyProtection="0"/>
    <xf numFmtId="0" fontId="208" fillId="51" borderId="17" applyNumberFormat="0" applyAlignment="0" applyProtection="0">
      <alignment vertical="center"/>
    </xf>
    <xf numFmtId="0" fontId="103" fillId="65" borderId="17"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 fillId="70" borderId="23"/>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4" fillId="38" borderId="17" applyNumberFormat="0" applyAlignment="0" applyProtection="0">
      <alignment vertical="center"/>
    </xf>
    <xf numFmtId="0" fontId="73" fillId="54" borderId="23" applyNumberFormat="0" applyFont="0" applyAlignment="0" applyProtection="0">
      <alignment vertical="center"/>
    </xf>
    <xf numFmtId="0" fontId="113" fillId="51" borderId="24" applyNumberFormat="0" applyAlignment="0" applyProtection="0"/>
    <xf numFmtId="0" fontId="1" fillId="70" borderId="23" applyNumberFormat="0" applyFon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1" borderId="24"/>
    <xf numFmtId="0" fontId="84" fillId="66" borderId="17"/>
    <xf numFmtId="0" fontId="247" fillId="69" borderId="24"/>
    <xf numFmtId="0" fontId="246" fillId="66" borderId="17"/>
    <xf numFmtId="0" fontId="112" fillId="66" borderId="17"/>
    <xf numFmtId="0" fontId="1" fillId="71" borderId="23"/>
    <xf numFmtId="0" fontId="277" fillId="0" borderId="25" applyNumberFormat="0" applyFill="0" applyAlignment="0" applyProtection="0">
      <alignment vertical="center"/>
    </xf>
    <xf numFmtId="0" fontId="85" fillId="51" borderId="24" applyNumberForma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282" fillId="80" borderId="24"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4" fillId="65" borderId="17"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81" fillId="38" borderId="17" applyNumberFormat="0" applyAlignment="0" applyProtection="0">
      <alignment vertical="center"/>
    </xf>
    <xf numFmtId="0" fontId="194" fillId="65" borderId="17"/>
    <xf numFmtId="0" fontId="280" fillId="51" borderId="17" applyNumberFormat="0" applyAlignment="0" applyProtection="0">
      <alignment vertical="center"/>
    </xf>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9" fillId="0" borderId="25" applyNumberFormat="0" applyFill="0" applyAlignment="0" applyProtection="0"/>
    <xf numFmtId="0" fontId="113" fillId="80" borderId="24" applyNumberFormat="0" applyAlignment="0" applyProtection="0"/>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4" fillId="80"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72" fillId="0" borderId="25" applyNumberFormat="0" applyFill="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08"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247" fillId="68" borderId="24" applyNumberFormat="0" applyAlignment="0" applyProtection="0">
      <alignment vertical="center"/>
    </xf>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183" fillId="68" borderId="17"/>
    <xf numFmtId="0" fontId="73" fillId="54" borderId="23" applyNumberFormat="0" applyFon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316" fillId="68" borderId="17" applyNumberFormat="0" applyAlignment="0" applyProtection="0">
      <alignment vertical="center"/>
    </xf>
    <xf numFmtId="0" fontId="84" fillId="65" borderId="17" applyNumberForma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176" fillId="38" borderId="17" applyNumberFormat="0" applyAlignment="0" applyProtection="0">
      <alignment vertical="center"/>
    </xf>
    <xf numFmtId="0" fontId="281"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281" fillId="38" borderId="17" applyNumberFormat="0" applyAlignment="0" applyProtection="0">
      <alignment vertical="center"/>
    </xf>
    <xf numFmtId="0" fontId="84" fillId="38" borderId="17"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175" fillId="51" borderId="17" applyNumberFormat="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26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47" fillId="68" borderId="24" applyNumberFormat="0" applyAlignment="0" applyProtection="0">
      <alignment vertical="center"/>
    </xf>
    <xf numFmtId="0" fontId="42" fillId="51" borderId="17" applyNumberFormat="0" applyAlignment="0" applyProtection="0"/>
    <xf numFmtId="0" fontId="30" fillId="54" borderId="23" applyNumberFormat="0" applyFont="0" applyAlignment="0" applyProtection="0"/>
    <xf numFmtId="0" fontId="158" fillId="65" borderId="17" applyNumberFormat="0" applyAlignment="0" applyProtection="0">
      <alignment vertical="center"/>
    </xf>
    <xf numFmtId="0" fontId="157" fillId="80" borderId="17" applyNumberFormat="0" applyAlignment="0" applyProtection="0">
      <alignment vertical="center"/>
    </xf>
    <xf numFmtId="0" fontId="83" fillId="51" borderId="17" applyNumberFormat="0" applyAlignment="0" applyProtection="0">
      <alignment vertical="center"/>
    </xf>
    <xf numFmtId="0" fontId="340" fillId="68"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42" fillId="51" borderId="17" applyNumberFormat="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7" fillId="51"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83" fillId="67"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57" fillId="51" borderId="17" applyNumberFormat="0" applyAlignment="0" applyProtection="0">
      <alignment vertical="center"/>
    </xf>
    <xf numFmtId="0" fontId="114" fillId="80" borderId="17" applyNumberFormat="0" applyAlignment="0" applyProtection="0"/>
    <xf numFmtId="0" fontId="133" fillId="38" borderId="17" applyNumberFormat="0" applyAlignment="0" applyProtection="0">
      <alignment vertical="center"/>
    </xf>
    <xf numFmtId="0" fontId="100" fillId="69" borderId="17" applyNumberFormat="0" applyAlignment="0" applyProtection="0"/>
    <xf numFmtId="0" fontId="154" fillId="0" borderId="25" applyNumberFormat="0" applyFill="0" applyAlignment="0" applyProtection="0">
      <alignment vertical="center"/>
    </xf>
    <xf numFmtId="0" fontId="159" fillId="51"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32"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84" fillId="65" borderId="17" applyNumberFormat="0" applyAlignment="0" applyProtection="0">
      <alignment vertical="center"/>
    </xf>
    <xf numFmtId="0" fontId="60" fillId="0" borderId="26" applyNumberFormat="0" applyFill="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83" fillId="67" borderId="17" applyNumberFormat="0" applyAlignment="0" applyProtection="0">
      <alignment vertical="center"/>
    </xf>
    <xf numFmtId="0" fontId="84" fillId="38" borderId="17" applyNumberFormat="0" applyAlignment="0" applyProtection="0">
      <alignment vertical="center"/>
    </xf>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83" fillId="68" borderId="17" applyNumberFormat="0" applyAlignment="0" applyProtection="0">
      <alignment vertical="center"/>
    </xf>
    <xf numFmtId="0" fontId="157" fillId="51" borderId="17" applyNumberFormat="0" applyAlignment="0" applyProtection="0">
      <alignment vertical="center"/>
    </xf>
    <xf numFmtId="0" fontId="83" fillId="80" borderId="17" applyNumberFormat="0" applyAlignment="0" applyProtection="0">
      <alignment vertical="center"/>
    </xf>
    <xf numFmtId="0" fontId="194" fillId="65" borderId="17"/>
    <xf numFmtId="0" fontId="83" fillId="80" borderId="17" applyNumberFormat="0" applyAlignment="0" applyProtection="0">
      <alignment vertical="center"/>
    </xf>
    <xf numFmtId="0" fontId="263" fillId="38" borderId="17" applyNumberFormat="0" applyAlignment="0" applyProtection="0">
      <alignment vertical="center"/>
    </xf>
    <xf numFmtId="0" fontId="226" fillId="51" borderId="17" applyNumberFormat="0" applyAlignment="0" applyProtection="0">
      <alignment vertical="center"/>
    </xf>
    <xf numFmtId="0" fontId="175" fillId="51" borderId="17" applyNumberFormat="0" applyAlignment="0" applyProtection="0">
      <alignment vertical="center"/>
    </xf>
    <xf numFmtId="0" fontId="183" fillId="68" borderId="17" applyNumberFormat="0" applyAlignment="0" applyProtection="0">
      <alignment vertical="center"/>
    </xf>
    <xf numFmtId="0" fontId="158" fillId="38"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281" fillId="38" borderId="17"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208" fillId="51" borderId="17" applyNumberFormat="0" applyAlignment="0" applyProtection="0">
      <alignment vertical="center"/>
    </xf>
    <xf numFmtId="0" fontId="100" fillId="67" borderId="17" applyNumberFormat="0" applyAlignment="0" applyProtection="0">
      <alignment vertical="center"/>
    </xf>
    <xf numFmtId="0" fontId="84" fillId="38" borderId="17" applyNumberFormat="0" applyAlignment="0" applyProtection="0">
      <alignment vertical="center"/>
    </xf>
    <xf numFmtId="0" fontId="133"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xf numFmtId="0" fontId="190" fillId="0" borderId="26" applyNumberFormat="0" applyFill="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159" fillId="51" borderId="24" applyNumberFormat="0" applyAlignment="0" applyProtection="0">
      <alignment vertical="center"/>
    </xf>
    <xf numFmtId="0" fontId="84"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83" fillId="51" borderId="17" applyNumberFormat="0" applyAlignment="0" applyProtection="0">
      <alignment vertical="center"/>
    </xf>
    <xf numFmtId="0" fontId="194" fillId="65" borderId="17" applyNumberFormat="0" applyAlignment="0" applyProtection="0">
      <alignment vertical="center"/>
    </xf>
    <xf numFmtId="0" fontId="281" fillId="38"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63" fillId="38" borderId="17" applyNumberFormat="0" applyAlignment="0" applyProtection="0">
      <alignment vertical="center"/>
    </xf>
    <xf numFmtId="0" fontId="226" fillId="51" borderId="17" applyNumberFormat="0" applyAlignment="0" applyProtection="0">
      <alignment vertical="center"/>
    </xf>
    <xf numFmtId="0" fontId="314" fillId="0" borderId="26" applyNumberFormat="0" applyFill="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103" fillId="38" borderId="17" applyNumberFormat="0" applyAlignment="0" applyProtection="0">
      <alignment vertical="center"/>
    </xf>
    <xf numFmtId="0" fontId="281" fillId="38" borderId="17" applyNumberFormat="0" applyAlignment="0" applyProtection="0">
      <alignment vertical="center"/>
    </xf>
    <xf numFmtId="0" fontId="280" fillId="80" borderId="17" applyNumberFormat="0" applyAlignment="0" applyProtection="0">
      <alignment vertical="center"/>
    </xf>
    <xf numFmtId="0" fontId="103" fillId="38" borderId="17" applyNumberFormat="0" applyAlignment="0" applyProtection="0">
      <alignment vertical="center"/>
    </xf>
    <xf numFmtId="0" fontId="158" fillId="3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00" fillId="69" borderId="17" applyNumberFormat="0" applyAlignment="0" applyProtection="0"/>
    <xf numFmtId="0" fontId="41" fillId="0" borderId="25" applyNumberFormat="0" applyFill="0" applyAlignment="0" applyProtection="0"/>
    <xf numFmtId="0" fontId="194" fillId="65" borderId="17"/>
    <xf numFmtId="0" fontId="83" fillId="81"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83" fillId="80" borderId="17" applyNumberFormat="0" applyAlignment="0" applyProtection="0">
      <alignment vertical="center"/>
    </xf>
    <xf numFmtId="0" fontId="41" fillId="0" borderId="25" applyNumberFormat="0" applyFill="0" applyAlignment="0" applyProtection="0"/>
    <xf numFmtId="0" fontId="281" fillId="38" borderId="17" applyNumberFormat="0" applyAlignment="0" applyProtection="0">
      <alignment vertical="center"/>
    </xf>
    <xf numFmtId="0" fontId="158" fillId="38" borderId="17"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49" fillId="38" borderId="17" applyNumberFormat="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xf numFmtId="0" fontId="84" fillId="38" borderId="17"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80"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209" fillId="38" borderId="17" applyNumberFormat="0" applyAlignment="0" applyProtection="0">
      <alignment vertical="center"/>
    </xf>
    <xf numFmtId="0" fontId="103" fillId="66" borderId="17" applyNumberFormat="0" applyAlignment="0" applyProtection="0"/>
    <xf numFmtId="0" fontId="190" fillId="0" borderId="26" applyNumberFormat="0" applyFill="0" applyAlignment="0" applyProtection="0">
      <alignment vertical="center"/>
    </xf>
    <xf numFmtId="0" fontId="114" fillId="80" borderId="17" applyNumberFormat="0" applyAlignment="0" applyProtection="0"/>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xf numFmtId="0" fontId="269" fillId="54" borderId="23" applyNumberFormat="0" applyFont="0" applyAlignment="0" applyProtection="0">
      <alignment vertical="center"/>
    </xf>
    <xf numFmtId="0" fontId="100" fillId="68" borderId="17" applyNumberFormat="0" applyAlignment="0" applyProtection="0">
      <alignment vertical="center"/>
    </xf>
    <xf numFmtId="0" fontId="280" fillId="81" borderId="17" applyNumberFormat="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0" fillId="81" borderId="17" applyNumberFormat="0" applyAlignment="0" applyProtection="0"/>
    <xf numFmtId="0" fontId="277" fillId="0" borderId="25" applyNumberFormat="0" applyFill="0" applyAlignment="0" applyProtection="0"/>
    <xf numFmtId="0" fontId="100" fillId="68" borderId="17" applyNumberFormat="0" applyAlignment="0" applyProtection="0">
      <alignment vertical="center"/>
    </xf>
    <xf numFmtId="0" fontId="280" fillId="51" borderId="17" applyNumberFormat="0" applyAlignment="0" applyProtection="0">
      <alignment vertical="center"/>
    </xf>
    <xf numFmtId="0" fontId="281"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103" fillId="65" borderId="17" applyNumberFormat="0" applyAlignment="0" applyProtection="0">
      <alignment vertical="center"/>
    </xf>
    <xf numFmtId="0" fontId="281" fillId="38" borderId="17" applyNumberFormat="0" applyAlignment="0" applyProtection="0">
      <alignment vertical="center"/>
    </xf>
    <xf numFmtId="0" fontId="267" fillId="54" borderId="23" applyNumberFormat="0" applyFon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6" borderId="17"/>
    <xf numFmtId="0" fontId="103" fillId="66" borderId="17"/>
    <xf numFmtId="0" fontId="282" fillId="51" borderId="24"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1" fillId="65" borderId="17" applyNumberFormat="0" applyAlignment="0" applyProtection="0">
      <alignment vertical="center"/>
    </xf>
    <xf numFmtId="0" fontId="104" fillId="68" borderId="24" applyNumberFormat="0" applyAlignment="0" applyProtection="0">
      <alignment vertical="center"/>
    </xf>
    <xf numFmtId="0" fontId="103" fillId="65" borderId="17" applyNumberFormat="0" applyAlignment="0" applyProtection="0">
      <alignment vertical="center"/>
    </xf>
    <xf numFmtId="0" fontId="280" fillId="51" borderId="17" applyNumberFormat="0" applyAlignment="0" applyProtection="0">
      <alignment vertical="center"/>
    </xf>
    <xf numFmtId="0" fontId="280" fillId="81" borderId="17" applyNumberFormat="0" applyAlignment="0" applyProtection="0"/>
    <xf numFmtId="0" fontId="280" fillId="80" borderId="17" applyNumberFormat="0" applyAlignment="0" applyProtection="0">
      <alignment vertical="center"/>
    </xf>
    <xf numFmtId="0" fontId="100" fillId="68" borderId="17" applyNumberFormat="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xf numFmtId="0" fontId="92" fillId="0" borderId="26" applyNumberFormat="0" applyFill="0" applyAlignment="0" applyProtection="0">
      <alignment vertical="center"/>
    </xf>
    <xf numFmtId="0" fontId="84" fillId="38" borderId="17"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xf numFmtId="0" fontId="340" fillId="68"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7" fillId="81" borderId="17" applyNumberFormat="0" applyAlignment="0" applyProtection="0"/>
    <xf numFmtId="0" fontId="154" fillId="0" borderId="25" applyNumberFormat="0" applyFill="0" applyAlignment="0" applyProtection="0"/>
    <xf numFmtId="0" fontId="336" fillId="68"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340" fillId="68" borderId="24"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9" fillId="51" borderId="24" applyNumberFormat="0" applyAlignment="0" applyProtection="0">
      <alignment vertical="center"/>
    </xf>
    <xf numFmtId="0" fontId="157" fillId="51" borderId="17" applyNumberFormat="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49" fillId="54" borderId="23" applyNumberFormat="0" applyFont="0" applyAlignment="0" applyProtection="0">
      <alignment vertical="center"/>
    </xf>
    <xf numFmtId="0" fontId="158" fillId="38" borderId="17" applyNumberFormat="0" applyAlignment="0" applyProtection="0">
      <alignment vertical="center"/>
    </xf>
    <xf numFmtId="0" fontId="147" fillId="54" borderId="23" applyNumberFormat="0" applyFont="0" applyAlignment="0" applyProtection="0">
      <alignment vertical="center"/>
    </xf>
    <xf numFmtId="0" fontId="154" fillId="0" borderId="25" applyNumberFormat="0" applyFill="0" applyAlignment="0" applyProtection="0">
      <alignment vertical="center"/>
    </xf>
    <xf numFmtId="0" fontId="339" fillId="66" borderId="17"/>
    <xf numFmtId="0" fontId="336" fillId="69" borderId="17"/>
    <xf numFmtId="0" fontId="328" fillId="0" borderId="26"/>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8" fillId="65" borderId="17" applyNumberFormat="0" applyAlignment="0" applyProtection="0">
      <alignment vertical="center"/>
    </xf>
    <xf numFmtId="0" fontId="340" fillId="68" borderId="24"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7" fillId="81" borderId="17" applyNumberFormat="0" applyAlignment="0" applyProtection="0"/>
    <xf numFmtId="0" fontId="157" fillId="80" borderId="17" applyNumberFormat="0" applyAlignment="0" applyProtection="0">
      <alignment vertical="center"/>
    </xf>
    <xf numFmtId="0" fontId="336" fillId="68" borderId="17" applyNumberFormat="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82" fillId="68" borderId="24" applyNumberFormat="0" applyAlignment="0" applyProtection="0">
      <alignment vertical="center"/>
    </xf>
    <xf numFmtId="0" fontId="159" fillId="51" borderId="24" applyNumberFormat="0" applyAlignment="0" applyProtection="0">
      <alignment vertical="center"/>
    </xf>
    <xf numFmtId="0" fontId="113" fillId="51" borderId="24" applyNumberFormat="0" applyAlignment="0" applyProtection="0"/>
    <xf numFmtId="0" fontId="104" fillId="69" borderId="24" applyNumberFormat="0" applyAlignment="0" applyProtection="0"/>
    <xf numFmtId="0" fontId="247" fillId="68"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177" fillId="51" borderId="24" applyNumberFormat="0" applyAlignment="0" applyProtection="0">
      <alignment vertical="center"/>
    </xf>
    <xf numFmtId="0" fontId="320"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13" fillId="81" borderId="24" applyNumberFormat="0" applyAlignment="0" applyProtection="0"/>
    <xf numFmtId="0" fontId="92" fillId="0" borderId="26" applyNumberFormat="0" applyFill="0" applyAlignment="0" applyProtection="0"/>
    <xf numFmtId="0" fontId="209" fillId="38" borderId="17" applyNumberFormat="0" applyAlignment="0" applyProtection="0">
      <alignment vertical="center"/>
    </xf>
    <xf numFmtId="0" fontId="84" fillId="65"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13" fillId="80" borderId="24" applyNumberFormat="0" applyAlignment="0" applyProtection="0"/>
    <xf numFmtId="0" fontId="208" fillId="51" borderId="17" applyNumberFormat="0" applyAlignment="0" applyProtection="0">
      <alignment vertical="center"/>
    </xf>
    <xf numFmtId="0" fontId="91" fillId="54" borderId="23" applyNumberFormat="0" applyFont="0" applyAlignment="0" applyProtection="0">
      <alignment vertical="center"/>
    </xf>
    <xf numFmtId="0" fontId="183" fillId="67" borderId="17" applyNumberFormat="0" applyAlignment="0" applyProtection="0">
      <alignment vertical="center"/>
    </xf>
    <xf numFmtId="0" fontId="73" fillId="54" borderId="23" applyNumberFormat="0" applyFon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103" fillId="65" borderId="17" applyNumberFormat="0" applyAlignment="0" applyProtection="0">
      <alignment vertical="center"/>
    </xf>
    <xf numFmtId="0" fontId="246" fillId="65" borderId="17" applyNumberFormat="0" applyAlignment="0" applyProtection="0">
      <alignment vertical="center"/>
    </xf>
    <xf numFmtId="0" fontId="104" fillId="67" borderId="24"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1" fillId="70" borderId="23"/>
    <xf numFmtId="0" fontId="73" fillId="54"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73" fillId="54" borderId="23" applyNumberFormat="0" applyFont="0" applyAlignment="0" applyProtection="0">
      <alignment vertical="center"/>
    </xf>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69"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1" borderId="24"/>
    <xf numFmtId="0" fontId="84" fillId="66" borderId="17"/>
    <xf numFmtId="0" fontId="80" fillId="0" borderId="25"/>
    <xf numFmtId="0" fontId="235" fillId="0" borderId="26"/>
    <xf numFmtId="0" fontId="1" fillId="71" borderId="23"/>
    <xf numFmtId="0" fontId="119" fillId="0" borderId="25"/>
    <xf numFmtId="0" fontId="113" fillId="81" borderId="24"/>
    <xf numFmtId="0" fontId="1" fillId="71" borderId="23"/>
    <xf numFmtId="0" fontId="112" fillId="66" borderId="17"/>
    <xf numFmtId="0" fontId="114" fillId="81" borderId="17"/>
    <xf numFmtId="0" fontId="277" fillId="0" borderId="25" applyNumberFormat="0" applyFill="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20" fillId="68" borderId="24"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314" fillId="0" borderId="26" applyNumberFormat="0" applyFill="0" applyAlignment="0" applyProtection="0">
      <alignment vertical="center"/>
    </xf>
    <xf numFmtId="0" fontId="280"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94" fillId="65" borderId="17"/>
    <xf numFmtId="0" fontId="280"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9" fillId="51" borderId="24"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83" fillId="51" borderId="17" applyNumberFormat="0" applyAlignment="0" applyProtection="0">
      <alignment vertical="center"/>
    </xf>
    <xf numFmtId="0" fontId="157" fillId="51" borderId="17" applyNumberFormat="0" applyAlignment="0" applyProtection="0">
      <alignment vertical="center"/>
    </xf>
    <xf numFmtId="0" fontId="84" fillId="65" borderId="17" applyNumberFormat="0" applyAlignment="0" applyProtection="0">
      <alignment vertical="center"/>
    </xf>
    <xf numFmtId="0" fontId="182" fillId="68" borderId="24"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51" borderId="24" applyNumberFormat="0" applyAlignment="0" applyProtection="0"/>
    <xf numFmtId="0" fontId="1" fillId="71" borderId="23" applyNumberFormat="0" applyAlignment="0" applyProtection="0"/>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208" fillId="51" borderId="17" applyNumberForma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14" fillId="0" borderId="26" applyNumberFormat="0" applyFill="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4" fillId="65" borderId="17" applyNumberForma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84" fillId="65" borderId="17" applyNumberFormat="0" applyAlignment="0" applyProtection="0">
      <alignment vertical="center"/>
    </xf>
    <xf numFmtId="0" fontId="209" fillId="38" borderId="17" applyNumberFormat="0" applyAlignment="0" applyProtection="0">
      <alignment vertical="center"/>
    </xf>
    <xf numFmtId="0" fontId="176" fillId="38" borderId="17" applyNumberFormat="0" applyAlignment="0" applyProtection="0">
      <alignment vertical="center"/>
    </xf>
    <xf numFmtId="0" fontId="281" fillId="38" borderId="17" applyNumberFormat="0" applyAlignment="0" applyProtection="0">
      <alignment vertical="center"/>
    </xf>
    <xf numFmtId="0" fontId="84" fillId="38" borderId="17"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94" fillId="65" borderId="17"/>
    <xf numFmtId="0" fontId="246" fillId="65" borderId="17"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194" fillId="65"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83" fillId="80"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183" fillId="68" borderId="17"/>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90" fillId="0" borderId="26"/>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30" fillId="54" borderId="23" applyNumberFormat="0" applyFont="0" applyAlignment="0" applyProtection="0"/>
    <xf numFmtId="0" fontId="30" fillId="54" borderId="23" applyNumberFormat="0" applyFont="0" applyAlignment="0" applyProtection="0"/>
    <xf numFmtId="0" fontId="41" fillId="0" borderId="25" applyNumberFormat="0" applyFill="0" applyAlignment="0" applyProtection="0"/>
    <xf numFmtId="0" fontId="48" fillId="51" borderId="24" applyNumberFormat="0" applyAlignment="0" applyProtection="0"/>
    <xf numFmtId="0" fontId="277" fillId="0" borderId="25" applyNumberFormat="0" applyFill="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7" fillId="80"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0" fillId="81" borderId="17"/>
    <xf numFmtId="0" fontId="282" fillId="81" borderId="24" applyNumberFormat="0" applyAlignment="0" applyProtection="0"/>
    <xf numFmtId="0" fontId="112" fillId="65"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58" fillId="38" borderId="17" applyNumberFormat="0" applyAlignment="0" applyProtection="0">
      <alignment vertical="center"/>
    </xf>
    <xf numFmtId="0" fontId="154" fillId="0" borderId="25"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83"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2" fillId="66" borderId="17" applyNumberFormat="0" applyAlignment="0" applyProtection="0"/>
    <xf numFmtId="0" fontId="83" fillId="81" borderId="17"/>
    <xf numFmtId="0" fontId="321" fillId="65" borderId="17" applyNumberFormat="0" applyAlignment="0" applyProtection="0">
      <alignment vertical="center"/>
    </xf>
    <xf numFmtId="0" fontId="1" fillId="70" borderId="23" applyNumberFormat="0" applyFont="0" applyAlignment="0" applyProtection="0">
      <alignment vertical="center"/>
    </xf>
    <xf numFmtId="0" fontId="183" fillId="68" borderId="17"/>
    <xf numFmtId="0" fontId="114" fillId="51" borderId="17" applyNumberFormat="0" applyAlignment="0" applyProtection="0"/>
    <xf numFmtId="0" fontId="112" fillId="65" borderId="17" applyNumberFormat="0" applyAlignment="0" applyProtection="0"/>
    <xf numFmtId="0" fontId="263" fillId="38" borderId="17" applyNumberFormat="0" applyAlignment="0" applyProtection="0">
      <alignment vertical="center"/>
    </xf>
    <xf numFmtId="0" fontId="281" fillId="38" borderId="17" applyNumberForma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2" fillId="65" borderId="17" applyNumberFormat="0" applyAlignment="0" applyProtection="0"/>
    <xf numFmtId="0" fontId="281" fillId="38" borderId="17" applyNumberFormat="0" applyAlignment="0" applyProtection="0">
      <alignment vertical="center"/>
    </xf>
    <xf numFmtId="0" fontId="1" fillId="70" borderId="23" applyNumberFormat="0" applyFont="0" applyAlignment="0" applyProtection="0"/>
    <xf numFmtId="0" fontId="209" fillId="38" borderId="17" applyNumberFormat="0" applyAlignment="0" applyProtection="0">
      <alignment vertical="center"/>
    </xf>
    <xf numFmtId="0" fontId="83" fillId="51" borderId="17" applyNumberForma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49" fillId="54" borderId="23" applyNumberFormat="0" applyFont="0" applyAlignment="0" applyProtection="0">
      <alignment vertical="center"/>
    </xf>
    <xf numFmtId="0" fontId="114" fillId="80" borderId="17" applyNumberFormat="0" applyAlignment="0" applyProtection="0"/>
    <xf numFmtId="0" fontId="183" fillId="68"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84" fillId="65" borderId="17"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04" fillId="68"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81" fillId="66"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03" fillId="66" borderId="17"/>
    <xf numFmtId="0" fontId="281" fillId="38" borderId="17"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243" fillId="68" borderId="17" applyNumberFormat="0" applyAlignment="0" applyProtection="0">
      <alignment vertical="center"/>
    </xf>
    <xf numFmtId="0" fontId="83" fillId="80" borderId="17" applyNumberFormat="0" applyAlignment="0" applyProtection="0">
      <alignment vertical="center"/>
    </xf>
    <xf numFmtId="0" fontId="41" fillId="0" borderId="25" applyNumberFormat="0" applyFill="0" applyAlignment="0" applyProtection="0"/>
    <xf numFmtId="0" fontId="194" fillId="38" borderId="17" applyNumberFormat="0" applyAlignment="0" applyProtection="0">
      <alignment vertical="center"/>
    </xf>
    <xf numFmtId="0" fontId="259" fillId="0" borderId="25" applyNumberFormat="0" applyFill="0" applyAlignment="0" applyProtection="0">
      <alignment vertical="center"/>
    </xf>
    <xf numFmtId="0" fontId="226" fillId="51" borderId="17" applyNumberFormat="0" applyAlignment="0" applyProtection="0">
      <alignment vertical="center"/>
    </xf>
    <xf numFmtId="0" fontId="194" fillId="65"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208" fillId="51" borderId="17" applyNumberFormat="0" applyAlignment="0" applyProtection="0">
      <alignment vertical="center"/>
    </xf>
    <xf numFmtId="0" fontId="159" fillId="51" borderId="24" applyNumberFormat="0" applyAlignment="0" applyProtection="0">
      <alignment vertical="center"/>
    </xf>
    <xf numFmtId="0" fontId="209" fillId="38" borderId="17" applyNumberFormat="0" applyAlignment="0" applyProtection="0">
      <alignment vertical="center"/>
    </xf>
    <xf numFmtId="0" fontId="112" fillId="66" borderId="17" applyNumberFormat="0" applyAlignment="0" applyProtection="0"/>
    <xf numFmtId="0" fontId="114" fillId="81" borderId="17" applyNumberFormat="0" applyAlignment="0" applyProtection="0"/>
    <xf numFmtId="0" fontId="175" fillId="51" borderId="17"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42" fillId="51" borderId="17" applyNumberFormat="0" applyAlignment="0" applyProtection="0"/>
    <xf numFmtId="0" fontId="114" fillId="81" borderId="17" applyNumberFormat="0" applyAlignment="0" applyProtection="0"/>
    <xf numFmtId="0" fontId="158" fillId="65" borderId="17"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04" fillId="69"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82" fillId="68" borderId="24"/>
    <xf numFmtId="0" fontId="113" fillId="80" borderId="24"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04"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113" fillId="80" borderId="24" applyNumberFormat="0" applyAlignment="0" applyProtection="0"/>
    <xf numFmtId="0" fontId="104" fillId="67" borderId="24" applyNumberFormat="0" applyAlignment="0" applyProtection="0">
      <alignment vertical="center"/>
    </xf>
    <xf numFmtId="0" fontId="210" fillId="51"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47" fillId="54" borderId="23" applyNumberFormat="0" applyFont="0" applyAlignment="0" applyProtection="0">
      <alignment vertical="center"/>
    </xf>
    <xf numFmtId="0" fontId="282" fillId="81" borderId="24" applyNumberFormat="0" applyAlignment="0" applyProtection="0"/>
    <xf numFmtId="0" fontId="281" fillId="65" borderId="17" applyNumberFormat="0" applyAlignment="0" applyProtection="0">
      <alignment vertical="center"/>
    </xf>
    <xf numFmtId="0" fontId="60" fillId="0" borderId="26" applyNumberFormat="0" applyFill="0" applyAlignment="0" applyProtection="0">
      <alignment vertical="center"/>
    </xf>
    <xf numFmtId="0" fontId="84" fillId="66" borderId="17"/>
    <xf numFmtId="0" fontId="183" fillId="68" borderId="17"/>
    <xf numFmtId="0" fontId="209" fillId="38"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04" fillId="68"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58" fillId="66" borderId="17" applyNumberFormat="0" applyAlignment="0" applyProtection="0"/>
    <xf numFmtId="0" fontId="280" fillId="80" borderId="17" applyNumberFormat="0" applyAlignment="0" applyProtection="0">
      <alignment vertical="center"/>
    </xf>
    <xf numFmtId="0" fontId="280" fillId="51" borderId="17" applyNumberFormat="0" applyAlignment="0" applyProtection="0">
      <alignment vertical="center"/>
    </xf>
    <xf numFmtId="0" fontId="104" fillId="69" borderId="24"/>
    <xf numFmtId="0" fontId="282" fillId="81" borderId="24"/>
    <xf numFmtId="0" fontId="269" fillId="54" borderId="23" applyNumberFormat="0" applyFont="0" applyAlignment="0" applyProtection="0">
      <alignment vertical="center"/>
    </xf>
    <xf numFmtId="0" fontId="208" fillId="51" borderId="17" applyNumberFormat="0" applyAlignment="0" applyProtection="0">
      <alignment vertical="center"/>
    </xf>
    <xf numFmtId="0" fontId="282" fillId="81" borderId="24" applyNumberFormat="0" applyAlignment="0" applyProtection="0"/>
    <xf numFmtId="0" fontId="42" fillId="51" borderId="17" applyNumberFormat="0" applyAlignment="0" applyProtection="0"/>
    <xf numFmtId="0" fontId="194" fillId="65" borderId="17" applyNumberFormat="0" applyAlignment="0" applyProtection="0">
      <alignment vertical="center"/>
    </xf>
    <xf numFmtId="0" fontId="104" fillId="67" borderId="24" applyNumberFormat="0" applyAlignment="0" applyProtection="0">
      <alignment vertical="center"/>
    </xf>
    <xf numFmtId="0" fontId="85" fillId="80" borderId="24" applyNumberFormat="0" applyAlignment="0" applyProtection="0">
      <alignment vertical="center"/>
    </xf>
    <xf numFmtId="0" fontId="147" fillId="54" borderId="23" applyNumberFormat="0" applyFont="0" applyAlignment="0" applyProtection="0">
      <alignment vertical="center"/>
    </xf>
    <xf numFmtId="0" fontId="282"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49" fillId="54" borderId="23" applyNumberFormat="0" applyFont="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83" fillId="51" borderId="17" applyNumberFormat="0" applyAlignment="0" applyProtection="0">
      <alignment vertical="center"/>
    </xf>
    <xf numFmtId="0" fontId="154" fillId="0" borderId="25" applyNumberFormat="0" applyFill="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316" fillId="6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59" fillId="51" borderId="24" applyNumberFormat="0" applyAlignment="0" applyProtection="0">
      <alignment vertical="center"/>
    </xf>
    <xf numFmtId="0" fontId="114" fillId="80" borderId="17" applyNumberFormat="0" applyAlignment="0" applyProtection="0"/>
    <xf numFmtId="0" fontId="80" fillId="0" borderId="25" applyNumberFormat="0" applyFill="0" applyAlignment="0" applyProtection="0">
      <alignment vertical="center"/>
    </xf>
    <xf numFmtId="0" fontId="158" fillId="38" borderId="17" applyNumberFormat="0" applyAlignment="0" applyProtection="0">
      <alignment vertical="center"/>
    </xf>
    <xf numFmtId="0" fontId="159" fillId="81" borderId="24"/>
    <xf numFmtId="0" fontId="84" fillId="38" borderId="17" applyNumberFormat="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59" fillId="0" borderId="25" applyNumberFormat="0" applyFill="0" applyAlignment="0" applyProtection="0">
      <alignment vertical="center"/>
    </xf>
    <xf numFmtId="0" fontId="209" fillId="38" borderId="17" applyNumberFormat="0" applyAlignment="0" applyProtection="0">
      <alignment vertical="center"/>
    </xf>
    <xf numFmtId="0" fontId="83" fillId="81" borderId="17"/>
    <xf numFmtId="0" fontId="209" fillId="38" borderId="17" applyNumberFormat="0" applyAlignment="0" applyProtection="0">
      <alignment vertical="center"/>
    </xf>
    <xf numFmtId="0" fontId="119" fillId="0" borderId="25" applyNumberFormat="0" applyFill="0" applyAlignment="0" applyProtection="0"/>
    <xf numFmtId="0" fontId="176" fillId="38" borderId="17" applyNumberFormat="0" applyAlignment="0" applyProtection="0">
      <alignment vertical="center"/>
    </xf>
    <xf numFmtId="0" fontId="328" fillId="0" borderId="26" applyNumberFormat="0" applyFill="0" applyAlignment="0" applyProtection="0">
      <alignment vertical="center"/>
    </xf>
    <xf numFmtId="0" fontId="328" fillId="0" borderId="26" applyNumberFormat="0" applyFill="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262" fillId="51" borderId="17" applyNumberFormat="0" applyAlignment="0" applyProtection="0">
      <alignment vertical="center"/>
    </xf>
    <xf numFmtId="0" fontId="316" fillId="68" borderId="17" applyNumberFormat="0" applyAlignment="0" applyProtection="0">
      <alignment vertical="center"/>
    </xf>
    <xf numFmtId="0" fontId="175" fillId="51" borderId="17" applyNumberFormat="0" applyAlignment="0" applyProtection="0">
      <alignment vertical="center"/>
    </xf>
    <xf numFmtId="0" fontId="42" fillId="51"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38" borderId="17" applyNumberFormat="0" applyAlignment="0" applyProtection="0">
      <alignment vertical="center"/>
    </xf>
    <xf numFmtId="0" fontId="154" fillId="0" borderId="25"/>
    <xf numFmtId="0" fontId="157" fillId="81" borderId="17"/>
    <xf numFmtId="0" fontId="154" fillId="0" borderId="25" applyNumberFormat="0" applyFill="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336" fillId="68" borderId="17" applyNumberFormat="0" applyAlignment="0" applyProtection="0">
      <alignment vertical="center"/>
    </xf>
    <xf numFmtId="0" fontId="112" fillId="65" borderId="17" applyNumberFormat="0" applyAlignment="0" applyProtection="0"/>
    <xf numFmtId="0" fontId="209" fillId="38" borderId="17" applyNumberFormat="0" applyAlignment="0" applyProtection="0">
      <alignment vertical="center"/>
    </xf>
    <xf numFmtId="0" fontId="147" fillId="54" borderId="23" applyNumberFormat="0" applyFont="0" applyAlignment="0" applyProtection="0">
      <alignment vertical="center"/>
    </xf>
    <xf numFmtId="0" fontId="159" fillId="81" borderId="24" applyNumberFormat="0" applyAlignment="0" applyProtection="0"/>
    <xf numFmtId="0" fontId="112" fillId="38" borderId="17" applyNumberFormat="0" applyAlignment="0" applyProtection="0"/>
    <xf numFmtId="0" fontId="114" fillId="80" borderId="17" applyNumberFormat="0" applyAlignment="0" applyProtection="0"/>
    <xf numFmtId="0" fontId="246" fillId="66" borderId="17"/>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208" fillId="51" borderId="17" applyNumberFormat="0" applyAlignment="0" applyProtection="0">
      <alignment vertical="center"/>
    </xf>
    <xf numFmtId="0" fontId="84" fillId="38" borderId="17" applyNumberFormat="0" applyAlignment="0" applyProtection="0">
      <alignment vertical="center"/>
    </xf>
    <xf numFmtId="0" fontId="84" fillId="65" borderId="17" applyNumberFormat="0" applyAlignment="0" applyProtection="0">
      <alignment vertical="center"/>
    </xf>
    <xf numFmtId="0" fontId="83"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2" fillId="0" borderId="25" applyNumberFormat="0" applyFill="0" applyAlignment="0" applyProtection="0">
      <alignment vertical="center"/>
    </xf>
    <xf numFmtId="0" fontId="49" fillId="38" borderId="17" applyNumberFormat="0" applyAlignment="0" applyProtection="0"/>
    <xf numFmtId="0" fontId="223" fillId="0" borderId="25" applyNumberFormat="0" applyFill="0" applyAlignment="0" applyProtection="0">
      <alignment vertical="center"/>
    </xf>
    <xf numFmtId="0" fontId="83" fillId="80" borderId="17" applyNumberFormat="0" applyAlignment="0" applyProtection="0">
      <alignment vertical="center"/>
    </xf>
    <xf numFmtId="0" fontId="226" fillId="51" borderId="17" applyNumberFormat="0" applyAlignment="0" applyProtection="0">
      <alignment vertical="center"/>
    </xf>
    <xf numFmtId="0" fontId="100" fillId="67"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69" fillId="54" borderId="23" applyNumberFormat="0" applyFont="0" applyAlignment="0" applyProtection="0">
      <alignment vertical="center"/>
    </xf>
    <xf numFmtId="0" fontId="100" fillId="69" borderId="17"/>
    <xf numFmtId="0" fontId="282" fillId="51" borderId="24" applyNumberFormat="0" applyAlignment="0" applyProtection="0">
      <alignment vertical="center"/>
    </xf>
    <xf numFmtId="0" fontId="267" fillId="54" borderId="23" applyNumberFormat="0" applyFon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48" fillId="51" borderId="24" applyNumberFormat="0" applyAlignment="0" applyProtection="0"/>
    <xf numFmtId="0" fontId="183" fillId="68" borderId="17"/>
    <xf numFmtId="0" fontId="112" fillId="65" borderId="17" applyNumberFormat="0" applyAlignment="0" applyProtection="0"/>
    <xf numFmtId="0" fontId="113" fillId="80" borderId="24"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03" fillId="66" borderId="17" applyNumberFormat="0" applyAlignment="0" applyProtection="0"/>
    <xf numFmtId="0" fontId="282" fillId="51" borderId="24" applyNumberFormat="0" applyAlignment="0" applyProtection="0">
      <alignment vertical="center"/>
    </xf>
    <xf numFmtId="0" fontId="210" fillId="51" borderId="24"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28" fillId="51" borderId="24" applyNumberFormat="0" applyAlignment="0" applyProtection="0">
      <alignment vertical="center"/>
    </xf>
    <xf numFmtId="0" fontId="1" fillId="70" borderId="23" applyNumberFormat="0" applyFont="0" applyAlignment="0" applyProtection="0"/>
    <xf numFmtId="0" fontId="100" fillId="69" borderId="17" applyNumberFormat="0" applyAlignment="0" applyProtection="0"/>
    <xf numFmtId="0" fontId="182" fillId="68" borderId="24" applyNumberFormat="0" applyAlignment="0" applyProtection="0">
      <alignment vertical="center"/>
    </xf>
    <xf numFmtId="0" fontId="182" fillId="67" borderId="24" applyNumberFormat="0" applyAlignment="0" applyProtection="0">
      <alignment vertical="center"/>
    </xf>
    <xf numFmtId="0" fontId="113" fillId="51" borderId="24" applyNumberFormat="0" applyAlignment="0" applyProtection="0"/>
    <xf numFmtId="0" fontId="197" fillId="54" borderId="23" applyNumberFormat="0" applyFont="0" applyAlignment="0" applyProtection="0">
      <alignment vertical="center"/>
    </xf>
    <xf numFmtId="0" fontId="280" fillId="51" borderId="17"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280" fillId="51" borderId="17" applyNumberFormat="0" applyAlignment="0" applyProtection="0">
      <alignment vertical="center"/>
    </xf>
    <xf numFmtId="0" fontId="139" fillId="51" borderId="24" applyNumberFormat="0" applyAlignment="0" applyProtection="0">
      <alignment vertical="center"/>
    </xf>
    <xf numFmtId="0" fontId="209" fillId="38" borderId="17" applyNumberFormat="0" applyAlignment="0" applyProtection="0">
      <alignment vertical="center"/>
    </xf>
    <xf numFmtId="0" fontId="83" fillId="51" borderId="17"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1" borderId="23" applyNumberFormat="0" applyAlignment="0" applyProtection="0"/>
    <xf numFmtId="0" fontId="85"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4" fillId="51" borderId="17" applyNumberFormat="0" applyAlignment="0" applyProtection="0"/>
    <xf numFmtId="0" fontId="114" fillId="51" borderId="17" applyNumberFormat="0" applyAlignment="0" applyProtection="0"/>
    <xf numFmtId="0" fontId="314"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75" fillId="51" borderId="17" applyNumberForma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59" fillId="80" borderId="24" applyNumberFormat="0" applyAlignment="0" applyProtection="0">
      <alignment vertical="center"/>
    </xf>
    <xf numFmtId="0" fontId="205" fillId="0" borderId="25" applyNumberFormat="0" applyFill="0" applyAlignment="0" applyProtection="0">
      <alignment vertical="center"/>
    </xf>
    <xf numFmtId="0" fontId="113" fillId="80" borderId="24" applyNumberFormat="0" applyAlignment="0" applyProtection="0"/>
    <xf numFmtId="0" fontId="112" fillId="65" borderId="17" applyNumberFormat="0" applyAlignment="0" applyProtection="0"/>
    <xf numFmtId="0" fontId="208" fillId="51" borderId="17" applyNumberFormat="0" applyAlignment="0" applyProtection="0">
      <alignment vertical="center"/>
    </xf>
    <xf numFmtId="0" fontId="85" fillId="51" borderId="24" applyNumberFormat="0" applyAlignment="0" applyProtection="0">
      <alignment vertical="center"/>
    </xf>
    <xf numFmtId="0" fontId="104" fillId="69" borderId="24" applyNumberFormat="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183" fillId="67" borderId="17" applyNumberFormat="0" applyAlignment="0" applyProtection="0">
      <alignment vertical="center"/>
    </xf>
    <xf numFmtId="0" fontId="112" fillId="65" borderId="17" applyNumberFormat="0" applyAlignment="0" applyProtection="0"/>
    <xf numFmtId="0" fontId="119" fillId="0" borderId="25"/>
    <xf numFmtId="0" fontId="1" fillId="70" borderId="23" applyNumberFormat="0" applyFont="0" applyAlignment="0" applyProtection="0">
      <alignment vertical="center"/>
    </xf>
    <xf numFmtId="0" fontId="157" fillId="51" borderId="17" applyNumberFormat="0" applyAlignment="0" applyProtection="0">
      <alignment vertical="center"/>
    </xf>
    <xf numFmtId="0" fontId="139" fillId="51" borderId="24"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280" fillId="51" borderId="17" applyNumberFormat="0" applyAlignment="0" applyProtection="0">
      <alignment vertical="center"/>
    </xf>
    <xf numFmtId="0" fontId="113" fillId="80" borderId="24"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215" fillId="54" borderId="23" applyNumberFormat="0" applyFont="0" applyAlignment="0" applyProtection="0">
      <alignment vertical="center"/>
    </xf>
    <xf numFmtId="0" fontId="243" fillId="68" borderId="17" applyNumberForma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247" fillId="68" borderId="24" applyNumberFormat="0" applyAlignment="0" applyProtection="0">
      <alignment vertical="center"/>
    </xf>
    <xf numFmtId="0" fontId="84" fillId="38" borderId="17"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4" fillId="80" borderId="17" applyNumberFormat="0" applyAlignment="0" applyProtection="0"/>
    <xf numFmtId="0" fontId="112" fillId="65" borderId="17"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177" fillId="51" borderId="24" applyNumberFormat="0" applyAlignment="0" applyProtection="0">
      <alignment vertical="center"/>
    </xf>
    <xf numFmtId="0" fontId="320" fillId="68" borderId="24" applyNumberFormat="0" applyAlignment="0" applyProtection="0">
      <alignment vertical="center"/>
    </xf>
    <xf numFmtId="0" fontId="247" fillId="68" borderId="24" applyNumberFormat="0" applyAlignment="0" applyProtection="0">
      <alignment vertical="center"/>
    </xf>
    <xf numFmtId="0" fontId="282" fillId="51" borderId="24" applyNumberFormat="0" applyAlignment="0" applyProtection="0">
      <alignment vertical="center"/>
    </xf>
    <xf numFmtId="0" fontId="104" fillId="67" borderId="24" applyNumberFormat="0" applyAlignment="0" applyProtection="0">
      <alignment vertical="center"/>
    </xf>
    <xf numFmtId="0" fontId="85" fillId="81" borderId="24"/>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177"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1" borderId="24"/>
    <xf numFmtId="0" fontId="282" fillId="51" borderId="24" applyNumberFormat="0" applyAlignment="0" applyProtection="0">
      <alignment vertical="center"/>
    </xf>
    <xf numFmtId="0" fontId="157" fillId="80" borderId="17" applyNumberFormat="0" applyAlignment="0" applyProtection="0">
      <alignment vertical="center"/>
    </xf>
    <xf numFmtId="0" fontId="280" fillId="80" borderId="17" applyNumberFormat="0" applyAlignment="0" applyProtection="0">
      <alignment vertical="center"/>
    </xf>
    <xf numFmtId="0" fontId="49" fillId="38" borderId="17" applyNumberFormat="0" applyAlignment="0" applyProtection="0"/>
    <xf numFmtId="0" fontId="132" fillId="0" borderId="25" applyNumberFormat="0" applyFill="0" applyAlignment="0" applyProtection="0">
      <alignment vertical="center"/>
    </xf>
    <xf numFmtId="0" fontId="176" fillId="38" borderId="17" applyNumberFormat="0" applyAlignment="0" applyProtection="0">
      <alignment vertical="center"/>
    </xf>
    <xf numFmtId="0" fontId="183" fillId="6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4" fillId="81" borderId="17"/>
    <xf numFmtId="0" fontId="80" fillId="0" borderId="25" applyNumberFormat="0" applyFill="0" applyAlignment="0" applyProtection="0"/>
    <xf numFmtId="0" fontId="84" fillId="65" borderId="17"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42" fillId="51" borderId="17" applyNumberFormat="0" applyAlignment="0" applyProtection="0"/>
    <xf numFmtId="0" fontId="277" fillId="0" borderId="25" applyNumberFormat="0" applyFill="0" applyAlignment="0" applyProtection="0">
      <alignment vertical="center"/>
    </xf>
    <xf numFmtId="0" fontId="114" fillId="80" borderId="17" applyNumberFormat="0" applyAlignment="0" applyProtection="0"/>
    <xf numFmtId="0" fontId="194" fillId="65" borderId="17"/>
    <xf numFmtId="0" fontId="41" fillId="0" borderId="25" applyNumberFormat="0" applyFill="0" applyAlignment="0" applyProtection="0"/>
    <xf numFmtId="0" fontId="49" fillId="38" borderId="17" applyNumberFormat="0" applyAlignment="0" applyProtection="0"/>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0" fillId="81" borderId="17"/>
    <xf numFmtId="0" fontId="277" fillId="0" borderId="25" applyNumberFormat="0" applyFill="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10" fillId="51" borderId="24" applyNumberFormat="0" applyAlignment="0" applyProtection="0">
      <alignment vertical="center"/>
    </xf>
    <xf numFmtId="0" fontId="132" fillId="0" borderId="25" applyNumberFormat="0" applyFill="0" applyAlignment="0" applyProtection="0">
      <alignment vertical="center"/>
    </xf>
    <xf numFmtId="0" fontId="100" fillId="69" borderId="17" applyNumberFormat="0" applyAlignment="0" applyProtection="0"/>
    <xf numFmtId="0" fontId="1" fillId="70" borderId="23" applyNumberFormat="0" applyFont="0" applyAlignment="0" applyProtection="0">
      <alignment vertical="center"/>
    </xf>
    <xf numFmtId="0" fontId="172" fillId="0" borderId="25" applyNumberFormat="0" applyFill="0" applyAlignment="0" applyProtection="0">
      <alignment vertical="center"/>
    </xf>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83" fillId="80" borderId="17" applyNumberFormat="0" applyAlignment="0" applyProtection="0">
      <alignment vertical="center"/>
    </xf>
    <xf numFmtId="0" fontId="227" fillId="38" borderId="17" applyNumberFormat="0" applyAlignment="0" applyProtection="0">
      <alignment vertical="center"/>
    </xf>
    <xf numFmtId="0" fontId="1" fillId="70" borderId="23" applyNumberFormat="0" applyFont="0" applyAlignment="0" applyProtection="0"/>
    <xf numFmtId="0" fontId="281" fillId="38"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280" fillId="80" borderId="17" applyNumberFormat="0" applyAlignment="0" applyProtection="0">
      <alignment vertical="center"/>
    </xf>
    <xf numFmtId="0" fontId="243" fillId="69" borderId="17"/>
    <xf numFmtId="0" fontId="114" fillId="80" borderId="17" applyNumberFormat="0" applyAlignment="0" applyProtection="0"/>
    <xf numFmtId="0" fontId="205" fillId="0" borderId="25" applyNumberFormat="0" applyFill="0" applyAlignment="0" applyProtection="0">
      <alignment vertical="center"/>
    </xf>
    <xf numFmtId="0" fontId="112" fillId="65" borderId="17" applyNumberFormat="0" applyAlignment="0" applyProtection="0"/>
    <xf numFmtId="0" fontId="103" fillId="66" borderId="17" applyNumberFormat="0" applyAlignment="0" applyProtection="0"/>
    <xf numFmtId="0" fontId="114" fillId="80" borderId="17" applyNumberFormat="0" applyAlignment="0" applyProtection="0"/>
    <xf numFmtId="0" fontId="114" fillId="80" borderId="17" applyNumberFormat="0" applyAlignment="0" applyProtection="0"/>
    <xf numFmtId="0" fontId="281" fillId="65" borderId="17" applyNumberFormat="0" applyAlignment="0" applyProtection="0">
      <alignment vertical="center"/>
    </xf>
    <xf numFmtId="0" fontId="114" fillId="81" borderId="17"/>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83" fillId="68" borderId="17"/>
    <xf numFmtId="0" fontId="281" fillId="38" borderId="17" applyNumberFormat="0" applyAlignment="0" applyProtection="0">
      <alignment vertical="center"/>
    </xf>
    <xf numFmtId="0" fontId="277" fillId="0" borderId="25"/>
    <xf numFmtId="0" fontId="100" fillId="68" borderId="17" applyNumberFormat="0" applyAlignment="0" applyProtection="0">
      <alignment vertical="center"/>
    </xf>
    <xf numFmtId="0" fontId="280" fillId="51" borderId="17" applyNumberFormat="0" applyAlignment="0" applyProtection="0">
      <alignment vertical="center"/>
    </xf>
    <xf numFmtId="0" fontId="149" fillId="54" borderId="23" applyNumberFormat="0" applyFont="0" applyAlignment="0" applyProtection="0">
      <alignment vertical="center"/>
    </xf>
    <xf numFmtId="0" fontId="157" fillId="81" borderId="17" applyNumberFormat="0" applyAlignment="0" applyProtection="0"/>
    <xf numFmtId="0" fontId="339" fillId="65" borderId="17" applyNumberFormat="0" applyAlignment="0" applyProtection="0">
      <alignment vertical="center"/>
    </xf>
    <xf numFmtId="0" fontId="158" fillId="66" borderId="17"/>
    <xf numFmtId="0" fontId="336" fillId="68" borderId="17" applyNumberFormat="0" applyAlignment="0" applyProtection="0">
      <alignment vertical="center"/>
    </xf>
    <xf numFmtId="0" fontId="157" fillId="51" borderId="17" applyNumberFormat="0" applyAlignment="0" applyProtection="0">
      <alignment vertical="center"/>
    </xf>
    <xf numFmtId="0" fontId="182" fillId="68" borderId="24"/>
    <xf numFmtId="0" fontId="85" fillId="51" borderId="24" applyNumberFormat="0" applyAlignment="0" applyProtection="0">
      <alignment vertical="center"/>
    </xf>
    <xf numFmtId="0" fontId="280" fillId="51" borderId="17" applyNumberFormat="0" applyAlignment="0" applyProtection="0">
      <alignment vertical="center"/>
    </xf>
    <xf numFmtId="0" fontId="1" fillId="70" borderId="23" applyNumberFormat="0" applyFont="0" applyAlignment="0" applyProtection="0"/>
    <xf numFmtId="0" fontId="210" fillId="51" borderId="24" applyNumberFormat="0" applyAlignment="0" applyProtection="0">
      <alignment vertical="center"/>
    </xf>
    <xf numFmtId="0" fontId="1" fillId="70" borderId="23" applyNumberFormat="0" applyFont="0" applyAlignment="0" applyProtection="0"/>
    <xf numFmtId="0" fontId="80" fillId="0" borderId="25" applyNumberFormat="0" applyFill="0" applyAlignment="0" applyProtection="0">
      <alignment vertical="center"/>
    </xf>
    <xf numFmtId="0" fontId="177" fillId="51" borderId="24" applyNumberFormat="0" applyAlignment="0" applyProtection="0">
      <alignment vertical="center"/>
    </xf>
    <xf numFmtId="0" fontId="48" fillId="51" borderId="24" applyNumberFormat="0" applyAlignment="0" applyProtection="0"/>
    <xf numFmtId="0" fontId="281" fillId="65"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281"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280" fillId="51" borderId="17" applyNumberFormat="0" applyAlignment="0" applyProtection="0">
      <alignment vertical="center"/>
    </xf>
    <xf numFmtId="0" fontId="83" fillId="80" borderId="17" applyNumberFormat="0" applyAlignment="0" applyProtection="0">
      <alignment vertical="center"/>
    </xf>
    <xf numFmtId="0" fontId="104" fillId="68" borderId="24" applyNumberFormat="0" applyAlignment="0" applyProtection="0">
      <alignment vertical="center"/>
    </xf>
    <xf numFmtId="0" fontId="113" fillId="80" borderId="24" applyNumberFormat="0" applyAlignment="0" applyProtection="0"/>
    <xf numFmtId="0" fontId="182" fillId="68" borderId="24"/>
    <xf numFmtId="0" fontId="177" fillId="51" borderId="24" applyNumberFormat="0" applyAlignment="0" applyProtection="0">
      <alignment vertical="center"/>
    </xf>
    <xf numFmtId="0" fontId="113" fillId="51" borderId="24" applyNumberFormat="0" applyAlignment="0" applyProtection="0"/>
    <xf numFmtId="0" fontId="282" fillId="81" borderId="24" applyNumberFormat="0" applyAlignment="0" applyProtection="0"/>
    <xf numFmtId="0" fontId="157" fillId="80" borderId="17" applyNumberFormat="0" applyAlignment="0" applyProtection="0">
      <alignment vertical="center"/>
    </xf>
    <xf numFmtId="0" fontId="340" fillId="68" borderId="24" applyNumberFormat="0" applyAlignment="0" applyProtection="0">
      <alignment vertical="center"/>
    </xf>
    <xf numFmtId="0" fontId="158" fillId="38" borderId="17"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alignment vertical="center"/>
    </xf>
    <xf numFmtId="0" fontId="182" fillId="68" borderId="24"/>
    <xf numFmtId="0" fontId="133" fillId="38" borderId="17" applyNumberFormat="0" applyAlignment="0" applyProtection="0">
      <alignment vertical="center"/>
    </xf>
    <xf numFmtId="0" fontId="83" fillId="80"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58" fillId="65" borderId="17" applyNumberFormat="0" applyAlignment="0" applyProtection="0">
      <alignment vertical="center"/>
    </xf>
    <xf numFmtId="0" fontId="157" fillId="51" borderId="17" applyNumberFormat="0" applyAlignment="0" applyProtection="0">
      <alignment vertical="center"/>
    </xf>
    <xf numFmtId="0" fontId="1" fillId="71" borderId="23" applyNumberFormat="0" applyAlignment="0" applyProtection="0"/>
    <xf numFmtId="0" fontId="103" fillId="65" borderId="17" applyNumberFormat="0" applyAlignment="0" applyProtection="0">
      <alignment vertical="center"/>
    </xf>
    <xf numFmtId="0" fontId="85" fillId="51" borderId="24" applyNumberFormat="0" applyAlignment="0" applyProtection="0">
      <alignment vertical="center"/>
    </xf>
    <xf numFmtId="0" fontId="243" fillId="68" borderId="17" applyNumberFormat="0" applyAlignment="0" applyProtection="0">
      <alignment vertical="center"/>
    </xf>
    <xf numFmtId="0" fontId="41" fillId="0" borderId="25" applyNumberFormat="0" applyFill="0" applyAlignment="0" applyProtection="0"/>
    <xf numFmtId="0" fontId="126" fillId="51"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49" fillId="38" borderId="17" applyNumberFormat="0" applyAlignment="0" applyProtection="0"/>
    <xf numFmtId="0" fontId="235" fillId="0" borderId="26" applyNumberFormat="0" applyFill="0" applyAlignment="0" applyProtection="0">
      <alignment vertical="center"/>
    </xf>
    <xf numFmtId="0" fontId="114" fillId="80" borderId="17" applyNumberFormat="0" applyAlignment="0" applyProtection="0"/>
    <xf numFmtId="0" fontId="282" fillId="80" borderId="24" applyNumberFormat="0" applyAlignment="0" applyProtection="0">
      <alignment vertical="center"/>
    </xf>
    <xf numFmtId="0" fontId="210" fillId="51" borderId="24" applyNumberFormat="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112" fillId="65" borderId="17" applyNumberFormat="0" applyAlignment="0" applyProtection="0"/>
    <xf numFmtId="0" fontId="41" fillId="0" borderId="25" applyNumberFormat="0" applyFill="0" applyAlignment="0" applyProtection="0"/>
    <xf numFmtId="0" fontId="48" fillId="51" borderId="24" applyNumberFormat="0" applyAlignment="0" applyProtection="0"/>
    <xf numFmtId="0" fontId="85" fillId="81" borderId="24" applyNumberFormat="0" applyAlignment="0" applyProtection="0"/>
    <xf numFmtId="0" fontId="1" fillId="70" borderId="23" applyNumberFormat="0" applyFont="0" applyAlignment="0" applyProtection="0">
      <alignment vertical="center"/>
    </xf>
    <xf numFmtId="0" fontId="247" fillId="69" borderId="24"/>
    <xf numFmtId="0" fontId="280" fillId="51"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2" fillId="65" borderId="17" applyNumberFormat="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alignment vertical="center"/>
    </xf>
    <xf numFmtId="0" fontId="183" fillId="67" borderId="17"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83" fillId="68" borderId="17"/>
    <xf numFmtId="0" fontId="281" fillId="65" borderId="17" applyNumberFormat="0" applyAlignment="0" applyProtection="0">
      <alignment vertical="center"/>
    </xf>
    <xf numFmtId="0" fontId="85" fillId="80" borderId="24"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0" fillId="80" borderId="17" applyNumberFormat="0" applyAlignment="0" applyProtection="0">
      <alignment vertical="center"/>
    </xf>
    <xf numFmtId="0" fontId="119" fillId="0" borderId="25" applyNumberFormat="0" applyFill="0" applyAlignment="0" applyProtection="0"/>
    <xf numFmtId="0" fontId="157" fillId="51" borderId="17" applyNumberFormat="0" applyAlignment="0" applyProtection="0">
      <alignment vertical="center"/>
    </xf>
    <xf numFmtId="0" fontId="1" fillId="70" borderId="23" applyNumberFormat="0" applyFont="0" applyAlignment="0" applyProtection="0"/>
    <xf numFmtId="0" fontId="172"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262" fillId="51" borderId="17" applyNumberFormat="0" applyAlignment="0" applyProtection="0">
      <alignment vertical="center"/>
    </xf>
    <xf numFmtId="0" fontId="210" fillId="51" borderId="24" applyNumberFormat="0" applyAlignment="0" applyProtection="0">
      <alignment vertical="center"/>
    </xf>
    <xf numFmtId="0" fontId="84" fillId="65" borderId="17" applyNumberFormat="0" applyAlignment="0" applyProtection="0">
      <alignment vertical="center"/>
    </xf>
    <xf numFmtId="0" fontId="100" fillId="68" borderId="17" applyNumberFormat="0" applyAlignment="0" applyProtection="0">
      <alignment vertical="center"/>
    </xf>
    <xf numFmtId="0" fontId="85" fillId="51" borderId="24" applyNumberFormat="0" applyAlignment="0" applyProtection="0">
      <alignment vertical="center"/>
    </xf>
    <xf numFmtId="0" fontId="92" fillId="0" borderId="26" applyNumberFormat="0" applyFill="0" applyAlignment="0" applyProtection="0"/>
    <xf numFmtId="0" fontId="48" fillId="51" borderId="24"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xf numFmtId="0" fontId="282" fillId="51" borderId="24" applyNumberFormat="0" applyAlignment="0" applyProtection="0">
      <alignment vertical="center"/>
    </xf>
    <xf numFmtId="0" fontId="340" fillId="68" borderId="24" applyNumberFormat="0" applyAlignment="0" applyProtection="0">
      <alignment vertical="center"/>
    </xf>
    <xf numFmtId="0" fontId="182" fillId="68"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71" fillId="54" borderId="23" applyNumberFormat="0" applyFont="0" applyAlignment="0" applyProtection="0">
      <alignment vertical="center"/>
    </xf>
    <xf numFmtId="0" fontId="246" fillId="66" borderId="17"/>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2" fillId="65" borderId="17" applyNumberFormat="0" applyAlignment="0" applyProtection="0"/>
    <xf numFmtId="0" fontId="83" fillId="80" borderId="17"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100" fillId="69" borderId="17" applyNumberFormat="0" applyAlignment="0" applyProtection="0"/>
    <xf numFmtId="0" fontId="176" fillId="38" borderId="17" applyNumberFormat="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320" fillId="68"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104" fillId="68" borderId="24" applyNumberFormat="0" applyAlignment="0" applyProtection="0">
      <alignment vertical="center"/>
    </xf>
    <xf numFmtId="0" fontId="119" fillId="0" borderId="25" applyNumberFormat="0" applyFill="0" applyAlignment="0" applyProtection="0"/>
    <xf numFmtId="0" fontId="246" fillId="65"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05" fillId="0" borderId="25" applyNumberFormat="0" applyFill="0" applyAlignment="0" applyProtection="0">
      <alignment vertical="center"/>
    </xf>
    <xf numFmtId="0" fontId="114" fillId="51" borderId="17" applyNumberFormat="0" applyAlignment="0" applyProtection="0"/>
    <xf numFmtId="0" fontId="177" fillId="51" borderId="24" applyNumberFormat="0" applyAlignment="0" applyProtection="0">
      <alignment vertical="center"/>
    </xf>
    <xf numFmtId="0" fontId="83" fillId="51" borderId="17" applyNumberFormat="0" applyAlignment="0" applyProtection="0">
      <alignment vertical="center"/>
    </xf>
    <xf numFmtId="0" fontId="336" fillId="68" borderId="17" applyNumberFormat="0" applyAlignment="0" applyProtection="0">
      <alignment vertical="center"/>
    </xf>
    <xf numFmtId="0" fontId="340" fillId="69" borderId="24"/>
    <xf numFmtId="0" fontId="339" fillId="65" borderId="17" applyNumberFormat="0" applyAlignment="0" applyProtection="0">
      <alignment vertical="center"/>
    </xf>
    <xf numFmtId="0" fontId="147" fillId="54" borderId="23" applyNumberFormat="0" applyFont="0" applyAlignment="0" applyProtection="0">
      <alignment vertical="center"/>
    </xf>
    <xf numFmtId="0" fontId="113" fillId="80" borderId="24" applyNumberFormat="0" applyAlignment="0" applyProtection="0"/>
    <xf numFmtId="0" fontId="280" fillId="51" borderId="17" applyNumberFormat="0" applyAlignment="0" applyProtection="0">
      <alignment vertical="center"/>
    </xf>
    <xf numFmtId="0" fontId="113" fillId="80" borderId="24" applyNumberFormat="0" applyAlignment="0" applyProtection="0"/>
    <xf numFmtId="0" fontId="321" fillId="65" borderId="17" applyNumberFormat="0" applyAlignment="0" applyProtection="0">
      <alignment vertical="center"/>
    </xf>
    <xf numFmtId="0" fontId="104" fillId="67" borderId="24" applyNumberFormat="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113" fillId="80" borderId="24" applyNumberFormat="0" applyAlignment="0" applyProtection="0"/>
    <xf numFmtId="0" fontId="264" fillId="51" borderId="24" applyNumberFormat="0" applyAlignment="0" applyProtection="0">
      <alignment vertical="center"/>
    </xf>
    <xf numFmtId="0" fontId="320" fillId="68" borderId="24" applyNumberFormat="0" applyAlignment="0" applyProtection="0">
      <alignment vertical="center"/>
    </xf>
    <xf numFmtId="0" fontId="119" fillId="0" borderId="25"/>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3" fillId="80" borderId="24" applyNumberFormat="0" applyAlignment="0" applyProtection="0"/>
    <xf numFmtId="0" fontId="1" fillId="70" borderId="23" applyNumberFormat="0" applyFont="0" applyAlignment="0" applyProtection="0">
      <alignment vertical="center"/>
    </xf>
    <xf numFmtId="0" fontId="80" fillId="0" borderId="25" applyNumberFormat="0" applyFill="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00" fillId="68" borderId="17" applyNumberFormat="0" applyAlignment="0" applyProtection="0">
      <alignment vertical="center"/>
    </xf>
    <xf numFmtId="0" fontId="83" fillId="51"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xf numFmtId="0" fontId="328" fillId="0" borderId="26" applyNumberFormat="0" applyFill="0" applyAlignment="0" applyProtection="0">
      <alignment vertical="center"/>
    </xf>
    <xf numFmtId="0" fontId="132"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59" fillId="80" borderId="24" applyNumberFormat="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1" borderId="24"/>
    <xf numFmtId="0" fontId="83" fillId="51" borderId="17" applyNumberFormat="0" applyAlignment="0" applyProtection="0">
      <alignment vertical="center"/>
    </xf>
    <xf numFmtId="0" fontId="119" fillId="0" borderId="25" applyNumberFormat="0" applyFill="0" applyAlignment="0" applyProtection="0"/>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4" fillId="66" borderId="17" applyNumberFormat="0" applyAlignment="0" applyProtection="0"/>
    <xf numFmtId="0" fontId="83" fillId="51" borderId="17"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13" fillId="81" borderId="24" applyNumberFormat="0" applyAlignment="0" applyProtection="0"/>
    <xf numFmtId="0" fontId="85" fillId="51" borderId="24" applyNumberFormat="0" applyAlignment="0" applyProtection="0">
      <alignment vertical="center"/>
    </xf>
    <xf numFmtId="0" fontId="85" fillId="81" borderId="24" applyNumberFormat="0" applyAlignment="0" applyProtection="0"/>
    <xf numFmtId="0" fontId="113" fillId="80" borderId="24" applyNumberFormat="0" applyAlignment="0" applyProtection="0"/>
    <xf numFmtId="0" fontId="182" fillId="68" borderId="24"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247" fillId="69" borderId="24"/>
    <xf numFmtId="0" fontId="113" fillId="80" borderId="24" applyNumberFormat="0" applyAlignment="0" applyProtection="0"/>
    <xf numFmtId="0" fontId="113" fillId="81" borderId="24" applyNumberFormat="0" applyAlignment="0" applyProtection="0"/>
    <xf numFmtId="0" fontId="85" fillId="51" borderId="24" applyNumberFormat="0" applyAlignment="0" applyProtection="0">
      <alignment vertical="center"/>
    </xf>
    <xf numFmtId="0" fontId="85" fillId="8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282" fillId="81" borderId="24" applyNumberFormat="0" applyAlignment="0" applyProtection="0"/>
    <xf numFmtId="0" fontId="104" fillId="69" borderId="24"/>
    <xf numFmtId="0" fontId="282" fillId="80" borderId="24" applyNumberFormat="0" applyAlignment="0" applyProtection="0">
      <alignment vertical="center"/>
    </xf>
    <xf numFmtId="0" fontId="112" fillId="65" borderId="17" applyNumberFormat="0" applyAlignment="0" applyProtection="0"/>
    <xf numFmtId="0" fontId="281" fillId="65" borderId="17" applyNumberFormat="0" applyAlignment="0" applyProtection="0">
      <alignment vertical="center"/>
    </xf>
    <xf numFmtId="0" fontId="80" fillId="0" borderId="25" applyNumberFormat="0" applyFill="0" applyAlignment="0" applyProtection="0">
      <alignment vertical="center"/>
    </xf>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00" fillId="67" borderId="17" applyNumberFormat="0" applyAlignment="0" applyProtection="0">
      <alignment vertical="center"/>
    </xf>
    <xf numFmtId="0" fontId="84" fillId="3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84" fillId="66" borderId="17"/>
    <xf numFmtId="0" fontId="112" fillId="65"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0" borderId="17" applyNumberFormat="0" applyAlignment="0" applyProtection="0"/>
    <xf numFmtId="0" fontId="83" fillId="81" borderId="17" applyNumberFormat="0" applyAlignment="0" applyProtection="0"/>
    <xf numFmtId="0" fontId="281" fillId="3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1" borderId="17" applyNumberFormat="0" applyAlignment="0" applyProtection="0"/>
    <xf numFmtId="0" fontId="281" fillId="66" borderId="17" applyNumberFormat="0" applyAlignment="0" applyProtection="0"/>
    <xf numFmtId="0" fontId="282" fillId="81" borderId="24" applyNumberFormat="0" applyAlignment="0" applyProtection="0"/>
    <xf numFmtId="0" fontId="100" fillId="69" borderId="17"/>
    <xf numFmtId="0" fontId="282" fillId="80"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83" fillId="68"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177" fillId="51" borderId="24"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264" fillId="51" borderId="24" applyNumberFormat="0" applyAlignment="0" applyProtection="0">
      <alignment vertical="center"/>
    </xf>
    <xf numFmtId="0" fontId="1" fillId="71" borderId="23" applyNumberFormat="0" applyAlignment="0" applyProtection="0"/>
    <xf numFmtId="0" fontId="243" fillId="68" borderId="17" applyNumberFormat="0" applyAlignment="0" applyProtection="0">
      <alignment vertical="center"/>
    </xf>
    <xf numFmtId="0" fontId="277" fillId="0" borderId="25" applyNumberFormat="0" applyFill="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4" fillId="65" borderId="17" applyNumberFormat="0" applyAlignment="0" applyProtection="0">
      <alignment vertical="center"/>
    </xf>
    <xf numFmtId="0" fontId="176" fillId="38" borderId="17"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14" fillId="80" borderId="17" applyNumberFormat="0" applyAlignment="0" applyProtection="0"/>
    <xf numFmtId="0" fontId="85" fillId="81" borderId="24" applyNumberFormat="0" applyAlignment="0" applyProtection="0"/>
    <xf numFmtId="0" fontId="1" fillId="70" borderId="23" applyNumberFormat="0" applyFont="0" applyAlignment="0" applyProtection="0"/>
    <xf numFmtId="0" fontId="114" fillId="81"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1" fillId="71" borderId="23"/>
    <xf numFmtId="0" fontId="114" fillId="80" borderId="17" applyNumberFormat="0" applyAlignment="0" applyProtection="0"/>
    <xf numFmtId="0" fontId="205" fillId="0" borderId="25" applyNumberFormat="0" applyFill="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14" fillId="81" borderId="17" applyNumberFormat="0" applyAlignment="0" applyProtection="0"/>
    <xf numFmtId="0" fontId="114" fillId="51" borderId="17" applyNumberFormat="0" applyAlignment="0" applyProtection="0"/>
    <xf numFmtId="0" fontId="112" fillId="65" borderId="17" applyNumberFormat="0" applyAlignment="0" applyProtection="0"/>
    <xf numFmtId="0" fontId="84" fillId="38" borderId="17" applyNumberFormat="0" applyAlignment="0" applyProtection="0">
      <alignment vertical="center"/>
    </xf>
    <xf numFmtId="0" fontId="183" fillId="68"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81" borderId="24" applyNumberFormat="0" applyAlignment="0" applyProtection="0"/>
    <xf numFmtId="0" fontId="269" fillId="54" borderId="23" applyNumberFormat="0" applyFont="0" applyAlignment="0" applyProtection="0">
      <alignment vertical="center"/>
    </xf>
    <xf numFmtId="0" fontId="92" fillId="0" borderId="26"/>
    <xf numFmtId="0" fontId="280" fillId="81" borderId="17" applyNumberFormat="0" applyAlignment="0" applyProtection="0"/>
    <xf numFmtId="0" fontId="277" fillId="0" borderId="25" applyNumberFormat="0" applyFill="0" applyAlignment="0" applyProtection="0">
      <alignment vertical="center"/>
    </xf>
    <xf numFmtId="0" fontId="157" fillId="51" borderId="17" applyNumberFormat="0" applyAlignment="0" applyProtection="0">
      <alignment vertical="center"/>
    </xf>
    <xf numFmtId="0" fontId="339" fillId="65" borderId="17" applyNumberFormat="0" applyAlignment="0" applyProtection="0">
      <alignment vertical="center"/>
    </xf>
    <xf numFmtId="0" fontId="158" fillId="38" borderId="17" applyNumberFormat="0" applyAlignment="0" applyProtection="0">
      <alignment vertical="center"/>
    </xf>
    <xf numFmtId="0" fontId="340" fillId="69" borderId="24"/>
    <xf numFmtId="0" fontId="157" fillId="81" borderId="17" applyNumberFormat="0" applyAlignment="0" applyProtection="0"/>
    <xf numFmtId="0" fontId="154" fillId="0" borderId="25" applyNumberFormat="0" applyFill="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83" fillId="81" borderId="17" applyNumberFormat="0" applyAlignment="0" applyProtection="0"/>
    <xf numFmtId="0" fontId="104" fillId="68" borderId="24" applyNumberFormat="0" applyAlignment="0" applyProtection="0">
      <alignment vertical="center"/>
    </xf>
    <xf numFmtId="0" fontId="182" fillId="67" borderId="24" applyNumberForma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208" fillId="51" borderId="17" applyNumberFormat="0" applyAlignment="0" applyProtection="0">
      <alignment vertical="center"/>
    </xf>
    <xf numFmtId="0" fontId="157" fillId="51" borderId="17" applyNumberFormat="0" applyAlignment="0" applyProtection="0">
      <alignment vertical="center"/>
    </xf>
    <xf numFmtId="0" fontId="42" fillId="51" borderId="17" applyNumberFormat="0" applyAlignment="0" applyProtection="0"/>
    <xf numFmtId="0" fontId="85" fillId="81" borderId="24" applyNumberForma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58" fillId="66" borderId="17" applyNumberFormat="0" applyAlignment="0" applyProtection="0"/>
    <xf numFmtId="0" fontId="49" fillId="38" borderId="17" applyNumberFormat="0" applyAlignment="0" applyProtection="0"/>
    <xf numFmtId="0" fontId="104" fillId="69" borderId="24" applyNumberFormat="0" applyAlignment="0" applyProtection="0"/>
    <xf numFmtId="0" fontId="281" fillId="65" borderId="17" applyNumberForma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04" fillId="67" borderId="24" applyNumberFormat="0" applyAlignment="0" applyProtection="0">
      <alignment vertical="center"/>
    </xf>
    <xf numFmtId="0" fontId="282" fillId="51" borderId="24" applyNumberFormat="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209" fillId="38" borderId="17" applyNumberFormat="0" applyAlignment="0" applyProtection="0">
      <alignment vertical="center"/>
    </xf>
    <xf numFmtId="0" fontId="85" fillId="80"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208" fillId="51" borderId="17" applyNumberFormat="0" applyAlignment="0" applyProtection="0">
      <alignment vertical="center"/>
    </xf>
    <xf numFmtId="0" fontId="85" fillId="80" borderId="24" applyNumberFormat="0" applyAlignment="0" applyProtection="0">
      <alignment vertical="center"/>
    </xf>
    <xf numFmtId="0" fontId="48" fillId="51" borderId="24" applyNumberFormat="0" applyAlignment="0" applyProtection="0"/>
    <xf numFmtId="0" fontId="210" fillId="51" borderId="24" applyNumberFormat="0" applyAlignment="0" applyProtection="0">
      <alignment vertical="center"/>
    </xf>
    <xf numFmtId="0" fontId="1" fillId="70" borderId="23" applyNumberFormat="0" applyFont="0" applyAlignment="0" applyProtection="0">
      <alignment vertical="center"/>
    </xf>
    <xf numFmtId="0" fontId="41" fillId="0" borderId="25" applyNumberFormat="0" applyFill="0" applyAlignment="0" applyProtection="0"/>
    <xf numFmtId="0" fontId="113" fillId="80" borderId="24" applyNumberFormat="0" applyAlignment="0" applyProtection="0"/>
    <xf numFmtId="0" fontId="282" fillId="51" borderId="24" applyNumberFormat="0" applyAlignment="0" applyProtection="0">
      <alignment vertical="center"/>
    </xf>
    <xf numFmtId="0" fontId="159" fillId="51" borderId="24" applyNumberFormat="0" applyAlignment="0" applyProtection="0">
      <alignment vertical="center"/>
    </xf>
    <xf numFmtId="0" fontId="208" fillId="51" borderId="17" applyNumberFormat="0" applyAlignment="0" applyProtection="0">
      <alignment vertical="center"/>
    </xf>
    <xf numFmtId="0" fontId="49" fillId="38" borderId="17" applyNumberFormat="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42" fillId="51"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85" fillId="80" borderId="24" applyNumberFormat="0" applyAlignment="0" applyProtection="0">
      <alignment vertical="center"/>
    </xf>
    <xf numFmtId="0" fontId="85"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77" fillId="51" borderId="24" applyNumberFormat="0" applyAlignment="0" applyProtection="0">
      <alignment vertical="center"/>
    </xf>
    <xf numFmtId="0" fontId="84" fillId="66" borderId="17" applyNumberFormat="0" applyAlignment="0" applyProtection="0"/>
    <xf numFmtId="0" fontId="157" fillId="51" borderId="17" applyNumberFormat="0" applyAlignment="0" applyProtection="0">
      <alignment vertical="center"/>
    </xf>
    <xf numFmtId="0" fontId="30" fillId="54" borderId="23" applyNumberFormat="0" applyFont="0" applyAlignment="0" applyProtection="0"/>
    <xf numFmtId="0" fontId="85" fillId="51" borderId="24" applyNumberFormat="0" applyAlignment="0" applyProtection="0">
      <alignment vertical="center"/>
    </xf>
    <xf numFmtId="0" fontId="1" fillId="70" borderId="23" applyNumberFormat="0" applyFont="0" applyAlignment="0" applyProtection="0"/>
    <xf numFmtId="0" fontId="183" fillId="68" borderId="17"/>
    <xf numFmtId="0" fontId="83" fillId="81" borderId="17"/>
    <xf numFmtId="0" fontId="83" fillId="51"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4" fillId="80" borderId="17" applyNumberFormat="0" applyAlignment="0" applyProtection="0"/>
    <xf numFmtId="0" fontId="1" fillId="70" borderId="23"/>
    <xf numFmtId="0" fontId="100" fillId="68" borderId="17" applyNumberFormat="0" applyAlignment="0" applyProtection="0">
      <alignment vertical="center"/>
    </xf>
    <xf numFmtId="0" fontId="84" fillId="66" borderId="17"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316" fillId="68" borderId="17" applyNumberFormat="0" applyAlignment="0" applyProtection="0">
      <alignment vertical="center"/>
    </xf>
    <xf numFmtId="0" fontId="177" fillId="51" borderId="24" applyNumberFormat="0" applyAlignment="0" applyProtection="0">
      <alignment vertical="center"/>
    </xf>
    <xf numFmtId="0" fontId="83" fillId="51" borderId="17" applyNumberFormat="0" applyAlignment="0" applyProtection="0">
      <alignment vertical="center"/>
    </xf>
    <xf numFmtId="0" fontId="158"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2" fillId="66"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243" fillId="69" borderId="17"/>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4" fillId="80" borderId="17" applyNumberFormat="0" applyAlignment="0" applyProtection="0"/>
    <xf numFmtId="0" fontId="190" fillId="0" borderId="26"/>
    <xf numFmtId="0" fontId="243" fillId="68" borderId="17"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62" fillId="51"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82" fillId="80" borderId="24" applyNumberFormat="0" applyAlignment="0" applyProtection="0">
      <alignment vertical="center"/>
    </xf>
    <xf numFmtId="0" fontId="264" fillId="51"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205" fillId="0" borderId="25" applyNumberFormat="0" applyFill="0" applyAlignment="0" applyProtection="0">
      <alignment vertical="center"/>
    </xf>
    <xf numFmtId="0" fontId="159" fillId="80" borderId="24" applyNumberFormat="0" applyAlignment="0" applyProtection="0">
      <alignment vertical="center"/>
    </xf>
    <xf numFmtId="0" fontId="340" fillId="68" borderId="24" applyNumberFormat="0" applyAlignment="0" applyProtection="0">
      <alignment vertical="center"/>
    </xf>
    <xf numFmtId="0" fontId="119" fillId="0" borderId="25" applyNumberFormat="0" applyFill="0" applyAlignment="0" applyProtection="0"/>
    <xf numFmtId="0" fontId="194" fillId="38" borderId="17" applyNumberFormat="0" applyAlignment="0" applyProtection="0">
      <alignment vertical="center"/>
    </xf>
    <xf numFmtId="0" fontId="172" fillId="0" borderId="25" applyNumberFormat="0" applyFill="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00" fillId="68" borderId="17" applyNumberFormat="0" applyAlignment="0" applyProtection="0">
      <alignment vertical="center"/>
    </xf>
    <xf numFmtId="0" fontId="92" fillId="0" borderId="26" applyNumberFormat="0" applyFill="0" applyAlignment="0" applyProtection="0">
      <alignment vertical="center"/>
    </xf>
    <xf numFmtId="0" fontId="80" fillId="0" borderId="25" applyNumberFormat="0" applyFill="0" applyAlignment="0" applyProtection="0">
      <alignment vertical="center"/>
    </xf>
    <xf numFmtId="0" fontId="336" fillId="68" borderId="17" applyNumberFormat="0" applyAlignment="0" applyProtection="0">
      <alignment vertical="center"/>
    </xf>
    <xf numFmtId="0" fontId="340" fillId="68" borderId="24" applyNumberFormat="0" applyAlignment="0" applyProtection="0">
      <alignment vertical="center"/>
    </xf>
    <xf numFmtId="0" fontId="147" fillId="54" borderId="23" applyNumberFormat="0" applyFont="0" applyAlignment="0" applyProtection="0">
      <alignment vertical="center"/>
    </xf>
    <xf numFmtId="0" fontId="339" fillId="65" borderId="17"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264" fillId="51"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82" fillId="68" borderId="24"/>
    <xf numFmtId="0" fontId="210"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228" fillId="51" borderId="24" applyNumberFormat="0" applyAlignment="0" applyProtection="0">
      <alignment vertical="center"/>
    </xf>
    <xf numFmtId="0" fontId="320" fillId="68" borderId="24" applyNumberFormat="0" applyAlignment="0" applyProtection="0">
      <alignment vertical="center"/>
    </xf>
    <xf numFmtId="0" fontId="277" fillId="0" borderId="25" applyNumberFormat="0" applyFill="0" applyAlignment="0" applyProtection="0">
      <alignment vertical="center"/>
    </xf>
    <xf numFmtId="0" fontId="83" fillId="80"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38" borderId="17" applyNumberFormat="0" applyAlignment="0" applyProtection="0"/>
    <xf numFmtId="0" fontId="112" fillId="66" borderId="17" applyNumberFormat="0" applyAlignment="0" applyProtection="0"/>
    <xf numFmtId="0" fontId="1" fillId="70" borderId="23" applyNumberFormat="0" applyFont="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149" fillId="54" borderId="23" applyNumberFormat="0" applyFont="0" applyAlignment="0" applyProtection="0">
      <alignment vertical="center"/>
    </xf>
    <xf numFmtId="0" fontId="84" fillId="65" borderId="17" applyNumberFormat="0" applyAlignment="0" applyProtection="0">
      <alignment vertical="center"/>
    </xf>
    <xf numFmtId="0" fontId="210" fillId="51" borderId="24" applyNumberFormat="0" applyAlignment="0" applyProtection="0">
      <alignment vertical="center"/>
    </xf>
    <xf numFmtId="0" fontId="114" fillId="80" borderId="17" applyNumberFormat="0" applyAlignment="0" applyProtection="0"/>
    <xf numFmtId="0" fontId="113" fillId="51" borderId="24" applyNumberFormat="0" applyAlignment="0" applyProtection="0"/>
    <xf numFmtId="0" fontId="243" fillId="68" borderId="17" applyNumberFormat="0" applyAlignment="0" applyProtection="0">
      <alignment vertical="center"/>
    </xf>
    <xf numFmtId="0" fontId="104" fillId="69" borderId="24" applyNumberFormat="0" applyAlignment="0" applyProtection="0"/>
    <xf numFmtId="0" fontId="177" fillId="51" borderId="24" applyNumberFormat="0" applyAlignment="0" applyProtection="0">
      <alignment vertical="center"/>
    </xf>
    <xf numFmtId="0" fontId="71" fillId="54" borderId="23" applyNumberFormat="0" applyFont="0" applyAlignment="0" applyProtection="0">
      <alignment vertical="center"/>
    </xf>
    <xf numFmtId="0" fontId="281" fillId="65"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48" fillId="51" borderId="24" applyNumberFormat="0" applyAlignment="0" applyProtection="0"/>
    <xf numFmtId="0" fontId="114" fillId="80" borderId="17" applyNumberFormat="0" applyAlignment="0" applyProtection="0"/>
    <xf numFmtId="0" fontId="112" fillId="66" borderId="17"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27" fillId="38" borderId="17"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223" fillId="0" borderId="25" applyNumberFormat="0" applyFill="0" applyAlignment="0" applyProtection="0">
      <alignment vertical="center"/>
    </xf>
    <xf numFmtId="0" fontId="100" fillId="69" borderId="17" applyNumberFormat="0" applyAlignment="0" applyProtection="0"/>
    <xf numFmtId="0" fontId="223" fillId="0" borderId="25" applyNumberFormat="0" applyFill="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49" fillId="38" borderId="17" applyNumberFormat="0" applyAlignment="0" applyProtection="0"/>
    <xf numFmtId="0" fontId="104" fillId="67" borderId="24" applyNumberFormat="0" applyAlignment="0" applyProtection="0">
      <alignment vertical="center"/>
    </xf>
    <xf numFmtId="0" fontId="104" fillId="69" borderId="24" applyNumberFormat="0" applyAlignment="0" applyProtection="0"/>
    <xf numFmtId="0" fontId="85" fillId="51" borderId="24" applyNumberFormat="0" applyAlignment="0" applyProtection="0">
      <alignment vertical="center"/>
    </xf>
    <xf numFmtId="0" fontId="215" fillId="54" borderId="23" applyNumberFormat="0" applyFont="0" applyAlignment="0" applyProtection="0">
      <alignment vertical="center"/>
    </xf>
    <xf numFmtId="0" fontId="83" fillId="51" borderId="17" applyNumberFormat="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80" fillId="51" borderId="17"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100" fillId="68" borderId="17" applyNumberFormat="0" applyAlignment="0" applyProtection="0">
      <alignment vertical="center"/>
    </xf>
    <xf numFmtId="0" fontId="85" fillId="81"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4" fillId="80" borderId="17" applyNumberFormat="0" applyAlignment="0" applyProtection="0"/>
    <xf numFmtId="0" fontId="159" fillId="51" borderId="24" applyNumberFormat="0" applyAlignment="0" applyProtection="0">
      <alignment vertical="center"/>
    </xf>
    <xf numFmtId="0" fontId="112" fillId="65" borderId="17" applyNumberFormat="0" applyAlignment="0" applyProtection="0"/>
    <xf numFmtId="0" fontId="210" fillId="51" borderId="24" applyNumberFormat="0" applyAlignment="0" applyProtection="0">
      <alignment vertical="center"/>
    </xf>
    <xf numFmtId="0" fontId="48" fillId="51" borderId="24" applyNumberFormat="0" applyAlignment="0" applyProtection="0"/>
    <xf numFmtId="0" fontId="104" fillId="68" borderId="24" applyNumberForma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280"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51" borderId="17"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57" fillId="80" borderId="17" applyNumberFormat="0" applyAlignment="0" applyProtection="0">
      <alignment vertical="center"/>
    </xf>
    <xf numFmtId="0" fontId="154" fillId="0" borderId="25" applyNumberFormat="0" applyFill="0" applyAlignment="0" applyProtection="0">
      <alignment vertical="center"/>
    </xf>
    <xf numFmtId="0" fontId="1" fillId="70" borderId="23" applyNumberFormat="0" applyFont="0" applyAlignment="0" applyProtection="0">
      <alignment vertical="center"/>
    </xf>
    <xf numFmtId="0" fontId="104"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2" fillId="65" borderId="17" applyNumberFormat="0" applyAlignment="0" applyProtection="0"/>
    <xf numFmtId="0" fontId="280" fillId="80"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210" fillId="51" borderId="24" applyNumberFormat="0" applyAlignment="0" applyProtection="0">
      <alignment vertical="center"/>
    </xf>
    <xf numFmtId="0" fontId="84" fillId="38" borderId="17" applyNumberFormat="0" applyAlignment="0" applyProtection="0">
      <alignment vertical="center"/>
    </xf>
    <xf numFmtId="0" fontId="157" fillId="51" borderId="17" applyNumberFormat="0" applyAlignment="0" applyProtection="0">
      <alignment vertical="center"/>
    </xf>
    <xf numFmtId="0" fontId="339" fillId="66" borderId="17"/>
    <xf numFmtId="0" fontId="340" fillId="68" borderId="24" applyNumberFormat="0" applyAlignment="0" applyProtection="0">
      <alignment vertical="center"/>
    </xf>
    <xf numFmtId="0" fontId="149" fillId="54" borderId="23" applyNumberFormat="0" applyFon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13" fillId="80" borderId="24" applyNumberFormat="0" applyAlignment="0" applyProtection="0"/>
    <xf numFmtId="0" fontId="114" fillId="80" borderId="17" applyNumberFormat="0" applyAlignment="0" applyProtection="0"/>
    <xf numFmtId="0" fontId="182" fillId="68"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xf numFmtId="0" fontId="282" fillId="51" borderId="24" applyNumberFormat="0" applyAlignment="0" applyProtection="0">
      <alignment vertical="center"/>
    </xf>
    <xf numFmtId="0" fontId="113" fillId="51" borderId="24" applyNumberFormat="0" applyAlignment="0" applyProtection="0"/>
    <xf numFmtId="0" fontId="282" fillId="80" borderId="24" applyNumberFormat="0" applyAlignment="0" applyProtection="0">
      <alignment vertical="center"/>
    </xf>
    <xf numFmtId="0" fontId="113" fillId="81" borderId="24"/>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9" fillId="0" borderId="25" applyNumberFormat="0" applyFill="0" applyAlignment="0" applyProtection="0"/>
    <xf numFmtId="0" fontId="1" fillId="71" borderId="23" applyNumberFormat="0" applyAlignment="0" applyProtection="0"/>
    <xf numFmtId="0" fontId="73" fillId="54" borderId="23" applyNumberFormat="0" applyFont="0" applyAlignment="0" applyProtection="0">
      <alignment vertical="center"/>
    </xf>
    <xf numFmtId="0" fontId="208" fillId="51" borderId="17" applyNumberFormat="0" applyAlignment="0" applyProtection="0">
      <alignment vertical="center"/>
    </xf>
    <xf numFmtId="0" fontId="176" fillId="38" borderId="17" applyNumberFormat="0" applyAlignment="0" applyProtection="0">
      <alignment vertical="center"/>
    </xf>
    <xf numFmtId="0" fontId="112" fillId="65" borderId="17" applyNumberFormat="0" applyAlignment="0" applyProtection="0"/>
    <xf numFmtId="0" fontId="282" fillId="51" borderId="24" applyNumberFormat="0" applyAlignment="0" applyProtection="0">
      <alignment vertical="center"/>
    </xf>
    <xf numFmtId="0" fontId="280" fillId="80"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xf numFmtId="0" fontId="205" fillId="0" borderId="25" applyNumberFormat="0" applyFill="0" applyAlignment="0" applyProtection="0">
      <alignment vertical="center"/>
    </xf>
    <xf numFmtId="0" fontId="83" fillId="51" borderId="17" applyNumberFormat="0" applyAlignment="0" applyProtection="0">
      <alignment vertical="center"/>
    </xf>
    <xf numFmtId="0" fontId="197" fillId="54" borderId="23" applyNumberFormat="0" applyFont="0" applyAlignment="0" applyProtection="0">
      <alignment vertical="center"/>
    </xf>
    <xf numFmtId="0" fontId="83" fillId="51" borderId="17" applyNumberFormat="0" applyAlignment="0" applyProtection="0">
      <alignment vertical="center"/>
    </xf>
    <xf numFmtId="0" fontId="281" fillId="38" borderId="17" applyNumberFormat="0" applyAlignment="0" applyProtection="0">
      <alignment vertical="center"/>
    </xf>
    <xf numFmtId="0" fontId="83" fillId="80" borderId="17" applyNumberFormat="0" applyAlignment="0" applyProtection="0">
      <alignment vertical="center"/>
    </xf>
    <xf numFmtId="0" fontId="113" fillId="81" borderId="24" applyNumberFormat="0" applyAlignment="0" applyProtection="0"/>
    <xf numFmtId="0" fontId="264"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51" borderId="24" applyNumberFormat="0" applyAlignment="0" applyProtection="0"/>
    <xf numFmtId="0" fontId="104" fillId="68" borderId="24" applyNumberFormat="0" applyAlignment="0" applyProtection="0">
      <alignment vertical="center"/>
    </xf>
    <xf numFmtId="0" fontId="228" fillId="51" borderId="24" applyNumberFormat="0" applyAlignment="0" applyProtection="0">
      <alignment vertical="center"/>
    </xf>
    <xf numFmtId="0" fontId="182"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209" fillId="38" borderId="17" applyNumberFormat="0" applyAlignment="0" applyProtection="0">
      <alignment vertical="center"/>
    </xf>
    <xf numFmtId="0" fontId="80" fillId="0" borderId="25" applyNumberFormat="0" applyFill="0" applyAlignment="0" applyProtection="0"/>
    <xf numFmtId="0" fontId="246" fillId="65"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316" fillId="68" borderId="17" applyNumberFormat="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157" fillId="81" borderId="17" applyNumberFormat="0" applyAlignment="0" applyProtection="0"/>
    <xf numFmtId="0" fontId="158" fillId="66" borderId="17"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4" fillId="0" borderId="25" applyNumberFormat="0" applyFill="0" applyAlignment="0" applyProtection="0"/>
    <xf numFmtId="0" fontId="159" fillId="81" borderId="24" applyNumberFormat="0" applyAlignment="0" applyProtection="0"/>
    <xf numFmtId="0" fontId="158" fillId="66" borderId="17" applyNumberFormat="0" applyAlignment="0" applyProtection="0"/>
    <xf numFmtId="0" fontId="157" fillId="81" borderId="17" applyNumberFormat="0" applyAlignment="0" applyProtection="0"/>
    <xf numFmtId="0" fontId="113" fillId="51" borderId="24" applyNumberFormat="0" applyAlignment="0" applyProtection="0"/>
    <xf numFmtId="0" fontId="104" fillId="68" borderId="24" applyNumberFormat="0" applyAlignment="0" applyProtection="0">
      <alignment vertical="center"/>
    </xf>
    <xf numFmtId="0" fontId="228" fillId="51" borderId="24" applyNumberFormat="0" applyAlignment="0" applyProtection="0">
      <alignment vertical="center"/>
    </xf>
    <xf numFmtId="0" fontId="113" fillId="81" borderId="24" applyNumberFormat="0" applyAlignment="0" applyProtection="0"/>
    <xf numFmtId="0" fontId="282"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82" fillId="68" borderId="24" applyNumberFormat="0" applyAlignment="0" applyProtection="0">
      <alignment vertical="center"/>
    </xf>
    <xf numFmtId="0" fontId="113" fillId="80" borderId="24" applyNumberFormat="0" applyAlignment="0" applyProtection="0"/>
    <xf numFmtId="0" fontId="316" fillId="68" borderId="17" applyNumberFormat="0" applyAlignment="0" applyProtection="0">
      <alignment vertical="center"/>
    </xf>
    <xf numFmtId="0" fontId="280" fillId="80"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 fillId="54" borderId="23" applyNumberFormat="0" applyFon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97" fillId="54" borderId="23" applyNumberFormat="0" applyFon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xf numFmtId="0" fontId="1" fillId="71" borderId="23" applyNumberFormat="0" applyAlignment="0" applyProtection="0"/>
    <xf numFmtId="0" fontId="208" fillId="51" borderId="17" applyNumberFormat="0" applyAlignment="0" applyProtection="0">
      <alignment vertical="center"/>
    </xf>
    <xf numFmtId="0" fontId="104" fillId="68" borderId="24" applyNumberFormat="0" applyAlignment="0" applyProtection="0">
      <alignment vertical="center"/>
    </xf>
    <xf numFmtId="0" fontId="85" fillId="81" borderId="24" applyNumberFormat="0" applyAlignment="0" applyProtection="0"/>
    <xf numFmtId="0" fontId="269" fillId="54" borderId="23" applyNumberFormat="0" applyFont="0" applyAlignment="0" applyProtection="0">
      <alignment vertical="center"/>
    </xf>
    <xf numFmtId="0" fontId="320" fillId="68" borderId="24" applyNumberForma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 fillId="70" borderId="23" applyNumberFormat="0" applyFont="0" applyAlignment="0" applyProtection="0">
      <alignment vertical="center"/>
    </xf>
    <xf numFmtId="0" fontId="80" fillId="0" borderId="25" applyNumberFormat="0" applyFill="0" applyAlignment="0" applyProtection="0"/>
    <xf numFmtId="0" fontId="277" fillId="0" borderId="25" applyNumberFormat="0" applyFill="0" applyAlignment="0" applyProtection="0">
      <alignment vertical="center"/>
    </xf>
    <xf numFmtId="0" fontId="103" fillId="65" borderId="17" applyNumberFormat="0" applyAlignment="0" applyProtection="0">
      <alignment vertical="center"/>
    </xf>
    <xf numFmtId="0" fontId="1" fillId="70" borderId="23" applyNumberFormat="0" applyFont="0" applyAlignment="0" applyProtection="0">
      <alignment vertical="center"/>
    </xf>
    <xf numFmtId="0" fontId="83" fillId="51" borderId="17"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263" fillId="38" borderId="17" applyNumberFormat="0" applyAlignment="0" applyProtection="0">
      <alignment vertical="center"/>
    </xf>
    <xf numFmtId="0" fontId="159" fillId="51" borderId="24" applyNumberForma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205" fillId="0" borderId="25" applyNumberFormat="0" applyFill="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12" fillId="38" borderId="17" applyNumberFormat="0" applyAlignment="0" applyProtection="0"/>
    <xf numFmtId="0" fontId="194" fillId="65" borderId="17"/>
    <xf numFmtId="0" fontId="104" fillId="68" borderId="24" applyNumberFormat="0" applyAlignment="0" applyProtection="0">
      <alignment vertical="center"/>
    </xf>
    <xf numFmtId="0" fontId="85" fillId="80" borderId="24" applyNumberFormat="0" applyAlignment="0" applyProtection="0">
      <alignment vertical="center"/>
    </xf>
    <xf numFmtId="0" fontId="83" fillId="51" borderId="17" applyNumberFormat="0" applyAlignment="0" applyProtection="0">
      <alignment vertical="center"/>
    </xf>
    <xf numFmtId="0" fontId="183" fillId="68" borderId="17"/>
    <xf numFmtId="0" fontId="60" fillId="0" borderId="26" applyNumberFormat="0" applyFill="0" applyAlignment="0" applyProtection="0">
      <alignment vertical="center"/>
    </xf>
    <xf numFmtId="0" fontId="113" fillId="80" borderId="24" applyNumberFormat="0" applyAlignment="0" applyProtection="0"/>
    <xf numFmtId="0" fontId="280" fillId="80" borderId="17"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83" fillId="51" borderId="17"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114" fillId="51" borderId="17" applyNumberFormat="0" applyAlignment="0" applyProtection="0"/>
    <xf numFmtId="0" fontId="282" fillId="51" borderId="24" applyNumberFormat="0" applyAlignment="0" applyProtection="0">
      <alignment vertical="center"/>
    </xf>
    <xf numFmtId="0" fontId="84" fillId="66" borderId="17" applyNumberFormat="0" applyAlignment="0" applyProtection="0"/>
    <xf numFmtId="0" fontId="228" fillId="51" borderId="24" applyNumberFormat="0" applyAlignment="0" applyProtection="0">
      <alignment vertical="center"/>
    </xf>
    <xf numFmtId="0" fontId="48" fillId="51" borderId="24" applyNumberFormat="0" applyAlignment="0" applyProtection="0"/>
    <xf numFmtId="0" fontId="103" fillId="65"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04" fillId="67" borderId="24" applyNumberFormat="0" applyAlignment="0" applyProtection="0">
      <alignment vertical="center"/>
    </xf>
    <xf numFmtId="0" fontId="282" fillId="80" borderId="24" applyNumberFormat="0" applyAlignment="0" applyProtection="0">
      <alignment vertical="center"/>
    </xf>
    <xf numFmtId="0" fontId="139" fillId="51" borderId="24" applyNumberForma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 fillId="70" borderId="23" applyNumberFormat="0" applyFont="0" applyAlignment="0" applyProtection="0">
      <alignment vertical="center"/>
    </xf>
    <xf numFmtId="0" fontId="182" fillId="68" borderId="24"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72" fillId="0" borderId="25" applyNumberFormat="0" applyFill="0" applyAlignment="0" applyProtection="0">
      <alignment vertical="center"/>
    </xf>
    <xf numFmtId="0" fontId="112" fillId="65" borderId="17" applyNumberFormat="0" applyAlignment="0" applyProtection="0"/>
    <xf numFmtId="0" fontId="103" fillId="38" borderId="17" applyNumberFormat="0" applyAlignment="0" applyProtection="0">
      <alignment vertical="center"/>
    </xf>
    <xf numFmtId="0" fontId="41" fillId="0" borderId="25" applyNumberFormat="0" applyFill="0" applyAlignment="0" applyProtection="0"/>
    <xf numFmtId="0" fontId="113" fillId="80" borderId="24" applyNumberFormat="0" applyAlignment="0" applyProtection="0"/>
    <xf numFmtId="0" fontId="84" fillId="38" borderId="17" applyNumberFormat="0" applyAlignment="0" applyProtection="0">
      <alignment vertical="center"/>
    </xf>
    <xf numFmtId="0" fontId="158" fillId="65" borderId="17" applyNumberFormat="0" applyAlignment="0" applyProtection="0">
      <alignment vertical="center"/>
    </xf>
    <xf numFmtId="0" fontId="157" fillId="81" borderId="17"/>
    <xf numFmtId="0" fontId="158" fillId="66" borderId="17" applyNumberFormat="0" applyAlignment="0" applyProtection="0"/>
    <xf numFmtId="0" fontId="154" fillId="0" borderId="25" applyNumberFormat="0" applyFill="0" applyAlignment="0" applyProtection="0">
      <alignment vertical="center"/>
    </xf>
    <xf numFmtId="0" fontId="139" fillId="51" borderId="24" applyNumberFormat="0" applyAlignment="0" applyProtection="0">
      <alignment vertical="center"/>
    </xf>
    <xf numFmtId="0" fontId="281" fillId="65" borderId="17"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210" fillId="51" borderId="24" applyNumberFormat="0" applyAlignment="0" applyProtection="0">
      <alignment vertical="center"/>
    </xf>
    <xf numFmtId="0" fontId="264"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7" borderId="24" applyNumberFormat="0" applyAlignment="0" applyProtection="0">
      <alignment vertical="center"/>
    </xf>
    <xf numFmtId="0" fontId="264" fillId="51" borderId="24" applyNumberFormat="0" applyAlignment="0" applyProtection="0">
      <alignment vertical="center"/>
    </xf>
    <xf numFmtId="0" fontId="1" fillId="71" borderId="23"/>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9" fillId="0" borderId="25" applyNumberFormat="0" applyFill="0" applyAlignment="0" applyProtection="0"/>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226" fillId="51" borderId="17" applyNumberFormat="0" applyAlignment="0" applyProtection="0">
      <alignment vertical="center"/>
    </xf>
    <xf numFmtId="0" fontId="84" fillId="66" borderId="17" applyNumberFormat="0" applyAlignment="0" applyProtection="0"/>
    <xf numFmtId="0" fontId="1" fillId="70" borderId="23" applyNumberFormat="0" applyFont="0" applyAlignment="0" applyProtection="0"/>
    <xf numFmtId="0" fontId="269" fillId="54" borderId="23" applyNumberFormat="0" applyFont="0" applyAlignment="0" applyProtection="0">
      <alignment vertical="center"/>
    </xf>
    <xf numFmtId="0" fontId="321" fillId="65"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13" fillId="51" borderId="24" applyNumberFormat="0" applyAlignment="0" applyProtection="0"/>
    <xf numFmtId="0" fontId="197" fillId="54"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1" fillId="70" borderId="23" applyNumberFormat="0" applyFont="0" applyAlignment="0" applyProtection="0">
      <alignment vertical="center"/>
    </xf>
    <xf numFmtId="0" fontId="85" fillId="81" borderId="24" applyNumberFormat="0" applyAlignment="0" applyProtection="0"/>
    <xf numFmtId="0" fontId="190" fillId="0" borderId="26"/>
    <xf numFmtId="0" fontId="15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83" fillId="80" borderId="17" applyNumberFormat="0" applyAlignment="0" applyProtection="0">
      <alignment vertical="center"/>
    </xf>
    <xf numFmtId="0" fontId="60" fillId="0" borderId="26" applyNumberFormat="0" applyFill="0" applyAlignment="0" applyProtection="0">
      <alignment vertical="center"/>
    </xf>
    <xf numFmtId="0" fontId="194" fillId="38"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57" fillId="51" borderId="17" applyNumberFormat="0" applyAlignment="0" applyProtection="0">
      <alignment vertical="center"/>
    </xf>
    <xf numFmtId="0" fontId="85" fillId="51" borderId="24" applyNumberFormat="0" applyAlignment="0" applyProtection="0">
      <alignment vertical="center"/>
    </xf>
    <xf numFmtId="0" fontId="209" fillId="38"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81" borderId="24"/>
    <xf numFmtId="0" fontId="269" fillId="54" borderId="23" applyNumberFormat="0" applyFont="0" applyAlignment="0" applyProtection="0">
      <alignment vertical="center"/>
    </xf>
    <xf numFmtId="0" fontId="119" fillId="0" borderId="25" applyNumberFormat="0" applyFill="0" applyAlignment="0" applyProtection="0"/>
    <xf numFmtId="0" fontId="112" fillId="38" borderId="17" applyNumberFormat="0" applyAlignment="0" applyProtection="0"/>
    <xf numFmtId="0" fontId="247" fillId="68" borderId="24" applyNumberFormat="0" applyAlignment="0" applyProtection="0">
      <alignment vertical="center"/>
    </xf>
    <xf numFmtId="0" fontId="49" fillId="38"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97" fillId="54" borderId="23" applyNumberFormat="0" applyFont="0" applyAlignment="0" applyProtection="0">
      <alignment vertical="center"/>
    </xf>
    <xf numFmtId="0" fontId="112" fillId="66" borderId="17"/>
    <xf numFmtId="0" fontId="60" fillId="0" borderId="26" applyNumberFormat="0" applyFill="0" applyAlignment="0" applyProtection="0">
      <alignment vertical="center"/>
    </xf>
    <xf numFmtId="0" fontId="1" fillId="70" borderId="23" applyNumberFormat="0" applyFont="0" applyAlignment="0" applyProtection="0"/>
    <xf numFmtId="0" fontId="85" fillId="51" borderId="24" applyNumberFormat="0" applyAlignment="0" applyProtection="0">
      <alignment vertical="center"/>
    </xf>
    <xf numFmtId="0" fontId="158" fillId="38" borderId="17" applyNumberFormat="0" applyAlignment="0" applyProtection="0">
      <alignment vertical="center"/>
    </xf>
    <xf numFmtId="0" fontId="85" fillId="51" borderId="24" applyNumberFormat="0" applyAlignment="0" applyProtection="0">
      <alignment vertical="center"/>
    </xf>
    <xf numFmtId="0" fontId="48" fillId="51"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1" borderId="23" applyNumberFormat="0" applyAlignment="0" applyProtection="0"/>
    <xf numFmtId="0" fontId="1" fillId="70" borderId="23" applyNumberFormat="0" applyFont="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247" fillId="69" borderId="24"/>
    <xf numFmtId="0" fontId="158" fillId="66" borderId="17" applyNumberFormat="0" applyAlignment="0" applyProtection="0"/>
    <xf numFmtId="0" fontId="83" fillId="80" borderId="17"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73" fillId="54" borderId="23" applyNumberFormat="0" applyFon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113" fillId="51" borderId="24" applyNumberFormat="0" applyAlignment="0" applyProtection="0"/>
    <xf numFmtId="0" fontId="159" fillId="51" borderId="24" applyNumberFormat="0" applyAlignment="0" applyProtection="0">
      <alignment vertical="center"/>
    </xf>
    <xf numFmtId="0" fontId="85" fillId="80" borderId="24" applyNumberFormat="0" applyAlignment="0" applyProtection="0">
      <alignment vertical="center"/>
    </xf>
    <xf numFmtId="0" fontId="159" fillId="51" borderId="24"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154" fillId="0" borderId="25" applyNumberFormat="0" applyFill="0" applyAlignment="0" applyProtection="0">
      <alignment vertical="center"/>
    </xf>
    <xf numFmtId="0" fontId="113" fillId="80" borderId="24" applyNumberFormat="0" applyAlignment="0" applyProtection="0"/>
    <xf numFmtId="0" fontId="114" fillId="80" borderId="17" applyNumberFormat="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82" fillId="68" borderId="24"/>
    <xf numFmtId="0" fontId="41" fillId="0" borderId="25" applyNumberFormat="0" applyFill="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84" fillId="66" borderId="17" applyNumberFormat="0" applyAlignment="0" applyProtection="0"/>
    <xf numFmtId="0" fontId="104" fillId="67"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alignment vertical="center"/>
    </xf>
    <xf numFmtId="0" fontId="177" fillId="51" borderId="24" applyNumberFormat="0" applyAlignment="0" applyProtection="0">
      <alignment vertical="center"/>
    </xf>
    <xf numFmtId="0" fontId="139" fillId="51" borderId="24" applyNumberFormat="0" applyAlignment="0" applyProtection="0">
      <alignment vertical="center"/>
    </xf>
    <xf numFmtId="0" fontId="157" fillId="80" borderId="17" applyNumberFormat="0" applyAlignment="0" applyProtection="0">
      <alignment vertical="center"/>
    </xf>
    <xf numFmtId="0" fontId="60" fillId="0" borderId="26" applyNumberFormat="0" applyFill="0" applyAlignment="0" applyProtection="0">
      <alignment vertical="center"/>
    </xf>
    <xf numFmtId="0" fontId="247" fillId="68" borderId="24" applyNumberFormat="0" applyAlignment="0" applyProtection="0">
      <alignment vertical="center"/>
    </xf>
    <xf numFmtId="0" fontId="282" fillId="51" borderId="24" applyNumberFormat="0" applyAlignment="0" applyProtection="0">
      <alignment vertical="center"/>
    </xf>
    <xf numFmtId="0" fontId="139" fillId="51" borderId="24"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94" fillId="65" borderId="17" applyNumberFormat="0" applyAlignment="0" applyProtection="0">
      <alignment vertical="center"/>
    </xf>
    <xf numFmtId="0" fontId="210" fillId="51" borderId="24" applyNumberFormat="0" applyAlignment="0" applyProtection="0">
      <alignment vertical="center"/>
    </xf>
    <xf numFmtId="0" fontId="113" fillId="81" borderId="24" applyNumberFormat="0" applyAlignment="0" applyProtection="0"/>
    <xf numFmtId="0" fontId="159" fillId="51" borderId="24" applyNumberForma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190" fillId="0" borderId="26"/>
    <xf numFmtId="0" fontId="85" fillId="80" borderId="24" applyNumberFormat="0" applyAlignment="0" applyProtection="0">
      <alignment vertical="center"/>
    </xf>
    <xf numFmtId="0" fontId="132" fillId="0" borderId="25" applyNumberFormat="0" applyFill="0" applyAlignment="0" applyProtection="0">
      <alignment vertical="center"/>
    </xf>
    <xf numFmtId="0" fontId="85" fillId="81" borderId="24" applyNumberFormat="0" applyAlignment="0" applyProtection="0"/>
    <xf numFmtId="0" fontId="41" fillId="0" borderId="25" applyNumberFormat="0" applyFill="0" applyAlignment="0" applyProtection="0"/>
    <xf numFmtId="0" fontId="208" fillId="51" borderId="17" applyNumberFormat="0" applyAlignment="0" applyProtection="0">
      <alignment vertical="center"/>
    </xf>
    <xf numFmtId="0" fontId="1" fillId="70" borderId="23" applyNumberFormat="0" applyFon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85" fillId="81"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83" fillId="51" borderId="17" applyNumberFormat="0" applyAlignment="0" applyProtection="0">
      <alignment vertical="center"/>
    </xf>
    <xf numFmtId="0" fontId="158" fillId="65" borderId="17" applyNumberFormat="0" applyAlignment="0" applyProtection="0">
      <alignment vertical="center"/>
    </xf>
    <xf numFmtId="0" fontId="113" fillId="80" borderId="24" applyNumberFormat="0" applyAlignment="0" applyProtection="0"/>
    <xf numFmtId="0" fontId="259" fillId="0" borderId="25" applyNumberFormat="0" applyFill="0" applyAlignment="0" applyProtection="0">
      <alignment vertical="center"/>
    </xf>
    <xf numFmtId="0" fontId="49" fillId="38" borderId="17" applyNumberFormat="0" applyAlignment="0" applyProtection="0"/>
    <xf numFmtId="0" fontId="177" fillId="51" borderId="24"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04" fillId="67" borderId="24" applyNumberFormat="0" applyAlignment="0" applyProtection="0">
      <alignment vertical="center"/>
    </xf>
    <xf numFmtId="0" fontId="154" fillId="0" borderId="25" applyNumberFormat="0" applyFill="0" applyAlignment="0" applyProtection="0">
      <alignment vertical="center"/>
    </xf>
    <xf numFmtId="0" fontId="190" fillId="0" borderId="26"/>
    <xf numFmtId="0" fontId="210" fillId="51" borderId="24" applyNumberFormat="0" applyAlignment="0" applyProtection="0">
      <alignment vertical="center"/>
    </xf>
    <xf numFmtId="0" fontId="80" fillId="0" borderId="25" applyNumberFormat="0" applyFill="0" applyAlignment="0" applyProtection="0">
      <alignment vertical="center"/>
    </xf>
    <xf numFmtId="0" fontId="112" fillId="38" borderId="17"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83" fillId="81"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26" fillId="51" borderId="17" applyNumberFormat="0" applyAlignment="0" applyProtection="0">
      <alignment vertical="center"/>
    </xf>
    <xf numFmtId="0" fontId="208" fillId="51" borderId="17" applyNumberFormat="0" applyAlignment="0" applyProtection="0">
      <alignment vertical="center"/>
    </xf>
    <xf numFmtId="0" fontId="42" fillId="51" borderId="17" applyNumberFormat="0" applyAlignment="0" applyProtection="0"/>
    <xf numFmtId="0" fontId="197" fillId="54" borderId="23" applyNumberFormat="0" applyFont="0" applyAlignment="0" applyProtection="0">
      <alignment vertical="center"/>
    </xf>
    <xf numFmtId="0" fontId="114" fillId="80" borderId="17" applyNumberFormat="0" applyAlignment="0" applyProtection="0"/>
    <xf numFmtId="0" fontId="113" fillId="51"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4" fillId="0" borderId="25"/>
    <xf numFmtId="0" fontId="159" fillId="81" borderId="24" applyNumberFormat="0" applyAlignment="0" applyProtection="0"/>
    <xf numFmtId="0" fontId="282" fillId="51" borderId="24" applyNumberFormat="0" applyAlignment="0" applyProtection="0">
      <alignment vertical="center"/>
    </xf>
    <xf numFmtId="0" fontId="114" fillId="81" borderId="17"/>
    <xf numFmtId="0" fontId="1" fillId="70" borderId="23" applyNumberFormat="0" applyFon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26" fillId="51" borderId="17" applyNumberFormat="0" applyAlignment="0" applyProtection="0">
      <alignment vertical="center"/>
    </xf>
    <xf numFmtId="0" fontId="83" fillId="51" borderId="17" applyNumberFormat="0" applyAlignment="0" applyProtection="0">
      <alignment vertical="center"/>
    </xf>
    <xf numFmtId="0" fontId="269" fillId="54" borderId="23" applyNumberFormat="0" applyFont="0" applyAlignment="0" applyProtection="0">
      <alignment vertical="center"/>
    </xf>
    <xf numFmtId="0" fontId="103" fillId="38" borderId="17" applyNumberFormat="0" applyAlignment="0" applyProtection="0">
      <alignment vertical="center"/>
    </xf>
    <xf numFmtId="0" fontId="164" fillId="54"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42" fillId="51" borderId="17" applyNumberFormat="0" applyAlignment="0" applyProtection="0"/>
    <xf numFmtId="0" fontId="48" fillId="51" borderId="24" applyNumberFormat="0" applyAlignment="0" applyProtection="0"/>
    <xf numFmtId="0" fontId="336" fillId="69" borderId="17"/>
    <xf numFmtId="0" fontId="104" fillId="69" borderId="24" applyNumberFormat="0" applyAlignment="0" applyProtection="0"/>
    <xf numFmtId="0" fontId="157" fillId="80" borderId="17" applyNumberFormat="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47" fillId="68" borderId="24"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3" fillId="81" borderId="24"/>
    <xf numFmtId="0" fontId="182" fillId="67" borderId="24" applyNumberFormat="0" applyAlignment="0" applyProtection="0">
      <alignment vertical="center"/>
    </xf>
    <xf numFmtId="0" fontId="139"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4" fillId="51" borderId="17" applyNumberFormat="0" applyAlignment="0" applyProtection="0"/>
    <xf numFmtId="0" fontId="182" fillId="68" borderId="24" applyNumberFormat="0" applyAlignment="0" applyProtection="0">
      <alignment vertical="center"/>
    </xf>
    <xf numFmtId="0" fontId="210" fillId="51" borderId="24" applyNumberFormat="0" applyAlignment="0" applyProtection="0">
      <alignment vertical="center"/>
    </xf>
    <xf numFmtId="0" fontId="183" fillId="67" borderId="17" applyNumberFormat="0" applyAlignment="0" applyProtection="0">
      <alignment vertical="center"/>
    </xf>
    <xf numFmtId="0" fontId="269" fillId="54" borderId="23" applyNumberFormat="0" applyFont="0" applyAlignment="0" applyProtection="0">
      <alignment vertical="center"/>
    </xf>
    <xf numFmtId="0" fontId="280" fillId="51" borderId="17" applyNumberFormat="0" applyAlignment="0" applyProtection="0">
      <alignment vertical="center"/>
    </xf>
    <xf numFmtId="0" fontId="100" fillId="69" borderId="17" applyNumberFormat="0" applyAlignment="0" applyProtection="0"/>
    <xf numFmtId="0" fontId="226" fillId="51" borderId="17"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41" fillId="0" borderId="25" applyNumberFormat="0" applyFill="0" applyAlignment="0" applyProtection="0"/>
    <xf numFmtId="0" fontId="49" fillId="38"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235" fillId="0" borderId="26" applyNumberFormat="0" applyFill="0" applyAlignment="0" applyProtection="0">
      <alignment vertical="center"/>
    </xf>
    <xf numFmtId="0" fontId="190" fillId="0" borderId="26"/>
    <xf numFmtId="0" fontId="104" fillId="69" borderId="24" applyNumberFormat="0" applyAlignment="0" applyProtection="0"/>
    <xf numFmtId="0" fontId="48"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42" fillId="51" borderId="17" applyNumberFormat="0" applyAlignment="0" applyProtection="0"/>
    <xf numFmtId="0" fontId="197" fillId="54" borderId="23" applyNumberFormat="0" applyFont="0" applyAlignment="0" applyProtection="0">
      <alignment vertical="center"/>
    </xf>
    <xf numFmtId="0" fontId="113" fillId="81" borderId="24" applyNumberFormat="0" applyAlignment="0" applyProtection="0"/>
    <xf numFmtId="0" fontId="182" fillId="68" borderId="24"/>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336" fillId="68" borderId="17" applyNumberFormat="0" applyAlignment="0" applyProtection="0">
      <alignment vertical="center"/>
    </xf>
    <xf numFmtId="0" fontId="49" fillId="38" borderId="17" applyNumberFormat="0" applyAlignment="0" applyProtection="0"/>
    <xf numFmtId="0" fontId="85" fillId="80" borderId="24" applyNumberFormat="0" applyAlignment="0" applyProtection="0">
      <alignment vertical="center"/>
    </xf>
    <xf numFmtId="0" fontId="277" fillId="0" borderId="25" applyNumberFormat="0" applyFill="0" applyAlignment="0" applyProtection="0">
      <alignment vertical="center"/>
    </xf>
    <xf numFmtId="0" fontId="336" fillId="68" borderId="17"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48" fillId="51" borderId="24" applyNumberFormat="0" applyAlignment="0" applyProtection="0"/>
    <xf numFmtId="0" fontId="114" fillId="80" borderId="17" applyNumberFormat="0" applyAlignment="0" applyProtection="0"/>
    <xf numFmtId="0" fontId="113" fillId="80" borderId="24" applyNumberFormat="0" applyAlignment="0" applyProtection="0"/>
    <xf numFmtId="0" fontId="251" fillId="54" borderId="23" applyNumberFormat="0" applyFont="0" applyAlignment="0" applyProtection="0">
      <alignment vertical="center"/>
    </xf>
    <xf numFmtId="0" fontId="194" fillId="65" borderId="17" applyNumberFormat="0" applyAlignment="0" applyProtection="0">
      <alignment vertical="center"/>
    </xf>
    <xf numFmtId="0" fontId="264" fillId="51" borderId="24" applyNumberFormat="0" applyAlignment="0" applyProtection="0">
      <alignment vertical="center"/>
    </xf>
    <xf numFmtId="0" fontId="194" fillId="38" borderId="17" applyNumberFormat="0" applyAlignment="0" applyProtection="0">
      <alignment vertical="center"/>
    </xf>
    <xf numFmtId="0" fontId="205" fillId="0" borderId="25" applyNumberFormat="0" applyFill="0" applyAlignment="0" applyProtection="0">
      <alignment vertical="center"/>
    </xf>
    <xf numFmtId="0" fontId="114" fillId="81" borderId="17" applyNumberFormat="0" applyAlignment="0" applyProtection="0"/>
    <xf numFmtId="0" fontId="1" fillId="54" borderId="23" applyNumberFormat="0" applyFont="0" applyAlignment="0" applyProtection="0"/>
    <xf numFmtId="0" fontId="60" fillId="0" borderId="26" applyNumberFormat="0" applyFill="0" applyAlignment="0" applyProtection="0">
      <alignment vertical="center"/>
    </xf>
    <xf numFmtId="0" fontId="104" fillId="69" borderId="24" applyNumberFormat="0" applyAlignment="0" applyProtection="0"/>
    <xf numFmtId="0" fontId="60" fillId="0" borderId="26" applyNumberFormat="0" applyFill="0" applyAlignment="0" applyProtection="0">
      <alignment vertical="center"/>
    </xf>
    <xf numFmtId="0" fontId="113" fillId="80" borderId="24" applyNumberFormat="0" applyAlignment="0" applyProtection="0"/>
    <xf numFmtId="0" fontId="42" fillId="51" borderId="17" applyNumberFormat="0" applyAlignment="0" applyProtection="0"/>
    <xf numFmtId="0" fontId="340" fillId="69" borderId="24"/>
    <xf numFmtId="0" fontId="281" fillId="38" borderId="17" applyNumberFormat="0" applyAlignment="0" applyProtection="0">
      <alignment vertical="center"/>
    </xf>
    <xf numFmtId="0" fontId="100" fillId="68" borderId="17" applyNumberForma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157" fillId="51" borderId="17" applyNumberFormat="0" applyAlignment="0" applyProtection="0">
      <alignment vertical="center"/>
    </xf>
    <xf numFmtId="0" fontId="132" fillId="0" borderId="25" applyNumberFormat="0" applyFill="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05" fillId="0" borderId="25" applyNumberFormat="0" applyFill="0" applyAlignment="0" applyProtection="0">
      <alignment vertical="center"/>
    </xf>
    <xf numFmtId="0" fontId="339" fillId="65" borderId="17" applyNumberFormat="0" applyAlignment="0" applyProtection="0">
      <alignment vertical="center"/>
    </xf>
    <xf numFmtId="0" fontId="30" fillId="54" borderId="23" applyNumberFormat="0" applyFont="0" applyAlignment="0" applyProtection="0"/>
    <xf numFmtId="0" fontId="247" fillId="68" borderId="24" applyNumberFormat="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282" fillId="51" borderId="24" applyNumberFormat="0" applyAlignment="0" applyProtection="0">
      <alignment vertical="center"/>
    </xf>
    <xf numFmtId="0" fontId="157" fillId="80" borderId="17" applyNumberFormat="0" applyAlignment="0" applyProtection="0">
      <alignment vertical="center"/>
    </xf>
    <xf numFmtId="0" fontId="119" fillId="0" borderId="25" applyNumberFormat="0" applyFill="0" applyAlignment="0" applyProtection="0"/>
    <xf numFmtId="0" fontId="247" fillId="68" borderId="24" applyNumberFormat="0" applyAlignment="0" applyProtection="0">
      <alignment vertical="center"/>
    </xf>
    <xf numFmtId="0" fontId="280" fillId="51" borderId="17" applyNumberFormat="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3" fillId="80" borderId="24" applyNumberFormat="0" applyAlignment="0" applyProtection="0"/>
    <xf numFmtId="0" fontId="85" fillId="51" borderId="24" applyNumberFormat="0" applyAlignment="0" applyProtection="0">
      <alignment vertical="center"/>
    </xf>
    <xf numFmtId="0" fontId="112" fillId="38" borderId="17" applyNumberFormat="0" applyAlignment="0" applyProtection="0"/>
    <xf numFmtId="0" fontId="280" fillId="80" borderId="17" applyNumberFormat="0" applyAlignment="0" applyProtection="0">
      <alignment vertical="center"/>
    </xf>
    <xf numFmtId="0" fontId="133" fillId="38" borderId="17" applyNumberFormat="0" applyAlignment="0" applyProtection="0">
      <alignment vertical="center"/>
    </xf>
    <xf numFmtId="0" fontId="227" fillId="38" borderId="17" applyNumberFormat="0" applyAlignment="0" applyProtection="0">
      <alignment vertical="center"/>
    </xf>
    <xf numFmtId="0" fontId="282" fillId="51"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112" fillId="66" borderId="17" applyNumberFormat="0" applyAlignment="0" applyProtection="0"/>
    <xf numFmtId="0" fontId="104" fillId="69" borderId="24" applyNumberFormat="0" applyAlignment="0" applyProtection="0"/>
    <xf numFmtId="0" fontId="30" fillId="54" borderId="23" applyNumberFormat="0" applyFont="0" applyAlignment="0" applyProtection="0"/>
    <xf numFmtId="0" fontId="282" fillId="51" borderId="24" applyNumberFormat="0" applyAlignment="0" applyProtection="0">
      <alignment vertical="center"/>
    </xf>
    <xf numFmtId="0" fontId="205" fillId="0" borderId="25" applyNumberFormat="0" applyFill="0" applyAlignment="0" applyProtection="0">
      <alignment vertical="center"/>
    </xf>
    <xf numFmtId="0" fontId="48" fillId="51" borderId="24" applyNumberFormat="0" applyAlignment="0" applyProtection="0"/>
    <xf numFmtId="0" fontId="159"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226" fillId="51" borderId="17" applyNumberFormat="0" applyAlignment="0" applyProtection="0">
      <alignment vertical="center"/>
    </xf>
    <xf numFmtId="0" fontId="42" fillId="51" borderId="17" applyNumberFormat="0" applyAlignment="0" applyProtection="0"/>
    <xf numFmtId="0" fontId="119" fillId="0" borderId="25" applyNumberFormat="0" applyFill="0" applyAlignment="0" applyProtection="0"/>
    <xf numFmtId="0" fontId="282" fillId="51" borderId="24" applyNumberFormat="0" applyAlignment="0" applyProtection="0">
      <alignment vertical="center"/>
    </xf>
    <xf numFmtId="0" fontId="113" fillId="80" borderId="24" applyNumberFormat="0" applyAlignment="0" applyProtection="0"/>
    <xf numFmtId="0" fontId="30" fillId="54" borderId="23" applyNumberFormat="0" applyFont="0" applyAlignment="0" applyProtection="0"/>
    <xf numFmtId="0" fontId="223" fillId="0" borderId="25"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43" fillId="68" borderId="17"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81" fillId="38" borderId="17" applyNumberFormat="0" applyAlignment="0" applyProtection="0">
      <alignment vertical="center"/>
    </xf>
    <xf numFmtId="0" fontId="336" fillId="68" borderId="17" applyNumberFormat="0" applyAlignment="0" applyProtection="0">
      <alignment vertical="center"/>
    </xf>
    <xf numFmtId="0" fontId="30" fillId="54" borderId="23" applyNumberFormat="0" applyFont="0" applyAlignment="0" applyProtection="0"/>
    <xf numFmtId="0" fontId="85" fillId="81" borderId="24" applyNumberFormat="0" applyAlignment="0" applyProtection="0"/>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19" fillId="0" borderId="25" applyNumberFormat="0" applyFill="0" applyAlignment="0" applyProtection="0"/>
    <xf numFmtId="0" fontId="112" fillId="65" borderId="17" applyNumberFormat="0" applyAlignment="0" applyProtection="0"/>
    <xf numFmtId="0" fontId="114" fillId="80"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48" fillId="51" borderId="24" applyNumberFormat="0" applyAlignment="0" applyProtection="0"/>
    <xf numFmtId="0" fontId="164" fillId="54"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85" fillId="81" borderId="24" applyNumberFormat="0" applyAlignment="0" applyProtection="0"/>
    <xf numFmtId="0" fontId="139" fillId="51" borderId="24" applyNumberFormat="0" applyAlignment="0" applyProtection="0">
      <alignment vertical="center"/>
    </xf>
    <xf numFmtId="0" fontId="85" fillId="80" borderId="24" applyNumberFormat="0" applyAlignment="0" applyProtection="0">
      <alignment vertical="center"/>
    </xf>
    <xf numFmtId="0" fontId="60" fillId="0" borderId="26" applyNumberFormat="0" applyFill="0" applyAlignment="0" applyProtection="0">
      <alignment vertical="center"/>
    </xf>
    <xf numFmtId="0" fontId="159" fillId="80"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03" fillId="66" borderId="17" applyNumberFormat="0" applyAlignment="0" applyProtection="0"/>
    <xf numFmtId="0" fontId="85" fillId="80" borderId="24"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08" fillId="51" borderId="17" applyNumberFormat="0" applyAlignment="0" applyProtection="0">
      <alignment vertical="center"/>
    </xf>
    <xf numFmtId="0" fontId="264" fillId="51" borderId="24" applyNumberFormat="0" applyAlignment="0" applyProtection="0">
      <alignment vertical="center"/>
    </xf>
    <xf numFmtId="0" fontId="176" fillId="38" borderId="17"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47" fillId="69" borderId="24"/>
    <xf numFmtId="0" fontId="1" fillId="70" borderId="23" applyNumberFormat="0" applyFont="0" applyAlignment="0" applyProtection="0">
      <alignment vertical="center"/>
    </xf>
    <xf numFmtId="0" fontId="281" fillId="38" borderId="17" applyNumberFormat="0" applyAlignment="0" applyProtection="0">
      <alignment vertical="center"/>
    </xf>
    <xf numFmtId="0" fontId="119" fillId="0" borderId="25" applyNumberFormat="0" applyFill="0" applyAlignment="0" applyProtection="0"/>
    <xf numFmtId="0" fontId="84" fillId="38" borderId="17" applyNumberFormat="0" applyAlignment="0" applyProtection="0">
      <alignment vertical="center"/>
    </xf>
    <xf numFmtId="0" fontId="42" fillId="51"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197" fillId="54" borderId="23" applyNumberFormat="0" applyFont="0" applyAlignment="0" applyProtection="0">
      <alignment vertical="center"/>
    </xf>
    <xf numFmtId="0" fontId="92"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58" fillId="38" borderId="17" applyNumberFormat="0" applyAlignment="0" applyProtection="0">
      <alignment vertical="center"/>
    </xf>
    <xf numFmtId="0" fontId="85" fillId="80" borderId="24" applyNumberFormat="0" applyAlignment="0" applyProtection="0">
      <alignment vertical="center"/>
    </xf>
    <xf numFmtId="0" fontId="30" fillId="54" borderId="23" applyNumberFormat="0" applyFont="0" applyAlignment="0" applyProtection="0"/>
    <xf numFmtId="0" fontId="139" fillId="51" borderId="24" applyNumberFormat="0" applyAlignment="0" applyProtection="0">
      <alignment vertical="center"/>
    </xf>
    <xf numFmtId="0" fontId="119" fillId="0" borderId="25" applyNumberFormat="0" applyFill="0" applyAlignment="0" applyProtection="0"/>
    <xf numFmtId="0" fontId="197" fillId="54" borderId="23" applyNumberFormat="0" applyFont="0" applyAlignment="0" applyProtection="0">
      <alignment vertical="center"/>
    </xf>
    <xf numFmtId="0" fontId="1" fillId="70" borderId="23" applyNumberFormat="0" applyFont="0" applyAlignment="0" applyProtection="0"/>
    <xf numFmtId="0" fontId="157" fillId="51" borderId="17" applyNumberFormat="0" applyAlignment="0" applyProtection="0">
      <alignment vertical="center"/>
    </xf>
    <xf numFmtId="0" fontId="209" fillId="38" borderId="17" applyNumberFormat="0" applyAlignment="0" applyProtection="0">
      <alignment vertical="center"/>
    </xf>
    <xf numFmtId="0" fontId="85" fillId="51" borderId="24" applyNumberFormat="0" applyAlignment="0" applyProtection="0">
      <alignment vertical="center"/>
    </xf>
    <xf numFmtId="0" fontId="158" fillId="38" borderId="17" applyNumberFormat="0" applyAlignment="0" applyProtection="0">
      <alignment vertical="center"/>
    </xf>
    <xf numFmtId="0" fontId="282" fillId="51" borderId="24" applyNumberFormat="0" applyAlignment="0" applyProtection="0">
      <alignment vertical="center"/>
    </xf>
    <xf numFmtId="0" fontId="264"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251" fillId="54" borderId="23" applyNumberFormat="0" applyFon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49" fillId="38"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114" fillId="80" borderId="17" applyNumberFormat="0" applyAlignment="0" applyProtection="0"/>
    <xf numFmtId="0" fontId="113" fillId="80" borderId="24" applyNumberFormat="0" applyAlignment="0" applyProtection="0"/>
    <xf numFmtId="0" fontId="112" fillId="38" borderId="17" applyNumberFormat="0" applyAlignment="0" applyProtection="0"/>
    <xf numFmtId="0" fontId="158" fillId="66" borderId="17"/>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65" borderId="17"/>
    <xf numFmtId="0" fontId="48" fillId="51" borderId="24" applyNumberFormat="0" applyAlignment="0" applyProtection="0"/>
    <xf numFmtId="0" fontId="49" fillId="38" borderId="17" applyNumberFormat="0" applyAlignment="0" applyProtection="0"/>
    <xf numFmtId="0" fontId="243" fillId="68" borderId="17" applyNumberFormat="0" applyAlignment="0" applyProtection="0">
      <alignment vertical="center"/>
    </xf>
    <xf numFmtId="0" fontId="80" fillId="0" borderId="25"/>
    <xf numFmtId="0" fontId="139" fillId="51" borderId="24"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194" fillId="65" borderId="17"/>
    <xf numFmtId="0" fontId="210" fillId="51" borderId="24" applyNumberFormat="0" applyAlignment="0" applyProtection="0">
      <alignment vertical="center"/>
    </xf>
    <xf numFmtId="0" fontId="113" fillId="80" borderId="24" applyNumberFormat="0" applyAlignment="0" applyProtection="0"/>
    <xf numFmtId="0" fontId="158" fillId="38" borderId="17" applyNumberFormat="0" applyAlignment="0" applyProtection="0">
      <alignment vertical="center"/>
    </xf>
    <xf numFmtId="0" fontId="119" fillId="0" borderId="25" applyNumberFormat="0" applyFill="0" applyAlignment="0" applyProtection="0"/>
    <xf numFmtId="0" fontId="85" fillId="80" borderId="24" applyNumberFormat="0" applyAlignment="0" applyProtection="0">
      <alignment vertical="center"/>
    </xf>
    <xf numFmtId="0" fontId="320" fillId="68" borderId="24" applyNumberFormat="0" applyAlignment="0" applyProtection="0">
      <alignment vertical="center"/>
    </xf>
    <xf numFmtId="0" fontId="104" fillId="67" borderId="24" applyNumberFormat="0" applyAlignment="0" applyProtection="0">
      <alignment vertical="center"/>
    </xf>
    <xf numFmtId="0" fontId="328" fillId="0" borderId="26" applyNumberFormat="0" applyFill="0" applyAlignment="0" applyProtection="0">
      <alignment vertical="center"/>
    </xf>
    <xf numFmtId="0" fontId="182" fillId="68" borderId="24"/>
    <xf numFmtId="0" fontId="281" fillId="38" borderId="17" applyNumberFormat="0" applyAlignment="0" applyProtection="0">
      <alignment vertical="center"/>
    </xf>
    <xf numFmtId="0" fontId="84" fillId="65" borderId="17"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210" fillId="51" borderId="24" applyNumberFormat="0" applyAlignment="0" applyProtection="0">
      <alignment vertical="center"/>
    </xf>
    <xf numFmtId="0" fontId="157" fillId="51" borderId="17" applyNumberFormat="0" applyAlignment="0" applyProtection="0">
      <alignment vertical="center"/>
    </xf>
    <xf numFmtId="0" fontId="205" fillId="0" borderId="25" applyNumberFormat="0" applyFill="0" applyAlignment="0" applyProtection="0">
      <alignment vertical="center"/>
    </xf>
    <xf numFmtId="0" fontId="85" fillId="51" borderId="24" applyNumberFormat="0" applyAlignment="0" applyProtection="0">
      <alignment vertical="center"/>
    </xf>
    <xf numFmtId="0" fontId="1" fillId="71" borderId="23" applyNumberFormat="0" applyAlignment="0" applyProtection="0"/>
    <xf numFmtId="0" fontId="210" fillId="51" borderId="24" applyNumberFormat="0" applyAlignment="0" applyProtection="0">
      <alignment vertical="center"/>
    </xf>
    <xf numFmtId="0" fontId="84" fillId="38" borderId="17" applyNumberFormat="0" applyAlignment="0" applyProtection="0">
      <alignment vertical="center"/>
    </xf>
    <xf numFmtId="0" fontId="114" fillId="80" borderId="17" applyNumberFormat="0" applyAlignment="0" applyProtection="0"/>
    <xf numFmtId="0" fontId="113" fillId="51" borderId="24" applyNumberFormat="0" applyAlignment="0" applyProtection="0"/>
    <xf numFmtId="0" fontId="282" fillId="80"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175"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03" fillId="38" borderId="17" applyNumberFormat="0" applyAlignment="0" applyProtection="0">
      <alignment vertical="center"/>
    </xf>
    <xf numFmtId="0" fontId="85" fillId="80" borderId="24" applyNumberFormat="0" applyAlignment="0" applyProtection="0">
      <alignment vertical="center"/>
    </xf>
    <xf numFmtId="0" fontId="269" fillId="54" borderId="23" applyNumberFormat="0" applyFont="0" applyAlignment="0" applyProtection="0">
      <alignment vertical="center"/>
    </xf>
    <xf numFmtId="0" fontId="1" fillId="71" borderId="23" applyNumberFormat="0" applyAlignment="0" applyProtection="0"/>
    <xf numFmtId="0" fontId="262" fillId="51" borderId="17" applyNumberFormat="0" applyAlignment="0" applyProtection="0">
      <alignment vertical="center"/>
    </xf>
    <xf numFmtId="0" fontId="339" fillId="65" borderId="17"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42" fillId="51" borderId="17" applyNumberFormat="0" applyAlignment="0" applyProtection="0"/>
    <xf numFmtId="0" fontId="85" fillId="81" borderId="24" applyNumberFormat="0" applyAlignment="0" applyProtection="0"/>
    <xf numFmtId="0" fontId="103" fillId="66" borderId="17"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5"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xf numFmtId="0" fontId="141" fillId="35" borderId="0" applyNumberFormat="0" applyBorder="0" applyAlignment="0" applyProtection="0">
      <alignment vertical="center"/>
    </xf>
    <xf numFmtId="0" fontId="142" fillId="34" borderId="0" applyNumberFormat="0" applyBorder="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30" fillId="0" borderId="0"/>
    <xf numFmtId="0" fontId="30" fillId="0" borderId="0"/>
    <xf numFmtId="0" fontId="112" fillId="38" borderId="17" applyNumberFormat="0" applyAlignment="0" applyProtection="0"/>
    <xf numFmtId="0" fontId="41" fillId="0" borderId="25" applyNumberFormat="0" applyFill="0" applyAlignment="0" applyProtection="0"/>
    <xf numFmtId="0" fontId="42" fillId="51" borderId="17" applyNumberFormat="0" applyAlignment="0" applyProtection="0"/>
    <xf numFmtId="0" fontId="157" fillId="51" borderId="17" applyNumberFormat="0" applyAlignment="0" applyProtection="0">
      <alignment vertical="center"/>
    </xf>
    <xf numFmtId="0" fontId="247" fillId="68"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48" fillId="51" borderId="24" applyNumberFormat="0" applyAlignment="0" applyProtection="0"/>
    <xf numFmtId="0" fontId="119" fillId="0" borderId="25" applyNumberFormat="0" applyFill="0" applyAlignment="0" applyProtection="0"/>
    <xf numFmtId="0" fontId="328" fillId="0" borderId="26"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328" fillId="0" borderId="26" applyNumberFormat="0" applyFill="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190" fillId="0" borderId="26" applyNumberFormat="0" applyFill="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4" fillId="81"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83" fillId="51" borderId="17" applyNumberFormat="0" applyAlignment="0" applyProtection="0">
      <alignment vertical="center"/>
    </xf>
    <xf numFmtId="0" fontId="172" fillId="0" borderId="25" applyNumberFormat="0" applyFill="0" applyAlignment="0" applyProtection="0">
      <alignment vertical="center"/>
    </xf>
    <xf numFmtId="0" fontId="100" fillId="67" borderId="17" applyNumberFormat="0" applyAlignment="0" applyProtection="0">
      <alignment vertical="center"/>
    </xf>
    <xf numFmtId="0" fontId="112" fillId="65" borderId="17" applyNumberFormat="0" applyAlignment="0" applyProtection="0"/>
    <xf numFmtId="0" fontId="49" fillId="38" borderId="17" applyNumberFormat="0" applyAlignment="0" applyProtection="0"/>
    <xf numFmtId="0" fontId="30" fillId="54" borderId="23" applyNumberFormat="0" applyFont="0" applyAlignment="0" applyProtection="0"/>
    <xf numFmtId="0" fontId="159" fillId="80" borderId="24"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247" fillId="68" borderId="24" applyNumberFormat="0" applyAlignment="0" applyProtection="0">
      <alignment vertical="center"/>
    </xf>
    <xf numFmtId="0" fontId="41" fillId="0" borderId="25" applyNumberFormat="0" applyFill="0" applyAlignment="0" applyProtection="0"/>
    <xf numFmtId="0" fontId="1" fillId="70" borderId="23" applyNumberFormat="0" applyFont="0" applyAlignment="0" applyProtection="0"/>
    <xf numFmtId="0" fontId="113" fillId="51" borderId="24" applyNumberFormat="0" applyAlignment="0" applyProtection="0"/>
    <xf numFmtId="0" fontId="210" fillId="51" borderId="24" applyNumberFormat="0" applyAlignment="0" applyProtection="0">
      <alignment vertical="center"/>
    </xf>
    <xf numFmtId="0" fontId="30" fillId="54" borderId="23" applyNumberFormat="0" applyFont="0" applyAlignment="0" applyProtection="0"/>
    <xf numFmtId="0" fontId="197" fillId="54" borderId="23" applyNumberFormat="0" applyFont="0" applyAlignment="0" applyProtection="0">
      <alignment vertical="center"/>
    </xf>
    <xf numFmtId="0" fontId="113" fillId="80" borderId="24" applyNumberFormat="0" applyAlignment="0" applyProtection="0"/>
    <xf numFmtId="0" fontId="113" fillId="81" borderId="24" applyNumberFormat="0" applyAlignment="0" applyProtection="0"/>
    <xf numFmtId="0" fontId="282" fillId="51" borderId="24" applyNumberFormat="0" applyAlignment="0" applyProtection="0">
      <alignment vertical="center"/>
    </xf>
    <xf numFmtId="0" fontId="80" fillId="0" borderId="25" applyNumberFormat="0" applyFill="0" applyAlignment="0" applyProtection="0">
      <alignment vertical="center"/>
    </xf>
    <xf numFmtId="0" fontId="100" fillId="69" borderId="17"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58" fillId="65" borderId="17" applyNumberFormat="0" applyAlignment="0" applyProtection="0">
      <alignment vertical="center"/>
    </xf>
    <xf numFmtId="0" fontId="49" fillId="38" borderId="17" applyNumberFormat="0" applyAlignment="0" applyProtection="0"/>
    <xf numFmtId="0" fontId="247" fillId="68" borderId="24" applyNumberFormat="0" applyAlignment="0" applyProtection="0">
      <alignment vertical="center"/>
    </xf>
    <xf numFmtId="0" fontId="246" fillId="65" borderId="17" applyNumberFormat="0" applyAlignment="0" applyProtection="0">
      <alignment vertical="center"/>
    </xf>
    <xf numFmtId="0" fontId="339" fillId="65" borderId="17" applyNumberFormat="0" applyAlignment="0" applyProtection="0">
      <alignment vertical="center"/>
    </xf>
    <xf numFmtId="0" fontId="208" fillId="51" borderId="17" applyNumberFormat="0" applyAlignment="0" applyProtection="0">
      <alignment vertical="center"/>
    </xf>
    <xf numFmtId="0" fontId="133" fillId="38" borderId="17"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83" fillId="81" borderId="17" applyNumberFormat="0" applyAlignment="0" applyProtection="0"/>
    <xf numFmtId="0" fontId="103" fillId="66" borderId="17" applyNumberFormat="0" applyAlignment="0" applyProtection="0"/>
    <xf numFmtId="0" fontId="228"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281" fillId="65" borderId="17" applyNumberFormat="0" applyAlignment="0" applyProtection="0">
      <alignment vertical="center"/>
    </xf>
    <xf numFmtId="0" fontId="1" fillId="71" borderId="23" applyNumberFormat="0" applyAlignment="0" applyProtection="0"/>
    <xf numFmtId="0" fontId="60" fillId="0" borderId="26" applyNumberFormat="0" applyFill="0" applyAlignment="0" applyProtection="0">
      <alignment vertical="center"/>
    </xf>
    <xf numFmtId="0" fontId="182" fillId="68" borderId="24" applyNumberFormat="0" applyAlignment="0" applyProtection="0">
      <alignment vertical="center"/>
    </xf>
    <xf numFmtId="0" fontId="83" fillId="81" borderId="17" applyNumberFormat="0" applyAlignment="0" applyProtection="0"/>
    <xf numFmtId="0" fontId="113" fillId="80" borderId="24" applyNumberFormat="0" applyAlignment="0" applyProtection="0"/>
    <xf numFmtId="0" fontId="41" fillId="0" borderId="25" applyNumberFormat="0" applyFill="0" applyAlignment="0" applyProtection="0"/>
    <xf numFmtId="0" fontId="60" fillId="0" borderId="26" applyNumberFormat="0" applyFill="0" applyAlignment="0" applyProtection="0">
      <alignment vertical="center"/>
    </xf>
    <xf numFmtId="0" fontId="282" fillId="51" borderId="24" applyNumberFormat="0" applyAlignment="0" applyProtection="0">
      <alignment vertical="center"/>
    </xf>
    <xf numFmtId="0" fontId="235" fillId="0" borderId="26"/>
    <xf numFmtId="0" fontId="316" fillId="6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76" fillId="38" borderId="17" applyNumberFormat="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91" fillId="54" borderId="23" applyNumberFormat="0" applyFon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75" fillId="51" borderId="17" applyNumberFormat="0" applyAlignment="0" applyProtection="0">
      <alignment vertical="center"/>
    </xf>
    <xf numFmtId="0" fontId="158" fillId="38" borderId="17" applyNumberFormat="0" applyAlignment="0" applyProtection="0">
      <alignment vertical="center"/>
    </xf>
    <xf numFmtId="0" fontId="48" fillId="51" borderId="24" applyNumberFormat="0" applyAlignment="0" applyProtection="0"/>
    <xf numFmtId="0" fontId="84" fillId="65" borderId="17" applyNumberFormat="0" applyAlignment="0" applyProtection="0">
      <alignment vertical="center"/>
    </xf>
    <xf numFmtId="0" fontId="112" fillId="65"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58" fillId="66" borderId="17" applyNumberFormat="0" applyAlignment="0" applyProtection="0"/>
    <xf numFmtId="0" fontId="280" fillId="51" borderId="17"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83" fillId="80" borderId="17" applyNumberFormat="0" applyAlignment="0" applyProtection="0">
      <alignment vertical="center"/>
    </xf>
    <xf numFmtId="0" fontId="159" fillId="80" borderId="24" applyNumberFormat="0" applyAlignment="0" applyProtection="0">
      <alignment vertical="center"/>
    </xf>
    <xf numFmtId="0" fontId="126" fillId="51" borderId="17" applyNumberFormat="0" applyAlignment="0" applyProtection="0">
      <alignment vertical="center"/>
    </xf>
    <xf numFmtId="0" fontId="263" fillId="38" borderId="17" applyNumberFormat="0" applyAlignment="0" applyProtection="0">
      <alignment vertical="center"/>
    </xf>
    <xf numFmtId="0" fontId="282" fillId="80"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2" fillId="65" borderId="17" applyNumberFormat="0" applyAlignment="0" applyProtection="0"/>
    <xf numFmtId="0" fontId="154" fillId="0" borderId="25" applyNumberFormat="0" applyFill="0" applyAlignment="0" applyProtection="0"/>
    <xf numFmtId="0" fontId="247" fillId="68" borderId="24" applyNumberFormat="0" applyAlignment="0" applyProtection="0">
      <alignment vertical="center"/>
    </xf>
    <xf numFmtId="0" fontId="48" fillId="51" borderId="24" applyNumberFormat="0" applyAlignment="0" applyProtection="0"/>
    <xf numFmtId="0" fontId="210" fillId="51" borderId="24" applyNumberFormat="0" applyAlignment="0" applyProtection="0">
      <alignment vertical="center"/>
    </xf>
    <xf numFmtId="0" fontId="73" fillId="54" borderId="23" applyNumberFormat="0" applyFont="0" applyAlignment="0" applyProtection="0">
      <alignment vertical="center"/>
    </xf>
    <xf numFmtId="0" fontId="42" fillId="51" borderId="17"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94" fillId="65" borderId="17" applyNumberFormat="0" applyAlignment="0" applyProtection="0">
      <alignment vertical="center"/>
    </xf>
    <xf numFmtId="0" fontId="42" fillId="51" borderId="17" applyNumberFormat="0" applyAlignment="0" applyProtection="0"/>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49" fillId="38" borderId="17" applyNumberFormat="0" applyAlignment="0" applyProtection="0"/>
    <xf numFmtId="0" fontId="259" fillId="0" borderId="25" applyNumberFormat="0" applyFill="0" applyAlignment="0" applyProtection="0">
      <alignment vertical="center"/>
    </xf>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82" fillId="67" borderId="24" applyNumberFormat="0" applyAlignment="0" applyProtection="0">
      <alignment vertical="center"/>
    </xf>
    <xf numFmtId="0" fontId="112" fillId="65" borderId="17" applyNumberFormat="0" applyAlignment="0" applyProtection="0"/>
    <xf numFmtId="0" fontId="339" fillId="65" borderId="17" applyNumberFormat="0" applyAlignment="0" applyProtection="0">
      <alignment vertical="center"/>
    </xf>
    <xf numFmtId="0" fontId="48" fillId="51" borderId="24" applyNumberFormat="0" applyAlignment="0" applyProtection="0"/>
    <xf numFmtId="0" fontId="85" fillId="81" borderId="24"/>
    <xf numFmtId="0" fontId="112" fillId="66" borderId="17" applyNumberFormat="0" applyAlignment="0" applyProtection="0"/>
    <xf numFmtId="0" fontId="113" fillId="81" borderId="24" applyNumberFormat="0" applyAlignment="0" applyProtection="0"/>
    <xf numFmtId="0" fontId="60" fillId="0" borderId="26" applyNumberFormat="0" applyFill="0" applyAlignment="0" applyProtection="0">
      <alignment vertical="center"/>
    </xf>
    <xf numFmtId="0" fontId="1" fillId="71" borderId="23"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73" fillId="54" borderId="23" applyNumberFormat="0" applyFont="0" applyAlignment="0" applyProtection="0">
      <alignment vertical="center"/>
    </xf>
    <xf numFmtId="0" fontId="73" fillId="54" borderId="23" applyNumberFormat="0" applyFont="0" applyAlignment="0" applyProtection="0">
      <alignment vertical="center"/>
    </xf>
    <xf numFmtId="0" fontId="73" fillId="54" borderId="23" applyNumberFormat="0" applyFont="0" applyAlignment="0" applyProtection="0">
      <alignment vertical="center"/>
    </xf>
    <xf numFmtId="0" fontId="159" fillId="51" borderId="24"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48" fillId="51" borderId="24" applyNumberFormat="0" applyAlignment="0" applyProtection="0"/>
    <xf numFmtId="0" fontId="197" fillId="54" borderId="23" applyNumberFormat="0" applyFont="0" applyAlignment="0" applyProtection="0">
      <alignment vertical="center"/>
    </xf>
    <xf numFmtId="0" fontId="104" fillId="68" borderId="24" applyNumberFormat="0" applyAlignment="0" applyProtection="0">
      <alignment vertical="center"/>
    </xf>
    <xf numFmtId="0" fontId="183" fillId="68" borderId="17" applyNumberFormat="0" applyAlignment="0" applyProtection="0">
      <alignment vertical="center"/>
    </xf>
    <xf numFmtId="0" fontId="112" fillId="65" borderId="17" applyNumberFormat="0" applyAlignment="0" applyProtection="0"/>
    <xf numFmtId="0" fontId="92" fillId="0" borderId="26" applyNumberFormat="0" applyFill="0" applyAlignment="0" applyProtection="0"/>
    <xf numFmtId="0" fontId="228" fillId="51" borderId="24" applyNumberFormat="0" applyAlignment="0" applyProtection="0">
      <alignment vertical="center"/>
    </xf>
    <xf numFmtId="0" fontId="205" fillId="0" borderId="25" applyNumberFormat="0" applyFill="0" applyAlignment="0" applyProtection="0">
      <alignment vertical="center"/>
    </xf>
    <xf numFmtId="0" fontId="177" fillId="51" borderId="24" applyNumberFormat="0" applyAlignment="0" applyProtection="0">
      <alignment vertical="center"/>
    </xf>
    <xf numFmtId="0" fontId="172" fillId="0" borderId="25" applyNumberFormat="0" applyFill="0" applyAlignment="0" applyProtection="0">
      <alignment vertical="center"/>
    </xf>
    <xf numFmtId="0" fontId="60" fillId="0" borderId="26" applyNumberFormat="0" applyFill="0" applyAlignment="0" applyProtection="0">
      <alignment vertical="center"/>
    </xf>
    <xf numFmtId="0" fontId="182" fillId="68" borderId="24" applyNumberFormat="0" applyAlignment="0" applyProtection="0">
      <alignment vertical="center"/>
    </xf>
    <xf numFmtId="0" fontId="282" fillId="80" borderId="24" applyNumberFormat="0" applyAlignment="0" applyProtection="0">
      <alignment vertical="center"/>
    </xf>
    <xf numFmtId="0" fontId="183" fillId="67" borderId="17"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114" fillId="81" borderId="17" applyNumberFormat="0" applyAlignment="0" applyProtection="0"/>
    <xf numFmtId="0" fontId="83" fillId="80" borderId="17" applyNumberFormat="0" applyAlignment="0" applyProtection="0">
      <alignment vertical="center"/>
    </xf>
    <xf numFmtId="0" fontId="182" fillId="67" borderId="24" applyNumberFormat="0" applyAlignment="0" applyProtection="0">
      <alignment vertical="center"/>
    </xf>
    <xf numFmtId="0" fontId="209" fillId="38" borderId="17" applyNumberFormat="0" applyAlignment="0" applyProtection="0">
      <alignment vertical="center"/>
    </xf>
    <xf numFmtId="0" fontId="113" fillId="80" borderId="24" applyNumberFormat="0" applyAlignment="0" applyProtection="0"/>
    <xf numFmtId="0" fontId="182" fillId="68" borderId="24"/>
    <xf numFmtId="0" fontId="85" fillId="51" borderId="24" applyNumberFormat="0" applyAlignment="0" applyProtection="0">
      <alignment vertical="center"/>
    </xf>
    <xf numFmtId="0" fontId="182" fillId="68" borderId="24"/>
    <xf numFmtId="0" fontId="172" fillId="0" borderId="25" applyNumberFormat="0" applyFill="0" applyAlignment="0" applyProtection="0">
      <alignment vertical="center"/>
    </xf>
    <xf numFmtId="0" fontId="112" fillId="66" borderId="17" applyNumberFormat="0" applyAlignment="0" applyProtection="0"/>
    <xf numFmtId="0" fontId="84" fillId="66" borderId="17" applyNumberFormat="0" applyAlignment="0" applyProtection="0"/>
    <xf numFmtId="0" fontId="41" fillId="0" borderId="25" applyNumberFormat="0" applyFill="0" applyAlignment="0" applyProtection="0"/>
    <xf numFmtId="0" fontId="209" fillId="38"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82" fillId="67" borderId="24" applyNumberFormat="0" applyAlignment="0" applyProtection="0">
      <alignment vertical="center"/>
    </xf>
    <xf numFmtId="0" fontId="158" fillId="65" borderId="17" applyNumberFormat="0" applyAlignment="0" applyProtection="0">
      <alignment vertical="center"/>
    </xf>
    <xf numFmtId="0" fontId="85" fillId="81" borderId="24" applyNumberFormat="0" applyAlignment="0" applyProtection="0"/>
    <xf numFmtId="0" fontId="48" fillId="51" borderId="24" applyNumberFormat="0" applyAlignment="0" applyProtection="0"/>
    <xf numFmtId="0" fontId="182" fillId="68" borderId="24" applyNumberFormat="0" applyAlignment="0" applyProtection="0">
      <alignment vertical="center"/>
    </xf>
    <xf numFmtId="0" fontId="124" fillId="54" borderId="23" applyNumberFormat="0" applyFont="0" applyAlignment="0" applyProtection="0">
      <alignment vertical="center"/>
    </xf>
    <xf numFmtId="0" fontId="83" fillId="51" borderId="17" applyNumberFormat="0" applyAlignment="0" applyProtection="0">
      <alignment vertical="center"/>
    </xf>
    <xf numFmtId="0" fontId="113" fillId="80" borderId="24" applyNumberFormat="0" applyAlignment="0" applyProtection="0"/>
    <xf numFmtId="0" fontId="158" fillId="65"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57" fillId="81" borderId="17" applyNumberFormat="0" applyAlignment="0" applyProtection="0"/>
    <xf numFmtId="0" fontId="182" fillId="68" borderId="24"/>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5" fillId="81" borderId="24" applyNumberFormat="0" applyAlignment="0" applyProtection="0"/>
    <xf numFmtId="0" fontId="247" fillId="69" borderId="24"/>
    <xf numFmtId="0" fontId="119" fillId="0" borderId="25" applyNumberFormat="0" applyFill="0" applyAlignment="0" applyProtection="0"/>
    <xf numFmtId="0" fontId="113" fillId="80" borderId="24" applyNumberFormat="0" applyAlignment="0" applyProtection="0"/>
    <xf numFmtId="0" fontId="182" fillId="68" borderId="24"/>
    <xf numFmtId="0" fontId="114" fillId="80" borderId="17" applyNumberFormat="0" applyAlignment="0" applyProtection="0"/>
    <xf numFmtId="0" fontId="113" fillId="80" borderId="24" applyNumberFormat="0" applyAlignment="0" applyProtection="0"/>
    <xf numFmtId="0" fontId="80" fillId="0" borderId="25" applyNumberFormat="0" applyFill="0" applyAlignment="0" applyProtection="0">
      <alignment vertical="center"/>
    </xf>
    <xf numFmtId="0" fontId="113" fillId="80" borderId="24" applyNumberFormat="0" applyAlignment="0" applyProtection="0"/>
    <xf numFmtId="0" fontId="92" fillId="0" borderId="26" applyNumberFormat="0" applyFill="0" applyAlignment="0" applyProtection="0"/>
    <xf numFmtId="0" fontId="157" fillId="81" borderId="17"/>
    <xf numFmtId="0" fontId="60" fillId="0" borderId="26" applyNumberFormat="0" applyFill="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42" fillId="51" borderId="17" applyNumberFormat="0" applyAlignment="0" applyProtection="0"/>
    <xf numFmtId="0" fontId="340" fillId="68" borderId="24" applyNumberFormat="0" applyAlignment="0" applyProtection="0">
      <alignment vertical="center"/>
    </xf>
    <xf numFmtId="0" fontId="321" fillId="65" borderId="17" applyNumberFormat="0" applyAlignment="0" applyProtection="0">
      <alignment vertical="center"/>
    </xf>
    <xf numFmtId="0" fontId="227" fillId="38" borderId="17"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159" fillId="51" borderId="24"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13" fillId="80" borderId="24" applyNumberFormat="0" applyAlignment="0" applyProtection="0"/>
    <xf numFmtId="0" fontId="157" fillId="51" borderId="17" applyNumberFormat="0" applyAlignment="0" applyProtection="0">
      <alignment vertical="center"/>
    </xf>
    <xf numFmtId="0" fontId="208" fillId="51" borderId="17"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154" fillId="0" borderId="25" applyNumberFormat="0" applyFill="0" applyAlignment="0" applyProtection="0">
      <alignment vertical="center"/>
    </xf>
    <xf numFmtId="0" fontId="104" fillId="68" borderId="24" applyNumberFormat="0" applyAlignment="0" applyProtection="0">
      <alignment vertical="center"/>
    </xf>
    <xf numFmtId="0" fontId="60" fillId="0" borderId="26" applyNumberFormat="0" applyFill="0" applyAlignment="0" applyProtection="0">
      <alignment vertical="center"/>
    </xf>
    <xf numFmtId="0" fontId="103" fillId="38" borderId="17" applyNumberFormat="0" applyAlignment="0" applyProtection="0">
      <alignment vertical="center"/>
    </xf>
    <xf numFmtId="0" fontId="48" fillId="51" borderId="24" applyNumberFormat="0" applyAlignment="0" applyProtection="0"/>
    <xf numFmtId="0" fontId="182" fillId="68" borderId="24"/>
    <xf numFmtId="0" fontId="85" fillId="81" borderId="24" applyNumberFormat="0" applyAlignment="0" applyProtection="0"/>
    <xf numFmtId="0" fontId="112" fillId="65" borderId="17" applyNumberFormat="0" applyAlignment="0" applyProtection="0"/>
    <xf numFmtId="0" fontId="119" fillId="0" borderId="25" applyNumberFormat="0" applyFill="0" applyAlignment="0" applyProtection="0"/>
    <xf numFmtId="0" fontId="113" fillId="51" borderId="24" applyNumberFormat="0" applyAlignment="0" applyProtection="0"/>
    <xf numFmtId="0" fontId="92" fillId="0" borderId="26" applyNumberFormat="0" applyFill="0" applyAlignment="0" applyProtection="0">
      <alignment vertical="center"/>
    </xf>
    <xf numFmtId="0" fontId="113" fillId="80" borderId="24" applyNumberFormat="0" applyAlignment="0" applyProtection="0"/>
    <xf numFmtId="0" fontId="262" fillId="51"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64"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77" fillId="51" borderId="24" applyNumberFormat="0" applyAlignment="0" applyProtection="0">
      <alignment vertical="center"/>
    </xf>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04" fillId="67" borderId="24" applyNumberFormat="0" applyAlignment="0" applyProtection="0">
      <alignment vertical="center"/>
    </xf>
    <xf numFmtId="0" fontId="157" fillId="81"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41" fillId="0" borderId="25" applyNumberFormat="0" applyFill="0" applyAlignment="0" applyProtection="0"/>
    <xf numFmtId="0" fontId="228" fillId="51" borderId="24" applyNumberFormat="0" applyAlignment="0" applyProtection="0">
      <alignment vertical="center"/>
    </xf>
    <xf numFmtId="0" fontId="41" fillId="0" borderId="25" applyNumberFormat="0" applyFill="0" applyAlignment="0" applyProtection="0"/>
    <xf numFmtId="0" fontId="154" fillId="0" borderId="25" applyNumberFormat="0" applyFill="0" applyAlignment="0" applyProtection="0">
      <alignment vertical="center"/>
    </xf>
    <xf numFmtId="0" fontId="210" fillId="51" borderId="24" applyNumberFormat="0" applyAlignment="0" applyProtection="0">
      <alignment vertical="center"/>
    </xf>
    <xf numFmtId="0" fontId="205" fillId="0" borderId="25" applyNumberFormat="0" applyFill="0" applyAlignment="0" applyProtection="0">
      <alignment vertical="center"/>
    </xf>
    <xf numFmtId="0" fontId="114" fillId="80" borderId="17" applyNumberFormat="0" applyAlignment="0" applyProtection="0"/>
    <xf numFmtId="0" fontId="264" fillId="51" borderId="24" applyNumberFormat="0" applyAlignment="0" applyProtection="0">
      <alignment vertical="center"/>
    </xf>
    <xf numFmtId="0" fontId="246" fillId="65" borderId="17" applyNumberForma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227" fillId="38" borderId="17" applyNumberFormat="0" applyAlignment="0" applyProtection="0">
      <alignment vertical="center"/>
    </xf>
    <xf numFmtId="0" fontId="158" fillId="65" borderId="17" applyNumberFormat="0" applyAlignment="0" applyProtection="0">
      <alignment vertical="center"/>
    </xf>
    <xf numFmtId="0" fontId="1" fillId="70" borderId="23"/>
    <xf numFmtId="0" fontId="282" fillId="51" borderId="24"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30" fillId="54" borderId="23" applyNumberFormat="0" applyFont="0" applyAlignment="0" applyProtection="0"/>
    <xf numFmtId="0" fontId="49" fillId="38" borderId="17" applyNumberFormat="0" applyAlignment="0" applyProtection="0"/>
    <xf numFmtId="0" fontId="158" fillId="38" borderId="17" applyNumberFormat="0" applyAlignment="0" applyProtection="0">
      <alignment vertical="center"/>
    </xf>
    <xf numFmtId="0" fontId="104" fillId="68" borderId="24" applyNumberFormat="0" applyAlignment="0" applyProtection="0">
      <alignment vertical="center"/>
    </xf>
    <xf numFmtId="0" fontId="336"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82" fillId="68" borderId="24"/>
    <xf numFmtId="0" fontId="228" fillId="51" borderId="24" applyNumberFormat="0" applyAlignment="0" applyProtection="0">
      <alignment vertical="center"/>
    </xf>
    <xf numFmtId="0" fontId="113" fillId="80" borderId="24" applyNumberFormat="0" applyAlignment="0" applyProtection="0"/>
    <xf numFmtId="0" fontId="104" fillId="68" borderId="24" applyNumberFormat="0" applyAlignment="0" applyProtection="0">
      <alignment vertical="center"/>
    </xf>
    <xf numFmtId="0" fontId="48" fillId="51" borderId="24"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104" fillId="69" borderId="24" applyNumberFormat="0" applyAlignment="0" applyProtection="0"/>
    <xf numFmtId="0" fontId="92" fillId="0" borderId="26" applyNumberFormat="0" applyFill="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84" fillId="38" borderId="17" applyNumberFormat="0" applyAlignment="0" applyProtection="0">
      <alignment vertical="center"/>
    </xf>
    <xf numFmtId="0" fontId="228" fillId="51" borderId="24" applyNumberFormat="0" applyAlignment="0" applyProtection="0">
      <alignment vertical="center"/>
    </xf>
    <xf numFmtId="0" fontId="100" fillId="69" borderId="17" applyNumberFormat="0" applyAlignment="0" applyProtection="0"/>
    <xf numFmtId="0" fontId="183" fillId="68" borderId="17"/>
    <xf numFmtId="0" fontId="280" fillId="51" borderId="17" applyNumberFormat="0" applyAlignment="0" applyProtection="0">
      <alignment vertical="center"/>
    </xf>
    <xf numFmtId="0" fontId="243" fillId="68" borderId="17" applyNumberFormat="0" applyAlignment="0" applyProtection="0">
      <alignment vertical="center"/>
    </xf>
    <xf numFmtId="0" fontId="149" fillId="54" borderId="23" applyNumberFormat="0" applyFont="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48" fillId="51" borderId="24" applyNumberFormat="0" applyAlignment="0" applyProtection="0"/>
    <xf numFmtId="0" fontId="42" fillId="51" borderId="17" applyNumberFormat="0" applyAlignment="0" applyProtection="0"/>
    <xf numFmtId="0" fontId="154"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104" fillId="68" borderId="24" applyNumberFormat="0" applyAlignment="0" applyProtection="0">
      <alignment vertical="center"/>
    </xf>
    <xf numFmtId="0" fontId="30" fillId="54"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59" fillId="51" borderId="24" applyNumberFormat="0" applyAlignment="0" applyProtection="0">
      <alignment vertical="center"/>
    </xf>
    <xf numFmtId="0" fontId="48" fillId="51" borderId="24" applyNumberFormat="0" applyAlignment="0" applyProtection="0"/>
    <xf numFmtId="0" fontId="164" fillId="54" borderId="23" applyNumberFormat="0" applyFon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113" fillId="81" borderId="24" applyNumberFormat="0" applyAlignment="0" applyProtection="0"/>
    <xf numFmtId="0" fontId="113" fillId="81" borderId="24" applyNumberFormat="0" applyAlignment="0" applyProtection="0"/>
    <xf numFmtId="0" fontId="157" fillId="51" borderId="17" applyNumberFormat="0" applyAlignment="0" applyProtection="0">
      <alignment vertical="center"/>
    </xf>
    <xf numFmtId="0" fontId="42" fillId="51" borderId="17" applyNumberFormat="0" applyAlignment="0" applyProtection="0"/>
    <xf numFmtId="0" fontId="85" fillId="51" borderId="24" applyNumberFormat="0" applyAlignment="0" applyProtection="0">
      <alignment vertical="center"/>
    </xf>
    <xf numFmtId="0" fontId="194" fillId="38" borderId="17" applyNumberFormat="0" applyAlignment="0" applyProtection="0">
      <alignment vertical="center"/>
    </xf>
    <xf numFmtId="0" fontId="157" fillId="81" borderId="17" applyNumberFormat="0" applyAlignment="0" applyProtection="0"/>
    <xf numFmtId="0" fontId="60" fillId="0" borderId="26" applyNumberFormat="0" applyFill="0" applyAlignment="0" applyProtection="0">
      <alignment vertical="center"/>
    </xf>
    <xf numFmtId="0" fontId="124" fillId="54" borderId="23" applyNumberFormat="0" applyFont="0" applyAlignment="0" applyProtection="0">
      <alignment vertical="center"/>
    </xf>
    <xf numFmtId="0" fontId="48" fillId="51" borderId="24" applyNumberFormat="0" applyAlignment="0" applyProtection="0"/>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194" fillId="38" borderId="17" applyNumberFormat="0" applyAlignment="0" applyProtection="0">
      <alignment vertical="center"/>
    </xf>
    <xf numFmtId="0" fontId="85" fillId="51" borderId="24"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113" fillId="81" borderId="24" applyNumberFormat="0" applyAlignment="0" applyProtection="0"/>
    <xf numFmtId="0" fontId="60" fillId="0" borderId="26" applyNumberFormat="0" applyFill="0" applyAlignment="0" applyProtection="0">
      <alignment vertical="center"/>
    </xf>
    <xf numFmtId="0" fontId="182"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30" fillId="54" borderId="23" applyNumberFormat="0" applyFont="0" applyAlignment="0" applyProtection="0"/>
    <xf numFmtId="0" fontId="277" fillId="0" borderId="25" applyNumberFormat="0" applyFill="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282" fillId="80"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133" fillId="38" borderId="17"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84" fillId="66" borderId="17" applyNumberFormat="0" applyAlignment="0" applyProtection="0"/>
    <xf numFmtId="0" fontId="158" fillId="38" borderId="17" applyNumberFormat="0" applyAlignment="0" applyProtection="0">
      <alignment vertical="center"/>
    </xf>
    <xf numFmtId="0" fontId="41" fillId="0" borderId="25" applyNumberFormat="0" applyFill="0" applyAlignment="0" applyProtection="0"/>
    <xf numFmtId="0" fontId="85" fillId="80" borderId="24" applyNumberFormat="0" applyAlignment="0" applyProtection="0">
      <alignment vertical="center"/>
    </xf>
    <xf numFmtId="0" fontId="112" fillId="65"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119" fillId="0" borderId="25" applyNumberFormat="0" applyFill="0" applyAlignment="0" applyProtection="0"/>
    <xf numFmtId="0" fontId="182" fillId="68" borderId="24" applyNumberFormat="0" applyAlignment="0" applyProtection="0">
      <alignment vertical="center"/>
    </xf>
    <xf numFmtId="0" fontId="281" fillId="38"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23" fillId="0" borderId="25"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320" fillId="68" borderId="24" applyNumberFormat="0" applyAlignment="0" applyProtection="0">
      <alignment vertical="center"/>
    </xf>
    <xf numFmtId="0" fontId="126" fillId="51" borderId="17"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4" fillId="65" borderId="17" applyNumberFormat="0" applyAlignment="0" applyProtection="0">
      <alignment vertical="center"/>
    </xf>
    <xf numFmtId="0" fontId="104" fillId="68" borderId="24" applyNumberFormat="0" applyAlignment="0" applyProtection="0">
      <alignment vertical="center"/>
    </xf>
    <xf numFmtId="0" fontId="41" fillId="0" borderId="25" applyNumberFormat="0" applyFill="0" applyAlignment="0" applyProtection="0"/>
    <xf numFmtId="0" fontId="210" fillId="51" borderId="24" applyNumberFormat="0" applyAlignment="0" applyProtection="0">
      <alignment vertical="center"/>
    </xf>
    <xf numFmtId="0" fontId="80" fillId="0" borderId="25" applyNumberFormat="0" applyFill="0" applyAlignment="0" applyProtection="0"/>
    <xf numFmtId="0" fontId="49" fillId="38" borderId="17"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103" fillId="38" borderId="17" applyNumberFormat="0" applyAlignment="0" applyProtection="0">
      <alignment vertical="center"/>
    </xf>
    <xf numFmtId="0" fontId="49" fillId="38" borderId="17"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41" fillId="0" borderId="25" applyNumberFormat="0" applyFill="0" applyAlignment="0" applyProtection="0"/>
    <xf numFmtId="0" fontId="80" fillId="0" borderId="25"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43" fillId="68" borderId="17" applyNumberFormat="0" applyAlignment="0" applyProtection="0">
      <alignment vertical="center"/>
    </xf>
    <xf numFmtId="0" fontId="119" fillId="0" borderId="25" applyNumberFormat="0" applyFill="0" applyAlignment="0" applyProtection="0"/>
    <xf numFmtId="0" fontId="85" fillId="51" borderId="24" applyNumberFormat="0" applyAlignment="0" applyProtection="0">
      <alignment vertical="center"/>
    </xf>
    <xf numFmtId="0" fontId="183" fillId="68" borderId="17" applyNumberFormat="0" applyAlignment="0" applyProtection="0">
      <alignment vertical="center"/>
    </xf>
    <xf numFmtId="0" fontId="157" fillId="81" borderId="17" applyNumberFormat="0" applyAlignment="0" applyProtection="0"/>
    <xf numFmtId="0" fontId="41" fillId="0" borderId="25" applyNumberFormat="0" applyFill="0" applyAlignment="0" applyProtection="0"/>
    <xf numFmtId="0" fontId="85" fillId="80"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314"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 fillId="70" borderId="23" applyNumberFormat="0" applyFont="0" applyAlignment="0" applyProtection="0"/>
    <xf numFmtId="0" fontId="328" fillId="0" borderId="26"/>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48" fillId="51" borderId="24" applyNumberFormat="0" applyAlignment="0" applyProtection="0"/>
    <xf numFmtId="0" fontId="1" fillId="70" borderId="23" applyNumberFormat="0" applyFont="0" applyAlignment="0" applyProtection="0">
      <alignment vertical="center"/>
    </xf>
    <xf numFmtId="0" fontId="139" fillId="51" borderId="24" applyNumberFormat="0" applyAlignment="0" applyProtection="0">
      <alignment vertical="center"/>
    </xf>
    <xf numFmtId="0" fontId="100" fillId="67" borderId="17" applyNumberFormat="0" applyAlignment="0" applyProtection="0">
      <alignment vertical="center"/>
    </xf>
    <xf numFmtId="0" fontId="264" fillId="51" borderId="24" applyNumberFormat="0" applyAlignment="0" applyProtection="0">
      <alignment vertical="center"/>
    </xf>
    <xf numFmtId="0" fontId="114" fillId="81" borderId="17" applyNumberFormat="0" applyAlignment="0" applyProtection="0"/>
    <xf numFmtId="0" fontId="210" fillId="51" borderId="24" applyNumberFormat="0" applyAlignment="0" applyProtection="0">
      <alignment vertical="center"/>
    </xf>
    <xf numFmtId="0" fontId="190" fillId="0" borderId="26" applyNumberFormat="0" applyFill="0" applyAlignment="0" applyProtection="0">
      <alignment vertical="center"/>
    </xf>
    <xf numFmtId="0" fontId="210" fillId="51" borderId="24" applyNumberFormat="0" applyAlignment="0" applyProtection="0">
      <alignment vertical="center"/>
    </xf>
    <xf numFmtId="0" fontId="112" fillId="65" borderId="17" applyNumberFormat="0" applyAlignment="0" applyProtection="0"/>
    <xf numFmtId="0" fontId="209" fillId="38" borderId="17"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246" fillId="65" borderId="17"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83" fillId="51" borderId="17" applyNumberFormat="0" applyAlignment="0" applyProtection="0">
      <alignment vertical="center"/>
    </xf>
    <xf numFmtId="0" fontId="113" fillId="51" borderId="24" applyNumberFormat="0" applyAlignment="0" applyProtection="0"/>
    <xf numFmtId="0" fontId="84" fillId="66"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3" fillId="81" borderId="24"/>
    <xf numFmtId="0" fontId="1" fillId="70" borderId="23" applyNumberFormat="0" applyFont="0" applyAlignment="0" applyProtection="0">
      <alignment vertical="center"/>
    </xf>
    <xf numFmtId="0" fontId="114" fillId="80" borderId="17" applyNumberFormat="0" applyAlignment="0" applyProtection="0"/>
    <xf numFmtId="0" fontId="112" fillId="65" borderId="17" applyNumberFormat="0" applyAlignment="0" applyProtection="0"/>
    <xf numFmtId="0" fontId="182" fillId="68" borderId="24" applyNumberFormat="0" applyAlignment="0" applyProtection="0">
      <alignment vertical="center"/>
    </xf>
    <xf numFmtId="0" fontId="30" fillId="54" borderId="23" applyNumberFormat="0" applyFont="0" applyAlignment="0" applyProtection="0"/>
    <xf numFmtId="0" fontId="194" fillId="65" borderId="17"/>
    <xf numFmtId="0" fontId="60" fillId="0" borderId="26" applyNumberFormat="0" applyFill="0" applyAlignment="0" applyProtection="0">
      <alignment vertical="center"/>
    </xf>
    <xf numFmtId="0" fontId="126" fillId="51" borderId="17" applyNumberFormat="0" applyAlignment="0" applyProtection="0">
      <alignment vertical="center"/>
    </xf>
    <xf numFmtId="0" fontId="80" fillId="0" borderId="25" applyNumberFormat="0" applyFill="0" applyAlignment="0" applyProtection="0">
      <alignment vertical="center"/>
    </xf>
    <xf numFmtId="0" fontId="1" fillId="71" borderId="23"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51" borderId="24" applyNumberFormat="0" applyAlignment="0" applyProtection="0"/>
    <xf numFmtId="0" fontId="157" fillId="51" borderId="17" applyNumberFormat="0" applyAlignment="0" applyProtection="0">
      <alignment vertical="center"/>
    </xf>
    <xf numFmtId="0" fontId="85" fillId="51" borderId="24" applyNumberFormat="0" applyAlignment="0" applyProtection="0">
      <alignment vertical="center"/>
    </xf>
    <xf numFmtId="0" fontId="41" fillId="0" borderId="25" applyNumberFormat="0" applyFill="0" applyAlignment="0" applyProtection="0"/>
    <xf numFmtId="0" fontId="104" fillId="67" borderId="24" applyNumberFormat="0" applyAlignment="0" applyProtection="0">
      <alignment vertical="center"/>
    </xf>
    <xf numFmtId="0" fontId="126" fillId="51" borderId="17" applyNumberFormat="0" applyAlignment="0" applyProtection="0">
      <alignment vertical="center"/>
    </xf>
    <xf numFmtId="0" fontId="215" fillId="54" borderId="23" applyNumberFormat="0" applyFont="0" applyAlignment="0" applyProtection="0">
      <alignment vertical="center"/>
    </xf>
    <xf numFmtId="0" fontId="113" fillId="80" borderId="24" applyNumberFormat="0" applyAlignment="0" applyProtection="0"/>
    <xf numFmtId="0" fontId="158" fillId="38" borderId="17" applyNumberFormat="0" applyAlignment="0" applyProtection="0">
      <alignment vertical="center"/>
    </xf>
    <xf numFmtId="0" fontId="119" fillId="0" borderId="25" applyNumberFormat="0" applyFill="0" applyAlignment="0" applyProtection="0"/>
    <xf numFmtId="0" fontId="85" fillId="80" borderId="24" applyNumberFormat="0" applyAlignment="0" applyProtection="0">
      <alignment vertical="center"/>
    </xf>
    <xf numFmtId="0" fontId="158" fillId="65" borderId="17"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 fillId="54" borderId="23" applyNumberFormat="0" applyFont="0" applyAlignment="0" applyProtection="0"/>
    <xf numFmtId="0" fontId="149" fillId="54" borderId="23" applyNumberFormat="0" applyFont="0" applyAlignment="0" applyProtection="0">
      <alignment vertical="center"/>
    </xf>
    <xf numFmtId="0" fontId="243" fillId="69" borderId="17"/>
    <xf numFmtId="0" fontId="177" fillId="51" borderId="24" applyNumberFormat="0" applyAlignment="0" applyProtection="0">
      <alignment vertical="center"/>
    </xf>
    <xf numFmtId="0" fontId="85" fillId="81" borderId="24"/>
    <xf numFmtId="0" fontId="60" fillId="0" borderId="26" applyNumberFormat="0" applyFill="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84" fillId="65"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339" fillId="66" borderId="17"/>
    <xf numFmtId="0" fontId="60" fillId="0" borderId="26" applyNumberFormat="0" applyFill="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49" fillId="38" borderId="17" applyNumberFormat="0" applyAlignment="0" applyProtection="0"/>
    <xf numFmtId="0" fontId="159" fillId="80" borderId="24" applyNumberFormat="0" applyAlignment="0" applyProtection="0">
      <alignment vertical="center"/>
    </xf>
    <xf numFmtId="0" fontId="246" fillId="65" borderId="17" applyNumberFormat="0" applyAlignment="0" applyProtection="0">
      <alignment vertical="center"/>
    </xf>
    <xf numFmtId="0" fontId="42" fillId="51" borderId="17" applyNumberFormat="0" applyAlignment="0" applyProtection="0"/>
    <xf numFmtId="0" fontId="113" fillId="80" borderId="24" applyNumberFormat="0" applyAlignment="0" applyProtection="0"/>
    <xf numFmtId="0" fontId="103" fillId="65" borderId="17" applyNumberFormat="0" applyAlignment="0" applyProtection="0">
      <alignment vertical="center"/>
    </xf>
    <xf numFmtId="0" fontId="80" fillId="0" borderId="25" applyNumberFormat="0" applyFill="0" applyAlignment="0" applyProtection="0"/>
    <xf numFmtId="0" fontId="113" fillId="80" borderId="24"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158" fillId="66" borderId="17" applyNumberFormat="0" applyAlignment="0" applyProtection="0"/>
    <xf numFmtId="0" fontId="112" fillId="65" borderId="17" applyNumberFormat="0" applyAlignment="0" applyProtection="0"/>
    <xf numFmtId="0" fontId="85" fillId="51" borderId="24" applyNumberFormat="0" applyAlignment="0" applyProtection="0">
      <alignment vertical="center"/>
    </xf>
    <xf numFmtId="0" fontId="282" fillId="80" borderId="24" applyNumberFormat="0" applyAlignment="0" applyProtection="0">
      <alignment vertical="center"/>
    </xf>
    <xf numFmtId="0" fontId="182" fillId="68" borderId="24" applyNumberFormat="0" applyAlignment="0" applyProtection="0">
      <alignment vertical="center"/>
    </xf>
    <xf numFmtId="0" fontId="159" fillId="81" borderId="24" applyNumberFormat="0" applyAlignment="0" applyProtection="0"/>
    <xf numFmtId="0" fontId="247" fillId="68" borderId="24" applyNumberFormat="0" applyAlignment="0" applyProtection="0">
      <alignment vertical="center"/>
    </xf>
    <xf numFmtId="0" fontId="60" fillId="0" borderId="26" applyNumberFormat="0" applyFill="0" applyAlignment="0" applyProtection="0">
      <alignment vertical="center"/>
    </xf>
    <xf numFmtId="0" fontId="104" fillId="69" borderId="24" applyNumberFormat="0" applyAlignment="0" applyProtection="0"/>
    <xf numFmtId="0" fontId="113" fillId="51" borderId="24" applyNumberFormat="0" applyAlignment="0" applyProtection="0"/>
    <xf numFmtId="0" fontId="113" fillId="80" borderId="24" applyNumberFormat="0" applyAlignment="0" applyProtection="0"/>
    <xf numFmtId="0" fontId="177" fillId="51" borderId="24" applyNumberFormat="0" applyAlignment="0" applyProtection="0">
      <alignment vertical="center"/>
    </xf>
    <xf numFmtId="0" fontId="103" fillId="65" borderId="17" applyNumberFormat="0" applyAlignment="0" applyProtection="0">
      <alignment vertical="center"/>
    </xf>
    <xf numFmtId="0" fontId="60" fillId="0" borderId="26" applyNumberFormat="0" applyFill="0" applyAlignment="0" applyProtection="0">
      <alignment vertical="center"/>
    </xf>
    <xf numFmtId="0" fontId="264" fillId="51" borderId="24" applyNumberFormat="0" applyAlignment="0" applyProtection="0">
      <alignment vertical="center"/>
    </xf>
    <xf numFmtId="0" fontId="1" fillId="70" borderId="23" applyNumberFormat="0" applyFont="0" applyAlignment="0" applyProtection="0">
      <alignment vertical="center"/>
    </xf>
    <xf numFmtId="0" fontId="228" fillId="51" borderId="24"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1" fillId="71" borderId="23" applyNumberFormat="0" applyAlignment="0" applyProtection="0"/>
    <xf numFmtId="0" fontId="85" fillId="80" borderId="24" applyNumberFormat="0" applyAlignment="0" applyProtection="0">
      <alignment vertical="center"/>
    </xf>
    <xf numFmtId="0" fontId="119" fillId="0" borderId="25" applyNumberFormat="0" applyFill="0" applyAlignment="0" applyProtection="0"/>
    <xf numFmtId="0" fontId="320" fillId="68" borderId="24" applyNumberFormat="0" applyAlignment="0" applyProtection="0">
      <alignment vertical="center"/>
    </xf>
    <xf numFmtId="0" fontId="83" fillId="81" borderId="17" applyNumberFormat="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59" fillId="81" borderId="24" applyNumberFormat="0" applyAlignment="0" applyProtection="0"/>
    <xf numFmtId="0" fontId="210" fillId="51" borderId="24" applyNumberForma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03" fillId="65" borderId="17" applyNumberFormat="0" applyAlignment="0" applyProtection="0">
      <alignment vertical="center"/>
    </xf>
    <xf numFmtId="0" fontId="157" fillId="51" borderId="17"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30" fillId="54" borderId="23" applyNumberFormat="0" applyFont="0" applyAlignment="0" applyProtection="0"/>
    <xf numFmtId="0" fontId="210" fillId="51"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85" fillId="81" borderId="24" applyNumberFormat="0" applyAlignment="0" applyProtection="0"/>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208" fillId="51" borderId="17" applyNumberFormat="0" applyAlignment="0" applyProtection="0">
      <alignment vertical="center"/>
    </xf>
    <xf numFmtId="0" fontId="235" fillId="0" borderId="26" applyNumberFormat="0" applyFill="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58"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92"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12" fillId="65" borderId="17" applyNumberFormat="0" applyAlignment="0" applyProtection="0"/>
    <xf numFmtId="0" fontId="113" fillId="80" borderId="24" applyNumberFormat="0" applyAlignment="0" applyProtection="0"/>
    <xf numFmtId="0" fontId="132" fillId="0" borderId="25"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30" fillId="0" borderId="0"/>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30" fillId="0" borderId="0"/>
    <xf numFmtId="9" fontId="30" fillId="0" borderId="0" applyFont="0" applyFill="0" applyBorder="0" applyAlignment="0" applyProtection="0"/>
  </cellStyleXfs>
  <cellXfs count="198">
    <xf numFmtId="0" fontId="0" fillId="0" borderId="0" xfId="0"/>
    <xf numFmtId="11" fontId="0" fillId="0" borderId="0" xfId="0" applyNumberFormat="1"/>
    <xf numFmtId="0" fontId="0" fillId="0" borderId="0" xfId="0"/>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1"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0" fontId="17" fillId="0" borderId="14" xfId="0" applyFont="1" applyFill="1" applyBorder="1" applyAlignment="1">
      <alignment horizontal="center" wrapText="1"/>
    </xf>
    <xf numFmtId="0" fontId="0" fillId="0" borderId="13" xfId="0" applyFont="1" applyFill="1" applyBorder="1" applyAlignment="1" applyProtection="1">
      <alignment horizontal="left" vertical="top" wrapText="1"/>
    </xf>
    <xf numFmtId="0" fontId="0" fillId="0" borderId="13" xfId="0" applyNumberFormat="1" applyFont="1" applyFill="1" applyBorder="1" applyAlignment="1" applyProtection="1">
      <alignment horizontal="right" vertical="top"/>
    </xf>
    <xf numFmtId="0" fontId="0" fillId="0" borderId="13" xfId="0" applyNumberFormat="1" applyFont="1" applyFill="1" applyBorder="1" applyAlignment="1" applyProtection="1">
      <alignment horizontal="center" vertical="top"/>
    </xf>
    <xf numFmtId="0" fontId="0" fillId="0" borderId="13" xfId="0" applyNumberFormat="1" applyFont="1" applyFill="1" applyBorder="1" applyAlignment="1" applyProtection="1">
      <alignment horizontal="center" vertical="top" wrapText="1"/>
    </xf>
    <xf numFmtId="165" fontId="0" fillId="0" borderId="0" xfId="0" applyNumberFormat="1" applyFont="1" applyFill="1" applyAlignment="1" applyProtection="1">
      <alignment vertical="top"/>
    </xf>
    <xf numFmtId="0" fontId="0" fillId="0" borderId="13" xfId="0" applyFont="1" applyFill="1" applyBorder="1" applyAlignment="1" applyProtection="1">
      <alignment horizontal="center" vertical="top" wrapText="1"/>
    </xf>
    <xf numFmtId="0" fontId="17" fillId="0" borderId="15" xfId="0" applyFont="1" applyFill="1" applyBorder="1" applyAlignment="1">
      <alignment horizontal="center" wrapText="1"/>
    </xf>
    <xf numFmtId="0" fontId="17" fillId="0" borderId="15" xfId="0" applyFont="1" applyFill="1" applyBorder="1" applyAlignment="1">
      <alignment horizontal="center" vertical="center" wrapText="1"/>
    </xf>
    <xf numFmtId="0" fontId="19" fillId="0" borderId="13" xfId="0" applyFont="1" applyFill="1" applyBorder="1" applyAlignment="1" applyProtection="1">
      <alignment horizontal="center" vertical="top" wrapText="1"/>
    </xf>
    <xf numFmtId="165" fontId="0" fillId="0" borderId="0" xfId="0" applyNumberFormat="1" applyFont="1" applyFill="1" applyBorder="1" applyAlignment="1" applyProtection="1">
      <alignment horizontal="center" wrapText="1"/>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165" fontId="0" fillId="0" borderId="0" xfId="0" applyNumberFormat="1" applyFont="1" applyFill="1" applyAlignment="1" applyProtection="1">
      <alignment horizontal="center" wrapText="1"/>
    </xf>
    <xf numFmtId="166" fontId="0" fillId="0" borderId="0" xfId="0" applyNumberFormat="1" applyFont="1" applyFill="1" applyProtection="1"/>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1" fontId="0" fillId="0" borderId="0" xfId="0" applyNumberFormat="1" applyFont="1" applyFill="1" applyAlignment="1" applyProtection="1">
      <alignment horizontal="centerContinuous"/>
    </xf>
    <xf numFmtId="165" fontId="0" fillId="0" borderId="0" xfId="0" applyNumberFormat="1" applyFont="1" applyFill="1" applyAlignment="1" applyProtection="1">
      <alignment horizontal="centerContinuous" wrapText="1"/>
    </xf>
    <xf numFmtId="0" fontId="0" fillId="0" borderId="0" xfId="0" applyFont="1" applyFill="1" applyAlignment="1" applyProtection="1">
      <alignment horizontal="centerContinuous"/>
    </xf>
    <xf numFmtId="1" fontId="0" fillId="0" borderId="13" xfId="0" applyNumberFormat="1" applyFont="1" applyFill="1" applyBorder="1" applyAlignment="1" applyProtection="1">
      <alignment horizontal="right" vertical="top"/>
    </xf>
    <xf numFmtId="165" fontId="0" fillId="0" borderId="13" xfId="0" applyNumberFormat="1" applyFont="1" applyFill="1" applyBorder="1" applyAlignment="1" applyProtection="1">
      <alignment horizontal="center" vertical="top" wrapText="1"/>
    </xf>
    <xf numFmtId="0" fontId="0" fillId="0" borderId="13" xfId="0" applyFont="1" applyFill="1" applyBorder="1" applyAlignment="1" applyProtection="1">
      <alignment horizontal="center" vertical="top"/>
    </xf>
    <xf numFmtId="166" fontId="0" fillId="0" borderId="13" xfId="0" applyNumberFormat="1" applyFont="1" applyFill="1" applyBorder="1" applyAlignment="1" applyProtection="1">
      <alignment horizontal="right" vertical="top"/>
    </xf>
    <xf numFmtId="0" fontId="0" fillId="0" borderId="0" xfId="0" applyFill="1"/>
    <xf numFmtId="0" fontId="21" fillId="0" borderId="0" xfId="41" applyFill="1" applyAlignment="1" applyProtection="1">
      <alignment vertical="center"/>
    </xf>
    <xf numFmtId="0" fontId="21" fillId="0" borderId="0" xfId="41" applyFill="1" applyAlignment="1" applyProtection="1">
      <alignment horizontal="centerContinuous" wrapText="1"/>
    </xf>
    <xf numFmtId="0" fontId="0" fillId="0" borderId="0" xfId="0" applyFill="1" applyAlignment="1">
      <alignment vertical="top"/>
    </xf>
    <xf numFmtId="165" fontId="0" fillId="0" borderId="0" xfId="0" applyNumberFormat="1" applyFont="1" applyFill="1" applyBorder="1" applyAlignment="1" applyProtection="1"/>
    <xf numFmtId="168" fontId="0" fillId="0" borderId="0" xfId="0" applyNumberFormat="1" applyFont="1" applyFill="1" applyBorder="1" applyAlignment="1" applyProtection="1">
      <alignment horizontal="center" wrapText="1"/>
    </xf>
    <xf numFmtId="168" fontId="0" fillId="0" borderId="0" xfId="0" applyNumberFormat="1" applyFont="1" applyFill="1" applyBorder="1" applyAlignment="1" applyProtection="1">
      <alignment horizontal="centerContinuous" wrapText="1"/>
    </xf>
    <xf numFmtId="168" fontId="0" fillId="0" borderId="0" xfId="0" applyNumberFormat="1" applyFont="1" applyFill="1" applyAlignment="1" applyProtection="1">
      <alignment horizontal="centerContinuous" wrapText="1"/>
    </xf>
    <xf numFmtId="168" fontId="0" fillId="0" borderId="13" xfId="0" applyNumberFormat="1" applyFont="1" applyFill="1" applyBorder="1" applyAlignment="1" applyProtection="1">
      <alignment horizontal="center" vertical="top" wrapText="1"/>
    </xf>
    <xf numFmtId="168" fontId="0" fillId="0" borderId="0" xfId="0" applyNumberFormat="1" applyFont="1" applyFill="1" applyAlignment="1" applyProtection="1">
      <alignment horizontal="center" wrapText="1"/>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165" fontId="0" fillId="0" borderId="0" xfId="0" applyNumberFormat="1" applyFont="1" applyFill="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49" fontId="19" fillId="0" borderId="13" xfId="0" applyNumberFormat="1" applyFont="1" applyFill="1" applyBorder="1" applyAlignment="1" applyProtection="1">
      <alignment horizontal="center" vertical="top" wrapText="1"/>
    </xf>
    <xf numFmtId="0" fontId="0" fillId="0" borderId="0" xfId="0" applyFont="1" applyFill="1"/>
    <xf numFmtId="14" fontId="19" fillId="0" borderId="13" xfId="0" applyNumberFormat="1" applyFont="1" applyFill="1" applyBorder="1" applyAlignment="1" applyProtection="1">
      <alignment horizontal="center" vertical="top" wrapText="1"/>
    </xf>
    <xf numFmtId="0" fontId="17" fillId="106" borderId="13" xfId="0" applyFont="1" applyFill="1" applyBorder="1" applyAlignment="1">
      <alignment horizontal="center" vertical="center" wrapText="1"/>
    </xf>
    <xf numFmtId="0" fontId="17" fillId="107" borderId="13" xfId="0" applyFont="1" applyFill="1" applyBorder="1" applyAlignment="1">
      <alignment horizontal="center" vertical="center" wrapText="1"/>
    </xf>
    <xf numFmtId="0" fontId="17" fillId="108" borderId="13" xfId="0" applyFont="1" applyFill="1" applyBorder="1" applyAlignment="1">
      <alignment horizontal="center" vertical="center" wrapText="1"/>
    </xf>
    <xf numFmtId="0" fontId="17" fillId="109" borderId="13" xfId="0" applyFont="1" applyFill="1" applyBorder="1" applyAlignment="1">
      <alignment horizontal="center" vertical="center" wrapText="1"/>
    </xf>
    <xf numFmtId="0" fontId="0" fillId="107" borderId="0" xfId="0" applyFont="1" applyFill="1" applyAlignment="1" applyProtection="1">
      <alignment horizontal="centerContinuous" wrapText="1"/>
    </xf>
    <xf numFmtId="0" fontId="0" fillId="107" borderId="0" xfId="0" applyFont="1" applyFill="1" applyBorder="1" applyAlignment="1" applyProtection="1">
      <alignment horizontal="centerContinuous" wrapText="1"/>
    </xf>
    <xf numFmtId="0" fontId="0" fillId="107" borderId="0" xfId="0" applyNumberFormat="1" applyFont="1" applyFill="1" applyBorder="1" applyAlignment="1" applyProtection="1">
      <alignment horizontal="centerContinuous" wrapText="1"/>
    </xf>
    <xf numFmtId="1" fontId="0" fillId="107" borderId="0" xfId="0" applyNumberFormat="1" applyFont="1" applyFill="1" applyBorder="1" applyAlignment="1" applyProtection="1">
      <alignment horizontal="centerContinuous" wrapText="1"/>
    </xf>
    <xf numFmtId="168" fontId="0" fillId="107" borderId="0" xfId="0" applyNumberFormat="1" applyFont="1" applyFill="1" applyBorder="1" applyAlignment="1" applyProtection="1">
      <alignment horizontal="centerContinuous" wrapText="1"/>
    </xf>
    <xf numFmtId="165" fontId="0" fillId="107" borderId="0" xfId="0" applyNumberFormat="1" applyFont="1" applyFill="1" applyBorder="1" applyAlignment="1" applyProtection="1">
      <alignment horizontal="centerContinuous" wrapText="1"/>
    </xf>
    <xf numFmtId="0" fontId="0" fillId="106" borderId="0" xfId="0" applyFont="1" applyFill="1" applyAlignment="1" applyProtection="1">
      <alignment horizontal="centerContinuous" wrapText="1"/>
    </xf>
    <xf numFmtId="0" fontId="0" fillId="106" borderId="0" xfId="0" applyFont="1" applyFill="1" applyBorder="1" applyAlignment="1" applyProtection="1">
      <alignment horizontal="centerContinuous" wrapText="1"/>
    </xf>
    <xf numFmtId="0" fontId="0" fillId="106" borderId="0" xfId="0" applyNumberFormat="1" applyFont="1" applyFill="1" applyBorder="1" applyAlignment="1" applyProtection="1">
      <alignment horizontal="centerContinuous" wrapText="1"/>
    </xf>
    <xf numFmtId="1" fontId="0" fillId="106" borderId="0" xfId="0" applyNumberFormat="1" applyFont="1" applyFill="1" applyBorder="1" applyAlignment="1" applyProtection="1">
      <alignment horizontal="centerContinuous" wrapText="1"/>
    </xf>
    <xf numFmtId="168" fontId="0" fillId="106" borderId="0" xfId="0" applyNumberFormat="1" applyFont="1" applyFill="1" applyBorder="1" applyAlignment="1" applyProtection="1">
      <alignment horizontal="centerContinuous" wrapText="1"/>
    </xf>
    <xf numFmtId="165" fontId="0" fillId="106" borderId="0" xfId="0" applyNumberFormat="1" applyFont="1" applyFill="1" applyBorder="1" applyAlignment="1" applyProtection="1">
      <alignment horizontal="centerContinuous" wrapText="1"/>
    </xf>
    <xf numFmtId="0" fontId="17" fillId="109" borderId="0" xfId="0" applyFont="1" applyFill="1" applyAlignment="1" applyProtection="1">
      <alignment horizontal="centerContinuous" wrapText="1"/>
    </xf>
    <xf numFmtId="0" fontId="0" fillId="109" borderId="0" xfId="0" applyFont="1" applyFill="1" applyBorder="1" applyAlignment="1" applyProtection="1">
      <alignment horizontal="centerContinuous" wrapText="1"/>
    </xf>
    <xf numFmtId="0" fontId="0" fillId="109" borderId="0" xfId="0" applyNumberFormat="1" applyFont="1" applyFill="1" applyBorder="1" applyAlignment="1" applyProtection="1">
      <alignment horizontal="centerContinuous" wrapText="1"/>
    </xf>
    <xf numFmtId="1" fontId="0" fillId="109" borderId="0" xfId="0" applyNumberFormat="1" applyFont="1" applyFill="1" applyBorder="1" applyAlignment="1" applyProtection="1">
      <alignment horizontal="centerContinuous" wrapText="1"/>
    </xf>
    <xf numFmtId="168" fontId="0" fillId="109" borderId="0" xfId="0" applyNumberFormat="1" applyFont="1" applyFill="1" applyBorder="1" applyAlignment="1" applyProtection="1">
      <alignment horizontal="centerContinuous" wrapText="1"/>
    </xf>
    <xf numFmtId="165" fontId="0" fillId="109" borderId="0" xfId="0" applyNumberFormat="1" applyFont="1" applyFill="1" applyBorder="1" applyAlignment="1" applyProtection="1">
      <alignment horizontal="centerContinuous" wrapText="1"/>
    </xf>
    <xf numFmtId="0" fontId="17" fillId="0" borderId="9" xfId="0" applyFont="1" applyFill="1" applyBorder="1" applyAlignment="1" applyProtection="1">
      <alignment horizontal="center" vertical="center" wrapText="1"/>
    </xf>
    <xf numFmtId="0" fontId="17" fillId="0" borderId="14" xfId="0" applyFont="1" applyFill="1" applyBorder="1" applyAlignment="1" applyProtection="1">
      <alignment horizontal="center" vertical="center" wrapText="1"/>
    </xf>
    <xf numFmtId="0" fontId="17" fillId="106" borderId="10" xfId="0" applyFont="1" applyFill="1" applyBorder="1" applyAlignment="1" applyProtection="1">
      <alignment horizontal="center" vertical="center" wrapText="1"/>
    </xf>
    <xf numFmtId="165" fontId="17" fillId="107" borderId="10" xfId="0" applyNumberFormat="1" applyFont="1" applyFill="1" applyBorder="1" applyAlignment="1" applyProtection="1">
      <alignment horizontal="center" vertical="center" wrapText="1"/>
    </xf>
    <xf numFmtId="165" fontId="17" fillId="108" borderId="10" xfId="0" applyNumberFormat="1" applyFont="1" applyFill="1" applyBorder="1" applyAlignment="1" applyProtection="1">
      <alignment horizontal="center" vertical="center" wrapText="1"/>
    </xf>
    <xf numFmtId="165" fontId="17" fillId="109" borderId="13" xfId="0" applyNumberFormat="1" applyFont="1" applyFill="1" applyBorder="1" applyAlignment="1" applyProtection="1">
      <alignment horizontal="centerContinuous" vertical="center" wrapText="1"/>
    </xf>
    <xf numFmtId="0" fontId="17" fillId="0" borderId="13" xfId="0" applyNumberFormat="1" applyFont="1" applyFill="1" applyBorder="1" applyAlignment="1">
      <alignment horizontal="center" vertical="center" wrapText="1"/>
    </xf>
    <xf numFmtId="0" fontId="17" fillId="0" borderId="9" xfId="0" applyNumberFormat="1" applyFont="1" applyFill="1" applyBorder="1" applyAlignment="1" applyProtection="1">
      <alignment horizontal="center" vertical="center" wrapText="1"/>
    </xf>
    <xf numFmtId="165" fontId="17" fillId="106" borderId="10" xfId="0" applyNumberFormat="1" applyFont="1" applyFill="1" applyBorder="1" applyAlignment="1" applyProtection="1">
      <alignment horizontal="centerContinuous" vertical="center" wrapText="1"/>
    </xf>
    <xf numFmtId="0" fontId="0" fillId="106" borderId="29" xfId="0" applyFill="1" applyBorder="1" applyAlignment="1">
      <alignment horizontal="centerContinuous" vertical="center"/>
    </xf>
    <xf numFmtId="165" fontId="17" fillId="106" borderId="11" xfId="0" applyNumberFormat="1" applyFont="1" applyFill="1" applyBorder="1" applyAlignment="1" applyProtection="1">
      <alignment horizontal="centerContinuous" vertical="center" wrapText="1"/>
    </xf>
    <xf numFmtId="165" fontId="17" fillId="109" borderId="10" xfId="0" applyNumberFormat="1" applyFont="1" applyFill="1" applyBorder="1" applyAlignment="1" applyProtection="1">
      <alignment horizontal="centerContinuous" vertical="center" wrapText="1"/>
    </xf>
    <xf numFmtId="165" fontId="17" fillId="109" borderId="11" xfId="0" applyNumberFormat="1" applyFont="1" applyFill="1" applyBorder="1" applyAlignment="1" applyProtection="1">
      <alignment horizontal="centerContinuous" vertical="center" wrapText="1"/>
    </xf>
    <xf numFmtId="164" fontId="17" fillId="0" borderId="12" xfId="0" applyNumberFormat="1" applyFont="1" applyFill="1" applyBorder="1" applyAlignment="1" applyProtection="1">
      <alignment horizontal="center" vertical="center" wrapText="1"/>
    </xf>
    <xf numFmtId="0" fontId="17" fillId="0" borderId="14" xfId="0" applyNumberFormat="1" applyFont="1" applyFill="1" applyBorder="1" applyAlignment="1">
      <alignment horizontal="center" vertical="center" wrapText="1"/>
    </xf>
    <xf numFmtId="0" fontId="17" fillId="0" borderId="14" xfId="0" applyFont="1" applyFill="1" applyBorder="1" applyAlignment="1">
      <alignment horizontal="center" vertical="center" wrapText="1"/>
    </xf>
    <xf numFmtId="0" fontId="17" fillId="0" borderId="14" xfId="0" applyFont="1" applyFill="1" applyBorder="1" applyAlignment="1">
      <alignment vertical="center" wrapText="1"/>
    </xf>
    <xf numFmtId="166" fontId="17" fillId="0" borderId="14" xfId="0" applyNumberFormat="1" applyFont="1" applyFill="1" applyBorder="1" applyAlignment="1">
      <alignment horizontal="center" vertical="center" wrapText="1"/>
    </xf>
    <xf numFmtId="0" fontId="0" fillId="0" borderId="0" xfId="0" applyFill="1" applyAlignment="1">
      <alignment vertical="center"/>
    </xf>
    <xf numFmtId="1" fontId="17" fillId="0" borderId="9" xfId="0" applyNumberFormat="1" applyFont="1" applyFill="1" applyBorder="1" applyAlignment="1" applyProtection="1">
      <alignment horizontal="center" vertical="center" wrapText="1"/>
    </xf>
    <xf numFmtId="165" fontId="17" fillId="0" borderId="12" xfId="0" applyNumberFormat="1" applyFont="1" applyFill="1" applyBorder="1" applyAlignment="1" applyProtection="1">
      <alignment horizontal="center" vertical="center" wrapText="1"/>
    </xf>
    <xf numFmtId="0" fontId="17" fillId="0" borderId="15" xfId="0" applyNumberFormat="1" applyFont="1" applyFill="1" applyBorder="1" applyAlignment="1">
      <alignment horizontal="center" vertical="center" wrapText="1"/>
    </xf>
    <xf numFmtId="1" fontId="17" fillId="0" borderId="15" xfId="0" applyNumberFormat="1" applyFont="1" applyFill="1" applyBorder="1" applyAlignment="1">
      <alignment horizontal="center" vertical="center" wrapText="1"/>
    </xf>
    <xf numFmtId="165" fontId="17" fillId="106" borderId="13" xfId="0" applyNumberFormat="1" applyFont="1" applyFill="1" applyBorder="1" applyAlignment="1">
      <alignment horizontal="center" vertical="center" wrapText="1"/>
    </xf>
    <xf numFmtId="165" fontId="17" fillId="106" borderId="15" xfId="0" applyNumberFormat="1" applyFont="1" applyFill="1" applyBorder="1" applyAlignment="1">
      <alignment horizontal="center" vertical="center" wrapText="1"/>
    </xf>
    <xf numFmtId="165" fontId="17" fillId="108" borderId="13" xfId="0" applyNumberFormat="1" applyFont="1" applyFill="1" applyBorder="1" applyAlignment="1">
      <alignment horizontal="center" vertical="center" wrapText="1"/>
    </xf>
    <xf numFmtId="165" fontId="17" fillId="109" borderId="13" xfId="0" applyNumberFormat="1" applyFont="1" applyFill="1" applyBorder="1" applyAlignment="1">
      <alignment horizontal="center" vertical="center" wrapText="1"/>
    </xf>
    <xf numFmtId="166" fontId="17" fillId="0" borderId="15" xfId="0" applyNumberFormat="1" applyFont="1" applyFill="1" applyBorder="1" applyAlignment="1">
      <alignment horizontal="center" vertical="center" wrapText="1"/>
    </xf>
    <xf numFmtId="165" fontId="17" fillId="0" borderId="15" xfId="0" applyNumberFormat="1" applyFont="1" applyFill="1" applyBorder="1" applyAlignment="1">
      <alignment horizontal="center" vertical="center" wrapText="1"/>
    </xf>
    <xf numFmtId="164" fontId="17" fillId="0" borderId="15" xfId="0" applyNumberFormat="1" applyFont="1" applyFill="1" applyBorder="1" applyAlignment="1">
      <alignment horizontal="center" vertical="center" wrapText="1"/>
    </xf>
    <xf numFmtId="165" fontId="0" fillId="0" borderId="0" xfId="0" applyNumberFormat="1" applyFont="1" applyFill="1" applyAlignment="1" applyProtection="1">
      <alignment wrapText="1"/>
    </xf>
    <xf numFmtId="165" fontId="0" fillId="0" borderId="0" xfId="0" applyNumberFormat="1" applyFont="1" applyFill="1" applyAlignment="1" applyProtection="1"/>
    <xf numFmtId="0" fontId="0" fillId="0" borderId="0" xfId="0" applyFont="1" applyFill="1" applyAlignment="1" applyProtection="1"/>
    <xf numFmtId="14" fontId="0" fillId="0" borderId="0" xfId="0" applyNumberFormat="1" applyFont="1" applyFill="1" applyBorder="1" applyAlignment="1" applyProtection="1">
      <alignment horizontal="center" wrapText="1"/>
    </xf>
    <xf numFmtId="14" fontId="0" fillId="0" borderId="0" xfId="0" applyNumberFormat="1" applyFont="1" applyFill="1" applyBorder="1" applyAlignment="1" applyProtection="1">
      <alignment horizontal="left" wrapText="1"/>
    </xf>
    <xf numFmtId="14" fontId="0" fillId="0" borderId="0" xfId="0" applyNumberFormat="1" applyFont="1" applyFill="1" applyAlignment="1" applyProtection="1">
      <alignment horizontal="left" wrapText="1"/>
    </xf>
    <xf numFmtId="14" fontId="0" fillId="0" borderId="0" xfId="0" applyNumberFormat="1" applyFont="1" applyFill="1" applyAlignment="1" applyProtection="1">
      <alignment wrapText="1"/>
    </xf>
    <xf numFmtId="14" fontId="17" fillId="107" borderId="13" xfId="0" applyNumberFormat="1" applyFont="1" applyFill="1" applyBorder="1" applyAlignment="1" applyProtection="1">
      <alignment horizontal="center" vertical="center" wrapText="1"/>
    </xf>
    <xf numFmtId="14" fontId="17" fillId="107" borderId="13" xfId="0" applyNumberFormat="1" applyFont="1" applyFill="1" applyBorder="1" applyAlignment="1">
      <alignment horizontal="center" vertical="center" wrapText="1"/>
    </xf>
    <xf numFmtId="14" fontId="0" fillId="0" borderId="0" xfId="0" applyNumberFormat="1" applyFont="1" applyFill="1" applyAlignment="1" applyProtection="1">
      <alignment horizontal="center" wrapText="1"/>
    </xf>
    <xf numFmtId="14" fontId="0" fillId="0" borderId="0" xfId="0" applyNumberFormat="1" applyFont="1" applyFill="1" applyAlignment="1" applyProtection="1">
      <alignment horizontal="center"/>
    </xf>
    <xf numFmtId="14" fontId="17" fillId="0" borderId="14" xfId="0" applyNumberFormat="1" applyFont="1" applyFill="1" applyBorder="1" applyAlignment="1">
      <alignment horizontal="center" vertical="center" wrapText="1"/>
    </xf>
    <xf numFmtId="14" fontId="17" fillId="0" borderId="15" xfId="0" applyNumberFormat="1" applyFont="1" applyFill="1" applyBorder="1" applyAlignment="1">
      <alignment horizontal="center" wrapText="1"/>
    </xf>
    <xf numFmtId="14" fontId="0" fillId="0" borderId="13" xfId="0" applyNumberFormat="1" applyFont="1" applyFill="1" applyBorder="1" applyAlignment="1" applyProtection="1">
      <alignment horizontal="center" vertical="top" wrapText="1"/>
    </xf>
    <xf numFmtId="0" fontId="0" fillId="0" borderId="13" xfId="0" applyNumberFormat="1" applyFont="1" applyFill="1" applyBorder="1" applyAlignment="1" applyProtection="1">
      <alignment horizontal="right" vertical="top" wrapText="1"/>
    </xf>
    <xf numFmtId="166" fontId="0" fillId="0" borderId="13" xfId="0" applyNumberFormat="1" applyFont="1" applyFill="1" applyBorder="1" applyAlignment="1" applyProtection="1">
      <alignment horizontal="right" vertical="top" wrapText="1"/>
    </xf>
    <xf numFmtId="1" fontId="0" fillId="0" borderId="13" xfId="0" applyNumberFormat="1" applyFont="1" applyFill="1" applyBorder="1" applyAlignment="1" applyProtection="1">
      <alignment horizontal="right" vertical="top" wrapText="1"/>
    </xf>
    <xf numFmtId="49" fontId="0" fillId="0" borderId="13" xfId="0" applyNumberFormat="1" applyFont="1" applyFill="1" applyBorder="1" applyAlignment="1" applyProtection="1">
      <alignment horizontal="center" vertical="top" wrapText="1"/>
    </xf>
    <xf numFmtId="1" fontId="19" fillId="0" borderId="13" xfId="0" applyNumberFormat="1" applyFont="1" applyFill="1" applyBorder="1" applyAlignment="1" applyProtection="1">
      <alignment horizontal="right" vertical="top"/>
    </xf>
    <xf numFmtId="168" fontId="19" fillId="0" borderId="13" xfId="0" applyNumberFormat="1" applyFont="1" applyFill="1" applyBorder="1" applyAlignment="1" applyProtection="1">
      <alignment horizontal="center" vertical="top" wrapText="1"/>
    </xf>
    <xf numFmtId="0" fontId="19" fillId="0" borderId="13" xfId="0" applyFont="1" applyFill="1" applyBorder="1" applyAlignment="1" applyProtection="1">
      <alignment horizontal="center" vertical="top"/>
    </xf>
    <xf numFmtId="0" fontId="19" fillId="0" borderId="13" xfId="0" applyNumberFormat="1" applyFont="1" applyFill="1" applyBorder="1" applyAlignment="1" applyProtection="1">
      <alignment horizontal="right" vertical="top"/>
    </xf>
    <xf numFmtId="0" fontId="19" fillId="0" borderId="13" xfId="0" applyFont="1" applyFill="1" applyBorder="1" applyAlignment="1" applyProtection="1">
      <alignment horizontal="right" vertical="top"/>
    </xf>
    <xf numFmtId="166" fontId="19" fillId="0" borderId="13" xfId="0" applyNumberFormat="1" applyFont="1" applyFill="1" applyBorder="1" applyAlignment="1" applyProtection="1">
      <alignment horizontal="right" vertical="top"/>
    </xf>
    <xf numFmtId="0" fontId="0" fillId="0" borderId="13" xfId="0" applyFont="1" applyFill="1" applyBorder="1" applyAlignment="1" applyProtection="1">
      <alignment horizontal="right" vertical="top" wrapText="1"/>
    </xf>
    <xf numFmtId="164" fontId="0" fillId="0" borderId="13" xfId="0" applyNumberFormat="1" applyFont="1" applyFill="1" applyBorder="1" applyAlignment="1" applyProtection="1">
      <alignment horizontal="right" vertical="top"/>
    </xf>
    <xf numFmtId="164" fontId="19" fillId="0" borderId="13" xfId="0" applyNumberFormat="1" applyFont="1" applyFill="1" applyBorder="1" applyAlignment="1" applyProtection="1">
      <alignment horizontal="right" vertical="top"/>
    </xf>
    <xf numFmtId="0" fontId="28" fillId="0" borderId="13" xfId="0" applyFont="1" applyFill="1" applyBorder="1" applyAlignment="1" applyProtection="1">
      <alignment horizontal="center" vertical="top" wrapText="1"/>
    </xf>
    <xf numFmtId="0" fontId="27" fillId="0" borderId="13" xfId="0" applyFont="1" applyFill="1" applyBorder="1" applyAlignment="1" applyProtection="1">
      <alignment horizontal="left" vertical="top" wrapText="1"/>
    </xf>
    <xf numFmtId="0" fontId="19" fillId="0" borderId="13" xfId="0" applyFont="1" applyFill="1" applyBorder="1" applyAlignment="1" applyProtection="1">
      <alignment horizontal="left" vertical="top" wrapText="1"/>
    </xf>
    <xf numFmtId="0" fontId="25" fillId="0" borderId="13" xfId="0" applyFont="1" applyFill="1" applyBorder="1" applyAlignment="1" applyProtection="1">
      <alignment horizontal="center" vertical="top"/>
    </xf>
    <xf numFmtId="2" fontId="0" fillId="0" borderId="13" xfId="0" applyNumberFormat="1" applyFont="1" applyFill="1" applyBorder="1" applyAlignment="1" applyProtection="1">
      <alignment horizontal="center" vertical="top" wrapText="1"/>
    </xf>
    <xf numFmtId="0" fontId="20" fillId="0" borderId="13" xfId="0" applyFont="1" applyFill="1" applyBorder="1" applyAlignment="1" applyProtection="1">
      <alignment horizontal="left" vertical="top" wrapText="1"/>
    </xf>
    <xf numFmtId="0" fontId="1" fillId="0" borderId="13" xfId="0" applyFont="1" applyFill="1" applyBorder="1" applyAlignment="1" applyProtection="1">
      <alignment horizontal="left" vertical="top" wrapText="1"/>
    </xf>
    <xf numFmtId="49" fontId="19" fillId="0" borderId="13" xfId="0" applyNumberFormat="1" applyFont="1" applyFill="1" applyBorder="1" applyAlignment="1" applyProtection="1">
      <alignment horizontal="left" vertical="top" wrapText="1"/>
    </xf>
    <xf numFmtId="0" fontId="25" fillId="0" borderId="13" xfId="0" applyFont="1" applyFill="1" applyBorder="1" applyAlignment="1" applyProtection="1">
      <alignment horizontal="left" vertical="top" wrapText="1"/>
    </xf>
    <xf numFmtId="0" fontId="26" fillId="0" borderId="13" xfId="0" applyFont="1" applyFill="1" applyBorder="1" applyAlignment="1" applyProtection="1">
      <alignment horizontal="left" vertical="top" wrapText="1"/>
    </xf>
    <xf numFmtId="0" fontId="29" fillId="0" borderId="13" xfId="0" applyFont="1" applyFill="1" applyBorder="1" applyAlignment="1" applyProtection="1">
      <alignment horizontal="left" vertical="top" wrapText="1"/>
    </xf>
    <xf numFmtId="2" fontId="19" fillId="0" borderId="13" xfId="42" applyNumberFormat="1" applyFont="1" applyFill="1" applyBorder="1" applyAlignment="1" applyProtection="1">
      <alignment horizontal="right" vertical="top"/>
    </xf>
    <xf numFmtId="0" fontId="0" fillId="0" borderId="13" xfId="0" applyNumberFormat="1" applyFont="1" applyFill="1" applyBorder="1" applyAlignment="1" applyProtection="1">
      <alignment horizontal="left" vertical="top" wrapText="1"/>
    </xf>
    <xf numFmtId="165" fontId="0" fillId="0" borderId="13" xfId="0" applyNumberFormat="1" applyFont="1" applyFill="1" applyBorder="1" applyAlignment="1" applyProtection="1">
      <alignment horizontal="left" vertical="top" wrapText="1"/>
    </xf>
    <xf numFmtId="165" fontId="19" fillId="0" borderId="13" xfId="0" applyNumberFormat="1" applyFont="1" applyFill="1" applyBorder="1" applyAlignment="1" applyProtection="1">
      <alignment horizontal="left" vertical="top" wrapText="1"/>
    </xf>
    <xf numFmtId="0" fontId="0" fillId="0" borderId="13" xfId="0" applyFont="1" applyFill="1" applyBorder="1" applyAlignment="1" applyProtection="1">
      <alignment horizontal="right" vertical="top"/>
    </xf>
    <xf numFmtId="0" fontId="0" fillId="0" borderId="13" xfId="0" applyFill="1" applyBorder="1" applyAlignment="1" applyProtection="1">
      <alignment horizontal="left" vertical="top" wrapText="1"/>
    </xf>
    <xf numFmtId="0" fontId="0" fillId="0" borderId="13" xfId="0" applyFill="1" applyBorder="1" applyAlignment="1" applyProtection="1">
      <alignment horizontal="center" vertical="top" wrapText="1"/>
    </xf>
    <xf numFmtId="0" fontId="20" fillId="0" borderId="13" xfId="0" applyFont="1" applyFill="1" applyBorder="1" applyAlignment="1" applyProtection="1">
      <alignment horizontal="center" vertical="top" wrapText="1"/>
    </xf>
    <xf numFmtId="164" fontId="0" fillId="0" borderId="13" xfId="0" applyNumberFormat="1" applyFont="1" applyFill="1" applyBorder="1" applyAlignment="1" applyProtection="1">
      <alignment horizontal="right" vertical="top" wrapText="1"/>
    </xf>
    <xf numFmtId="0" fontId="19" fillId="0" borderId="13" xfId="0" applyFont="1" applyFill="1" applyBorder="1" applyAlignment="1" applyProtection="1">
      <alignment horizontal="center" vertical="top" wrapText="1"/>
      <protection locked="0"/>
    </xf>
    <xf numFmtId="1" fontId="19" fillId="0" borderId="13" xfId="0" applyNumberFormat="1" applyFont="1" applyFill="1" applyBorder="1" applyAlignment="1" applyProtection="1">
      <alignment horizontal="right" vertical="top"/>
      <protection locked="0"/>
    </xf>
    <xf numFmtId="14" fontId="19" fillId="0" borderId="13" xfId="0" applyNumberFormat="1" applyFont="1" applyFill="1" applyBorder="1" applyAlignment="1" applyProtection="1">
      <alignment horizontal="center" vertical="top" wrapText="1"/>
      <protection locked="0"/>
    </xf>
    <xf numFmtId="0" fontId="19" fillId="0" borderId="13" xfId="0" applyFont="1" applyFill="1" applyBorder="1" applyAlignment="1" applyProtection="1">
      <alignment horizontal="center" vertical="top"/>
      <protection locked="0"/>
    </xf>
    <xf numFmtId="0" fontId="19" fillId="0" borderId="13" xfId="0" applyNumberFormat="1" applyFont="1" applyFill="1" applyBorder="1" applyAlignment="1" applyProtection="1">
      <alignment horizontal="right" vertical="top"/>
      <protection locked="0"/>
    </xf>
    <xf numFmtId="0" fontId="19" fillId="0" borderId="13" xfId="0" applyFont="1" applyFill="1" applyBorder="1" applyAlignment="1" applyProtection="1">
      <alignment horizontal="right" vertical="top"/>
      <protection locked="0"/>
    </xf>
    <xf numFmtId="164" fontId="19" fillId="0" borderId="13" xfId="0" applyNumberFormat="1" applyFont="1" applyFill="1" applyBorder="1" applyAlignment="1" applyProtection="1">
      <alignment horizontal="right" vertical="top"/>
      <protection locked="0"/>
    </xf>
    <xf numFmtId="14" fontId="19" fillId="0" borderId="13" xfId="0" applyNumberFormat="1" applyFont="1" applyFill="1" applyBorder="1" applyAlignment="1" applyProtection="1">
      <alignment horizontal="center" vertical="top"/>
      <protection locked="0"/>
    </xf>
    <xf numFmtId="0" fontId="19" fillId="0" borderId="13" xfId="0" applyNumberFormat="1" applyFont="1" applyFill="1" applyBorder="1" applyAlignment="1" applyProtection="1">
      <alignment horizontal="left" vertical="top" wrapText="1"/>
    </xf>
    <xf numFmtId="0" fontId="19" fillId="0" borderId="13" xfId="0" applyNumberFormat="1" applyFont="1" applyFill="1" applyBorder="1" applyAlignment="1" applyProtection="1">
      <alignment horizontal="center" vertical="top"/>
    </xf>
    <xf numFmtId="0" fontId="19" fillId="0" borderId="13" xfId="0" applyFont="1" applyFill="1" applyBorder="1" applyAlignment="1" applyProtection="1">
      <alignment horizontal="left" vertical="top" wrapText="1"/>
      <protection locked="0"/>
    </xf>
    <xf numFmtId="2" fontId="19" fillId="0" borderId="13" xfId="42" applyNumberFormat="1" applyFont="1" applyFill="1" applyBorder="1" applyAlignment="1">
      <alignment horizontal="right" vertical="top"/>
    </xf>
    <xf numFmtId="165" fontId="19" fillId="0" borderId="13" xfId="0" applyNumberFormat="1" applyFont="1" applyFill="1" applyBorder="1" applyAlignment="1" applyProtection="1">
      <alignment horizontal="left" vertical="top" wrapText="1"/>
      <protection locked="0"/>
    </xf>
    <xf numFmtId="0" fontId="0" fillId="0" borderId="13" xfId="0" applyFill="1" applyBorder="1" applyAlignment="1">
      <alignment horizontal="right" vertical="top"/>
    </xf>
    <xf numFmtId="2" fontId="0" fillId="0" borderId="13" xfId="0" applyNumberFormat="1" applyFont="1" applyFill="1" applyBorder="1" applyAlignment="1" applyProtection="1">
      <alignment horizontal="right" vertical="top"/>
    </xf>
    <xf numFmtId="165" fontId="0" fillId="0" borderId="13" xfId="0" applyNumberFormat="1" applyFont="1" applyFill="1" applyBorder="1" applyAlignment="1" applyProtection="1">
      <alignment horizontal="right" vertical="top"/>
    </xf>
    <xf numFmtId="169" fontId="0" fillId="0" borderId="13" xfId="0" applyNumberFormat="1" applyFont="1" applyFill="1" applyBorder="1" applyAlignment="1" applyProtection="1">
      <alignment horizontal="center" vertical="top" wrapText="1"/>
    </xf>
    <xf numFmtId="169" fontId="19" fillId="0" borderId="13" xfId="0" applyNumberFormat="1" applyFont="1" applyFill="1" applyBorder="1" applyAlignment="1" applyProtection="1">
      <alignment horizontal="center" vertical="top" wrapText="1"/>
    </xf>
    <xf numFmtId="169" fontId="19" fillId="0" borderId="13" xfId="0" applyNumberFormat="1" applyFont="1" applyFill="1" applyBorder="1" applyAlignment="1" applyProtection="1">
      <alignment horizontal="center" vertical="top"/>
    </xf>
    <xf numFmtId="169" fontId="19" fillId="0" borderId="13" xfId="0" applyNumberFormat="1" applyFont="1" applyFill="1" applyBorder="1" applyAlignment="1" applyProtection="1">
      <alignment horizontal="center" vertical="top"/>
      <protection locked="0"/>
    </xf>
    <xf numFmtId="169" fontId="0" fillId="0" borderId="13" xfId="0" applyNumberFormat="1" applyFont="1" applyFill="1" applyBorder="1" applyAlignment="1" applyProtection="1">
      <alignment horizontal="center" vertical="top"/>
    </xf>
    <xf numFmtId="2" fontId="19" fillId="0" borderId="13" xfId="0" applyNumberFormat="1" applyFont="1" applyFill="1" applyBorder="1" applyAlignment="1" applyProtection="1">
      <alignment horizontal="right" vertical="top"/>
      <protection locked="0"/>
    </xf>
    <xf numFmtId="14" fontId="0" fillId="0" borderId="13" xfId="0" applyNumberFormat="1" applyFont="1" applyFill="1" applyBorder="1" applyAlignment="1" applyProtection="1">
      <alignment horizontal="center" vertical="top"/>
    </xf>
    <xf numFmtId="14" fontId="0" fillId="0" borderId="13" xfId="0" applyNumberFormat="1" applyFont="1" applyFill="1" applyBorder="1" applyAlignment="1" applyProtection="1">
      <alignment horizontal="center"/>
    </xf>
    <xf numFmtId="2" fontId="19" fillId="0" borderId="30" xfId="42" applyNumberFormat="1" applyFont="1" applyFill="1" applyBorder="1" applyAlignment="1">
      <alignment horizontal="right" vertical="top"/>
    </xf>
    <xf numFmtId="0" fontId="0" fillId="0" borderId="30" xfId="0" applyNumberFormat="1" applyFont="1" applyFill="1" applyBorder="1" applyAlignment="1" applyProtection="1">
      <alignment horizontal="right" vertical="top"/>
    </xf>
    <xf numFmtId="0" fontId="0" fillId="0" borderId="13" xfId="0" applyFont="1" applyFill="1" applyBorder="1" applyProtection="1"/>
    <xf numFmtId="0" fontId="0" fillId="0" borderId="0" xfId="0" applyNumberFormat="1" applyFont="1" applyFill="1" applyBorder="1" applyAlignment="1" applyProtection="1">
      <alignment horizontal="right" vertical="top"/>
    </xf>
    <xf numFmtId="0" fontId="19" fillId="0" borderId="13" xfId="0" applyFont="1" applyFill="1" applyBorder="1" applyAlignment="1" applyProtection="1">
      <alignment vertical="top" wrapText="1"/>
      <protection locked="0"/>
    </xf>
    <xf numFmtId="2" fontId="19" fillId="0" borderId="13" xfId="42" applyNumberFormat="1" applyFont="1" applyFill="1" applyBorder="1" applyAlignment="1">
      <alignment vertical="top"/>
    </xf>
    <xf numFmtId="164" fontId="19" fillId="0" borderId="13" xfId="0" applyNumberFormat="1" applyFont="1" applyFill="1" applyBorder="1" applyAlignment="1" applyProtection="1">
      <alignment vertical="top"/>
      <protection locked="0"/>
    </xf>
    <xf numFmtId="165" fontId="19" fillId="0" borderId="13" xfId="0" applyNumberFormat="1" applyFont="1" applyFill="1" applyBorder="1" applyAlignment="1" applyProtection="1">
      <alignment vertical="top" wrapText="1"/>
      <protection locked="0"/>
    </xf>
    <xf numFmtId="0" fontId="0" fillId="0" borderId="0" xfId="0" applyFill="1" applyAlignment="1">
      <alignment wrapText="1"/>
    </xf>
    <xf numFmtId="0" fontId="19" fillId="0" borderId="0" xfId="0" applyFont="1" applyFill="1" applyBorder="1" applyAlignment="1" applyProtection="1">
      <alignment horizontal="right" vertical="top"/>
    </xf>
    <xf numFmtId="2" fontId="19" fillId="0" borderId="13" xfId="42" applyNumberFormat="1" applyFont="1" applyFill="1" applyBorder="1" applyAlignment="1">
      <alignment vertical="top" wrapText="1"/>
    </xf>
    <xf numFmtId="1" fontId="19" fillId="0" borderId="13" xfId="0" applyNumberFormat="1" applyFont="1" applyFill="1" applyBorder="1" applyAlignment="1" applyProtection="1">
      <alignment horizontal="right" vertical="top" wrapText="1"/>
      <protection locked="0"/>
    </xf>
    <xf numFmtId="164" fontId="19" fillId="0" borderId="13" xfId="0" applyNumberFormat="1" applyFont="1" applyFill="1" applyBorder="1" applyAlignment="1" applyProtection="1">
      <alignment vertical="top" wrapText="1"/>
      <protection locked="0"/>
    </xf>
    <xf numFmtId="0" fontId="19" fillId="0" borderId="13" xfId="0" applyNumberFormat="1" applyFont="1" applyFill="1" applyBorder="1" applyAlignment="1" applyProtection="1">
      <alignment horizontal="right" vertical="top" wrapText="1"/>
      <protection locked="0"/>
    </xf>
    <xf numFmtId="0" fontId="19" fillId="0" borderId="13" xfId="0" applyFont="1" applyFill="1" applyBorder="1" applyAlignment="1" applyProtection="1">
      <alignment horizontal="right" vertical="top" wrapText="1"/>
      <protection locked="0"/>
    </xf>
    <xf numFmtId="164" fontId="19" fillId="0" borderId="13" xfId="0" applyNumberFormat="1" applyFont="1" applyFill="1" applyBorder="1" applyAlignment="1" applyProtection="1">
      <alignment horizontal="right" vertical="top" wrapText="1"/>
      <protection locked="0"/>
    </xf>
  </cellXfs>
  <cellStyles count="20100">
    <cellStyle name="20% - Accent1" xfId="18" builtinId="30" customBuiltin="1"/>
    <cellStyle name="20% - Accent1 2" xfId="420"/>
    <cellStyle name="20% - Accent1 3" xfId="421"/>
    <cellStyle name="20% - Accent1 4" xfId="422"/>
    <cellStyle name="20% - Accent1 4 10" xfId="423"/>
    <cellStyle name="20% - Accent1 4 11" xfId="424"/>
    <cellStyle name="20% - Accent1 4 12" xfId="425"/>
    <cellStyle name="20% - Accent1 4 2" xfId="426"/>
    <cellStyle name="20% - Accent1 4 3" xfId="427"/>
    <cellStyle name="20% - Accent1 4 3 2" xfId="428"/>
    <cellStyle name="20% - Accent1 4 4" xfId="429"/>
    <cellStyle name="20% - Accent1 4 5" xfId="430"/>
    <cellStyle name="20% - Accent1 4 6" xfId="431"/>
    <cellStyle name="20% - Accent1 4 7" xfId="432"/>
    <cellStyle name="20% - Accent1 4 8" xfId="433"/>
    <cellStyle name="20% - Accent1 4 9" xfId="434"/>
    <cellStyle name="20% - Accent1 5" xfId="4635"/>
    <cellStyle name="20% - Accent1 5 2" xfId="7437"/>
    <cellStyle name="20% - Accent1 5 2 2" xfId="9193"/>
    <cellStyle name="20% - Accent1 6" xfId="4754"/>
    <cellStyle name="20% - Accent2" xfId="22" builtinId="34" customBuiltin="1"/>
    <cellStyle name="20% - Accent2 2" xfId="435"/>
    <cellStyle name="20% - Accent2 3" xfId="436"/>
    <cellStyle name="20% - Accent2 4" xfId="437"/>
    <cellStyle name="20% - Accent2 4 10" xfId="438"/>
    <cellStyle name="20% - Accent2 4 11" xfId="439"/>
    <cellStyle name="20% - Accent2 4 12" xfId="440"/>
    <cellStyle name="20% - Accent2 4 2" xfId="441"/>
    <cellStyle name="20% - Accent2 4 3" xfId="442"/>
    <cellStyle name="20% - Accent2 4 3 2" xfId="443"/>
    <cellStyle name="20% - Accent2 4 4" xfId="444"/>
    <cellStyle name="20% - Accent2 4 5" xfId="445"/>
    <cellStyle name="20% - Accent2 4 6" xfId="446"/>
    <cellStyle name="20% - Accent2 4 7" xfId="447"/>
    <cellStyle name="20% - Accent2 4 8" xfId="448"/>
    <cellStyle name="20% - Accent2 4 9" xfId="449"/>
    <cellStyle name="20% - Accent2 5" xfId="4629"/>
    <cellStyle name="20% - Accent2 5 2" xfId="7431"/>
    <cellStyle name="20% - Accent2 5 2 2" xfId="9187"/>
    <cellStyle name="20% - Accent2 6" xfId="4753"/>
    <cellStyle name="20% - Accent3" xfId="26" builtinId="38" customBuiltin="1"/>
    <cellStyle name="20% - Accent3 2" xfId="450"/>
    <cellStyle name="20% - Accent3 3" xfId="451"/>
    <cellStyle name="20% - Accent3 4" xfId="452"/>
    <cellStyle name="20% - Accent3 4 10" xfId="453"/>
    <cellStyle name="20% - Accent3 4 11" xfId="454"/>
    <cellStyle name="20% - Accent3 4 12" xfId="455"/>
    <cellStyle name="20% - Accent3 4 2" xfId="456"/>
    <cellStyle name="20% - Accent3 4 3" xfId="457"/>
    <cellStyle name="20% - Accent3 4 3 2" xfId="458"/>
    <cellStyle name="20% - Accent3 4 4" xfId="459"/>
    <cellStyle name="20% - Accent3 4 5" xfId="460"/>
    <cellStyle name="20% - Accent3 4 6" xfId="461"/>
    <cellStyle name="20% - Accent3 4 7" xfId="462"/>
    <cellStyle name="20% - Accent3 4 8" xfId="463"/>
    <cellStyle name="20% - Accent3 4 9" xfId="464"/>
    <cellStyle name="20% - Accent3 5" xfId="4645"/>
    <cellStyle name="20% - Accent3 5 2" xfId="7446"/>
    <cellStyle name="20% - Accent3 5 2 2" xfId="9202"/>
    <cellStyle name="20% - Accent3 6" xfId="4751"/>
    <cellStyle name="20% - Accent4" xfId="30" builtinId="42" customBuiltin="1"/>
    <cellStyle name="20% - Accent4 2" xfId="465"/>
    <cellStyle name="20% - Accent4 3" xfId="466"/>
    <cellStyle name="20% - Accent4 4" xfId="467"/>
    <cellStyle name="20% - Accent4 4 10" xfId="468"/>
    <cellStyle name="20% - Accent4 4 11" xfId="469"/>
    <cellStyle name="20% - Accent4 4 12" xfId="470"/>
    <cellStyle name="20% - Accent4 4 2" xfId="471"/>
    <cellStyle name="20% - Accent4 4 3" xfId="472"/>
    <cellStyle name="20% - Accent4 4 3 2" xfId="473"/>
    <cellStyle name="20% - Accent4 4 4" xfId="474"/>
    <cellStyle name="20% - Accent4 4 5" xfId="475"/>
    <cellStyle name="20% - Accent4 4 6" xfId="476"/>
    <cellStyle name="20% - Accent4 4 7" xfId="477"/>
    <cellStyle name="20% - Accent4 4 8" xfId="478"/>
    <cellStyle name="20% - Accent4 4 9" xfId="479"/>
    <cellStyle name="20% - Accent4 5" xfId="4651"/>
    <cellStyle name="20% - Accent4 5 2" xfId="7452"/>
    <cellStyle name="20% - Accent4 5 2 2" xfId="9208"/>
    <cellStyle name="20% - Accent4 6" xfId="4750"/>
    <cellStyle name="20% - Accent5" xfId="34" builtinId="46" customBuiltin="1"/>
    <cellStyle name="20% - Accent5 2" xfId="480"/>
    <cellStyle name="20% - Accent5 3" xfId="481"/>
    <cellStyle name="20% - Accent5 4" xfId="482"/>
    <cellStyle name="20% - Accent5 4 10" xfId="483"/>
    <cellStyle name="20% - Accent5 4 11" xfId="484"/>
    <cellStyle name="20% - Accent5 4 12" xfId="485"/>
    <cellStyle name="20% - Accent5 4 2" xfId="486"/>
    <cellStyle name="20% - Accent5 4 3" xfId="487"/>
    <cellStyle name="20% - Accent5 4 3 2" xfId="488"/>
    <cellStyle name="20% - Accent5 4 4" xfId="489"/>
    <cellStyle name="20% - Accent5 4 5" xfId="490"/>
    <cellStyle name="20% - Accent5 4 6" xfId="491"/>
    <cellStyle name="20% - Accent5 4 7" xfId="492"/>
    <cellStyle name="20% - Accent5 4 8" xfId="493"/>
    <cellStyle name="20% - Accent5 4 9" xfId="494"/>
    <cellStyle name="20% - Accent5 5" xfId="4639"/>
    <cellStyle name="20% - Accent5 5 2" xfId="7441"/>
    <cellStyle name="20% - Accent5 5 2 2" xfId="9197"/>
    <cellStyle name="20% - Accent5 6" xfId="4748"/>
    <cellStyle name="20% - Accent6" xfId="38" builtinId="50" customBuiltin="1"/>
    <cellStyle name="20% - Accent6 2" xfId="495"/>
    <cellStyle name="20% - Accent6 3" xfId="496"/>
    <cellStyle name="20% - Accent6 4" xfId="497"/>
    <cellStyle name="20% - Accent6 4 10" xfId="498"/>
    <cellStyle name="20% - Accent6 4 11" xfId="499"/>
    <cellStyle name="20% - Accent6 4 12" xfId="500"/>
    <cellStyle name="20% - Accent6 4 2" xfId="501"/>
    <cellStyle name="20% - Accent6 4 3" xfId="502"/>
    <cellStyle name="20% - Accent6 4 3 2" xfId="503"/>
    <cellStyle name="20% - Accent6 4 4" xfId="504"/>
    <cellStyle name="20% - Accent6 4 5" xfId="505"/>
    <cellStyle name="20% - Accent6 4 6" xfId="506"/>
    <cellStyle name="20% - Accent6 4 7" xfId="507"/>
    <cellStyle name="20% - Accent6 4 8" xfId="508"/>
    <cellStyle name="20% - Accent6 4 9" xfId="509"/>
    <cellStyle name="20% - Accent6 5" xfId="4650"/>
    <cellStyle name="20% - Accent6 5 2" xfId="7451"/>
    <cellStyle name="20% - Accent6 5 2 2" xfId="9207"/>
    <cellStyle name="20% - Accent6 6" xfId="4745"/>
    <cellStyle name="20% - Akzent1" xfId="510"/>
    <cellStyle name="20% - Akzent2" xfId="511"/>
    <cellStyle name="20% - Akzent3" xfId="512"/>
    <cellStyle name="20% - Akzent4" xfId="513"/>
    <cellStyle name="20% - Akzent5" xfId="514"/>
    <cellStyle name="20% - Akzent6" xfId="515"/>
    <cellStyle name="20% - 강조색1" xfId="516"/>
    <cellStyle name="20% - 강조색1 2" xfId="118"/>
    <cellStyle name="20% - 강조색1 2 2" xfId="518"/>
    <cellStyle name="20% - 강조색1 2 3" xfId="519"/>
    <cellStyle name="20% - 강조색1 2 3 2" xfId="520"/>
    <cellStyle name="20% - 강조색1 2 3 3" xfId="521"/>
    <cellStyle name="20% - 강조색1 2 3 4" xfId="522"/>
    <cellStyle name="20% - 강조색1 2 3 5" xfId="4306"/>
    <cellStyle name="20% - 강조색1 2 3 6" xfId="4773"/>
    <cellStyle name="20% - 강조색1 2 3 7" xfId="5552"/>
    <cellStyle name="20% - 강조색1 2 4" xfId="517"/>
    <cellStyle name="20% - 강조색1 3" xfId="119"/>
    <cellStyle name="20% - 강조색1 3 2" xfId="524"/>
    <cellStyle name="20% - 강조색1 3 3" xfId="525"/>
    <cellStyle name="20% - 강조색1 3 3 2" xfId="526"/>
    <cellStyle name="20% - 강조색1 3 3 3" xfId="527"/>
    <cellStyle name="20% - 강조색1 3 3 4" xfId="528"/>
    <cellStyle name="20% - 강조색1 3 3 5" xfId="4305"/>
    <cellStyle name="20% - 강조색1 3 3 6" xfId="4774"/>
    <cellStyle name="20% - 강조색1 3 3 7" xfId="5553"/>
    <cellStyle name="20% - 강조색1 3 4" xfId="523"/>
    <cellStyle name="20% - 강조색1 4" xfId="120"/>
    <cellStyle name="20% - 강조색1 4 2" xfId="530"/>
    <cellStyle name="20% - 강조색1 4 3" xfId="531"/>
    <cellStyle name="20% - 강조색1 4 3 2" xfId="532"/>
    <cellStyle name="20% - 강조색1 4 3 3" xfId="533"/>
    <cellStyle name="20% - 강조색1 4 3 4" xfId="534"/>
    <cellStyle name="20% - 강조색1 4 3 5" xfId="4304"/>
    <cellStyle name="20% - 강조색1 4 3 6" xfId="4775"/>
    <cellStyle name="20% - 강조색1 4 3 7" xfId="5554"/>
    <cellStyle name="20% - 강조색1 4 4" xfId="529"/>
    <cellStyle name="20% - 강조색1 5" xfId="121"/>
    <cellStyle name="20% - 강조색1 5 2" xfId="536"/>
    <cellStyle name="20% - 강조색1 5 3" xfId="537"/>
    <cellStyle name="20% - 강조색1 5 3 2" xfId="538"/>
    <cellStyle name="20% - 강조색1 5 3 3" xfId="539"/>
    <cellStyle name="20% - 강조색1 5 3 4" xfId="540"/>
    <cellStyle name="20% - 강조색1 5 3 5" xfId="4303"/>
    <cellStyle name="20% - 강조색1 5 3 6" xfId="4776"/>
    <cellStyle name="20% - 강조색1 5 3 7" xfId="5555"/>
    <cellStyle name="20% - 강조색1 5 4" xfId="535"/>
    <cellStyle name="20% - 강조색1 6" xfId="122"/>
    <cellStyle name="20% - 강조색1 6 2" xfId="542"/>
    <cellStyle name="20% - 강조색1 6 3" xfId="543"/>
    <cellStyle name="20% - 강조색1 6 3 2" xfId="544"/>
    <cellStyle name="20% - 강조색1 6 3 3" xfId="545"/>
    <cellStyle name="20% - 강조색1 6 3 4" xfId="546"/>
    <cellStyle name="20% - 강조색1 6 3 5" xfId="4302"/>
    <cellStyle name="20% - 강조색1 6 3 6" xfId="4777"/>
    <cellStyle name="20% - 강조색1 6 3 7" xfId="5556"/>
    <cellStyle name="20% - 강조색1 6 4" xfId="541"/>
    <cellStyle name="20% - 강조색1 7" xfId="123"/>
    <cellStyle name="20% - 강조색1 7 2" xfId="548"/>
    <cellStyle name="20% - 강조색1 7 3" xfId="549"/>
    <cellStyle name="20% - 강조색1 7 3 2" xfId="550"/>
    <cellStyle name="20% - 강조색1 7 3 3" xfId="551"/>
    <cellStyle name="20% - 강조색1 7 3 4" xfId="552"/>
    <cellStyle name="20% - 강조색1 7 3 5" xfId="4301"/>
    <cellStyle name="20% - 강조색1 7 3 6" xfId="4778"/>
    <cellStyle name="20% - 강조색1 7 3 7" xfId="5557"/>
    <cellStyle name="20% - 강조색1 7 4" xfId="547"/>
    <cellStyle name="20% - 강조색1 8" xfId="553"/>
    <cellStyle name="20% - 강조색1 8 2" xfId="554"/>
    <cellStyle name="20% - 강조색1 8 2 2" xfId="555"/>
    <cellStyle name="20% - 강조색1 8 2 3" xfId="556"/>
    <cellStyle name="20% - 강조색1 8 2 4" xfId="557"/>
    <cellStyle name="20% - 강조색1 8 2 5" xfId="4300"/>
    <cellStyle name="20% - 강조색1 8 2 6" xfId="4779"/>
    <cellStyle name="20% - 강조색1 8 2 7" xfId="5558"/>
    <cellStyle name="20% - 강조색2" xfId="558"/>
    <cellStyle name="20% - 강조색2 2" xfId="124"/>
    <cellStyle name="20% - 강조색2 2 2" xfId="560"/>
    <cellStyle name="20% - 강조색2 2 3" xfId="561"/>
    <cellStyle name="20% - 강조색2 2 3 2" xfId="562"/>
    <cellStyle name="20% - 강조색2 2 3 3" xfId="563"/>
    <cellStyle name="20% - 강조색2 2 3 4" xfId="564"/>
    <cellStyle name="20% - 강조색2 2 3 5" xfId="4299"/>
    <cellStyle name="20% - 강조색2 2 3 6" xfId="4780"/>
    <cellStyle name="20% - 강조색2 2 3 7" xfId="5559"/>
    <cellStyle name="20% - 강조색2 2 4" xfId="559"/>
    <cellStyle name="20% - 강조색2 3" xfId="125"/>
    <cellStyle name="20% - 강조색2 3 2" xfId="566"/>
    <cellStyle name="20% - 강조색2 3 3" xfId="567"/>
    <cellStyle name="20% - 강조색2 3 3 2" xfId="568"/>
    <cellStyle name="20% - 강조색2 3 3 3" xfId="569"/>
    <cellStyle name="20% - 강조색2 3 3 4" xfId="570"/>
    <cellStyle name="20% - 강조색2 3 3 5" xfId="4298"/>
    <cellStyle name="20% - 강조색2 3 3 6" xfId="4781"/>
    <cellStyle name="20% - 강조색2 3 3 7" xfId="5560"/>
    <cellStyle name="20% - 강조색2 3 4" xfId="565"/>
    <cellStyle name="20% - 강조색2 4" xfId="126"/>
    <cellStyle name="20% - 강조색2 4 2" xfId="572"/>
    <cellStyle name="20% - 강조색2 4 3" xfId="573"/>
    <cellStyle name="20% - 강조색2 4 3 2" xfId="574"/>
    <cellStyle name="20% - 강조색2 4 3 3" xfId="575"/>
    <cellStyle name="20% - 강조색2 4 3 4" xfId="576"/>
    <cellStyle name="20% - 강조색2 4 3 5" xfId="4297"/>
    <cellStyle name="20% - 강조색2 4 3 6" xfId="4782"/>
    <cellStyle name="20% - 강조색2 4 3 7" xfId="5561"/>
    <cellStyle name="20% - 강조색2 4 4" xfId="571"/>
    <cellStyle name="20% - 강조색2 5" xfId="127"/>
    <cellStyle name="20% - 강조색2 5 2" xfId="578"/>
    <cellStyle name="20% - 강조색2 5 3" xfId="579"/>
    <cellStyle name="20% - 강조색2 5 3 2" xfId="580"/>
    <cellStyle name="20% - 강조색2 5 3 3" xfId="581"/>
    <cellStyle name="20% - 강조색2 5 3 4" xfId="582"/>
    <cellStyle name="20% - 강조색2 5 3 5" xfId="4296"/>
    <cellStyle name="20% - 강조색2 5 3 6" xfId="4783"/>
    <cellStyle name="20% - 강조색2 5 3 7" xfId="5562"/>
    <cellStyle name="20% - 강조색2 5 4" xfId="577"/>
    <cellStyle name="20% - 강조색2 6" xfId="128"/>
    <cellStyle name="20% - 강조색2 6 2" xfId="584"/>
    <cellStyle name="20% - 강조색2 6 3" xfId="585"/>
    <cellStyle name="20% - 강조색2 6 3 2" xfId="586"/>
    <cellStyle name="20% - 강조색2 6 3 3" xfId="587"/>
    <cellStyle name="20% - 강조색2 6 3 4" xfId="588"/>
    <cellStyle name="20% - 강조색2 6 3 5" xfId="4295"/>
    <cellStyle name="20% - 강조색2 6 3 6" xfId="4784"/>
    <cellStyle name="20% - 강조색2 6 3 7" xfId="5563"/>
    <cellStyle name="20% - 강조색2 6 4" xfId="583"/>
    <cellStyle name="20% - 강조색2 7" xfId="129"/>
    <cellStyle name="20% - 강조색2 7 2" xfId="590"/>
    <cellStyle name="20% - 강조색2 7 3" xfId="591"/>
    <cellStyle name="20% - 강조색2 7 3 2" xfId="592"/>
    <cellStyle name="20% - 강조색2 7 3 3" xfId="593"/>
    <cellStyle name="20% - 강조색2 7 3 4" xfId="594"/>
    <cellStyle name="20% - 강조색2 7 3 5" xfId="4294"/>
    <cellStyle name="20% - 강조색2 7 3 6" xfId="4785"/>
    <cellStyle name="20% - 강조색2 7 3 7" xfId="5564"/>
    <cellStyle name="20% - 강조색2 7 4" xfId="589"/>
    <cellStyle name="20% - 강조색2 8" xfId="595"/>
    <cellStyle name="20% - 강조색2 8 2" xfId="596"/>
    <cellStyle name="20% - 강조색2 8 2 2" xfId="597"/>
    <cellStyle name="20% - 강조색2 8 2 3" xfId="598"/>
    <cellStyle name="20% - 강조색2 8 2 4" xfId="599"/>
    <cellStyle name="20% - 강조색2 8 2 5" xfId="4293"/>
    <cellStyle name="20% - 강조색2 8 2 6" xfId="4786"/>
    <cellStyle name="20% - 강조색2 8 2 7" xfId="5565"/>
    <cellStyle name="20% - 강조색3" xfId="600"/>
    <cellStyle name="20% - 강조색3 2" xfId="130"/>
    <cellStyle name="20% - 강조색3 2 2" xfId="602"/>
    <cellStyle name="20% - 강조색3 2 3" xfId="603"/>
    <cellStyle name="20% - 강조색3 2 3 2" xfId="604"/>
    <cellStyle name="20% - 강조색3 2 3 3" xfId="605"/>
    <cellStyle name="20% - 강조색3 2 3 4" xfId="606"/>
    <cellStyle name="20% - 강조색3 2 3 5" xfId="4292"/>
    <cellStyle name="20% - 강조색3 2 3 6" xfId="4787"/>
    <cellStyle name="20% - 강조색3 2 3 7" xfId="5566"/>
    <cellStyle name="20% - 강조색3 2 4" xfId="601"/>
    <cellStyle name="20% - 강조색3 3" xfId="131"/>
    <cellStyle name="20% - 강조색3 3 2" xfId="608"/>
    <cellStyle name="20% - 강조색3 3 3" xfId="609"/>
    <cellStyle name="20% - 강조색3 3 3 2" xfId="610"/>
    <cellStyle name="20% - 강조색3 3 3 3" xfId="611"/>
    <cellStyle name="20% - 강조색3 3 3 4" xfId="612"/>
    <cellStyle name="20% - 강조색3 3 3 5" xfId="4291"/>
    <cellStyle name="20% - 강조색3 3 3 6" xfId="4788"/>
    <cellStyle name="20% - 강조색3 3 3 7" xfId="5567"/>
    <cellStyle name="20% - 강조색3 3 4" xfId="607"/>
    <cellStyle name="20% - 강조색3 4" xfId="132"/>
    <cellStyle name="20% - 강조색3 4 2" xfId="614"/>
    <cellStyle name="20% - 강조색3 4 3" xfId="615"/>
    <cellStyle name="20% - 강조색3 4 3 2" xfId="616"/>
    <cellStyle name="20% - 강조색3 4 3 3" xfId="617"/>
    <cellStyle name="20% - 강조색3 4 3 4" xfId="618"/>
    <cellStyle name="20% - 강조색3 4 3 5" xfId="4290"/>
    <cellStyle name="20% - 강조색3 4 3 6" xfId="4789"/>
    <cellStyle name="20% - 강조색3 4 3 7" xfId="5568"/>
    <cellStyle name="20% - 강조색3 4 4" xfId="613"/>
    <cellStyle name="20% - 강조색3 5" xfId="133"/>
    <cellStyle name="20% - 강조색3 5 2" xfId="620"/>
    <cellStyle name="20% - 강조색3 5 3" xfId="621"/>
    <cellStyle name="20% - 강조색3 5 3 2" xfId="622"/>
    <cellStyle name="20% - 강조색3 5 3 3" xfId="623"/>
    <cellStyle name="20% - 강조색3 5 3 4" xfId="624"/>
    <cellStyle name="20% - 강조색3 5 3 5" xfId="4289"/>
    <cellStyle name="20% - 강조색3 5 3 6" xfId="4790"/>
    <cellStyle name="20% - 강조색3 5 3 7" xfId="5569"/>
    <cellStyle name="20% - 강조색3 5 4" xfId="619"/>
    <cellStyle name="20% - 강조색3 6" xfId="134"/>
    <cellStyle name="20% - 강조색3 6 2" xfId="626"/>
    <cellStyle name="20% - 강조색3 6 3" xfId="627"/>
    <cellStyle name="20% - 강조색3 6 3 2" xfId="628"/>
    <cellStyle name="20% - 강조색3 6 3 3" xfId="629"/>
    <cellStyle name="20% - 강조색3 6 3 4" xfId="630"/>
    <cellStyle name="20% - 강조색3 6 3 5" xfId="4288"/>
    <cellStyle name="20% - 강조색3 6 3 6" xfId="4791"/>
    <cellStyle name="20% - 강조색3 6 3 7" xfId="5570"/>
    <cellStyle name="20% - 강조색3 6 4" xfId="625"/>
    <cellStyle name="20% - 강조색3 7" xfId="135"/>
    <cellStyle name="20% - 강조색3 7 2" xfId="632"/>
    <cellStyle name="20% - 강조색3 7 3" xfId="633"/>
    <cellStyle name="20% - 강조색3 7 3 2" xfId="634"/>
    <cellStyle name="20% - 강조색3 7 3 3" xfId="635"/>
    <cellStyle name="20% - 강조색3 7 3 4" xfId="636"/>
    <cellStyle name="20% - 강조색3 7 3 5" xfId="4287"/>
    <cellStyle name="20% - 강조색3 7 3 6" xfId="4792"/>
    <cellStyle name="20% - 강조색3 7 3 7" xfId="5571"/>
    <cellStyle name="20% - 강조색3 7 4" xfId="631"/>
    <cellStyle name="20% - 강조색3 8" xfId="637"/>
    <cellStyle name="20% - 강조색3 8 2" xfId="638"/>
    <cellStyle name="20% - 강조색3 8 2 2" xfId="639"/>
    <cellStyle name="20% - 강조색3 8 2 3" xfId="640"/>
    <cellStyle name="20% - 강조색3 8 2 4" xfId="641"/>
    <cellStyle name="20% - 강조색3 8 2 5" xfId="4286"/>
    <cellStyle name="20% - 강조색3 8 2 6" xfId="4793"/>
    <cellStyle name="20% - 강조색3 8 2 7" xfId="5572"/>
    <cellStyle name="20% - 강조색4" xfId="642"/>
    <cellStyle name="20% - 강조색4 2" xfId="136"/>
    <cellStyle name="20% - 강조색4 2 2" xfId="644"/>
    <cellStyle name="20% - 강조색4 2 3" xfId="645"/>
    <cellStyle name="20% - 강조색4 2 3 2" xfId="646"/>
    <cellStyle name="20% - 강조색4 2 3 3" xfId="647"/>
    <cellStyle name="20% - 강조색4 2 3 4" xfId="648"/>
    <cellStyle name="20% - 강조색4 2 3 5" xfId="4285"/>
    <cellStyle name="20% - 강조색4 2 3 6" xfId="4794"/>
    <cellStyle name="20% - 강조색4 2 3 7" xfId="5573"/>
    <cellStyle name="20% - 강조색4 2 4" xfId="643"/>
    <cellStyle name="20% - 강조색4 3" xfId="137"/>
    <cellStyle name="20% - 강조색4 3 2" xfId="650"/>
    <cellStyle name="20% - 강조색4 3 3" xfId="651"/>
    <cellStyle name="20% - 강조색4 3 3 2" xfId="652"/>
    <cellStyle name="20% - 강조색4 3 3 3" xfId="653"/>
    <cellStyle name="20% - 강조색4 3 3 4" xfId="654"/>
    <cellStyle name="20% - 강조색4 3 3 5" xfId="4284"/>
    <cellStyle name="20% - 강조색4 3 3 6" xfId="4795"/>
    <cellStyle name="20% - 강조색4 3 3 7" xfId="5574"/>
    <cellStyle name="20% - 강조색4 3 4" xfId="649"/>
    <cellStyle name="20% - 강조색4 4" xfId="138"/>
    <cellStyle name="20% - 강조색4 4 2" xfId="656"/>
    <cellStyle name="20% - 강조색4 4 3" xfId="657"/>
    <cellStyle name="20% - 강조색4 4 3 2" xfId="658"/>
    <cellStyle name="20% - 강조색4 4 3 3" xfId="659"/>
    <cellStyle name="20% - 강조색4 4 3 4" xfId="660"/>
    <cellStyle name="20% - 강조색4 4 3 5" xfId="4283"/>
    <cellStyle name="20% - 강조색4 4 3 6" xfId="4796"/>
    <cellStyle name="20% - 강조색4 4 3 7" xfId="5575"/>
    <cellStyle name="20% - 강조색4 4 4" xfId="655"/>
    <cellStyle name="20% - 강조색4 5" xfId="139"/>
    <cellStyle name="20% - 강조색4 5 2" xfId="662"/>
    <cellStyle name="20% - 강조색4 5 3" xfId="663"/>
    <cellStyle name="20% - 강조색4 5 3 2" xfId="664"/>
    <cellStyle name="20% - 강조색4 5 3 3" xfId="665"/>
    <cellStyle name="20% - 강조색4 5 3 4" xfId="666"/>
    <cellStyle name="20% - 강조색4 5 3 5" xfId="4282"/>
    <cellStyle name="20% - 강조색4 5 3 6" xfId="4797"/>
    <cellStyle name="20% - 강조색4 5 3 7" xfId="5576"/>
    <cellStyle name="20% - 강조색4 5 4" xfId="661"/>
    <cellStyle name="20% - 강조색4 6" xfId="140"/>
    <cellStyle name="20% - 강조색4 6 2" xfId="668"/>
    <cellStyle name="20% - 강조색4 6 3" xfId="669"/>
    <cellStyle name="20% - 강조색4 6 3 2" xfId="670"/>
    <cellStyle name="20% - 강조색4 6 3 3" xfId="671"/>
    <cellStyle name="20% - 강조색4 6 3 4" xfId="672"/>
    <cellStyle name="20% - 강조색4 6 3 5" xfId="4281"/>
    <cellStyle name="20% - 강조색4 6 3 6" xfId="4798"/>
    <cellStyle name="20% - 강조색4 6 3 7" xfId="5577"/>
    <cellStyle name="20% - 강조색4 6 4" xfId="667"/>
    <cellStyle name="20% - 강조색4 7" xfId="141"/>
    <cellStyle name="20% - 강조색4 7 2" xfId="674"/>
    <cellStyle name="20% - 강조색4 7 3" xfId="675"/>
    <cellStyle name="20% - 강조색4 7 3 2" xfId="676"/>
    <cellStyle name="20% - 강조색4 7 3 3" xfId="677"/>
    <cellStyle name="20% - 강조색4 7 3 4" xfId="678"/>
    <cellStyle name="20% - 강조색4 7 3 5" xfId="4280"/>
    <cellStyle name="20% - 강조색4 7 3 6" xfId="4799"/>
    <cellStyle name="20% - 강조색4 7 3 7" xfId="5578"/>
    <cellStyle name="20% - 강조색4 7 4" xfId="673"/>
    <cellStyle name="20% - 강조색4 8" xfId="679"/>
    <cellStyle name="20% - 강조색4 8 2" xfId="680"/>
    <cellStyle name="20% - 강조색4 8 2 2" xfId="681"/>
    <cellStyle name="20% - 강조색4 8 2 3" xfId="682"/>
    <cellStyle name="20% - 강조색4 8 2 4" xfId="683"/>
    <cellStyle name="20% - 강조색4 8 2 5" xfId="4279"/>
    <cellStyle name="20% - 강조색4 8 2 6" xfId="4800"/>
    <cellStyle name="20% - 강조색4 8 2 7" xfId="5579"/>
    <cellStyle name="20% - 강조색5" xfId="684"/>
    <cellStyle name="20% - 강조색5 2" xfId="142"/>
    <cellStyle name="20% - 강조색5 3" xfId="143"/>
    <cellStyle name="20% - 강조색5 4" xfId="144"/>
    <cellStyle name="20% - 강조색5 5" xfId="145"/>
    <cellStyle name="20% - 강조색5 6" xfId="146"/>
    <cellStyle name="20% - 강조색5 7" xfId="147"/>
    <cellStyle name="20% - 강조색5 8" xfId="685"/>
    <cellStyle name="20% - 강조색6" xfId="686"/>
    <cellStyle name="20% - 강조색6 2" xfId="148"/>
    <cellStyle name="20% - 강조색6 3" xfId="149"/>
    <cellStyle name="20% - 강조색6 4" xfId="150"/>
    <cellStyle name="20% - 강조색6 5" xfId="151"/>
    <cellStyle name="20% - 강조색6 6" xfId="152"/>
    <cellStyle name="20% - 강조색6 7" xfId="153"/>
    <cellStyle name="20% - 강조색6 8" xfId="687"/>
    <cellStyle name="20% - 强调文字颜色 1" xfId="60"/>
    <cellStyle name="20% - 强调文字颜色 1 10" xfId="689"/>
    <cellStyle name="20% - 强调文字颜色 1 11" xfId="5443"/>
    <cellStyle name="20% - 强调文字颜色 1 11 2" xfId="7543"/>
    <cellStyle name="20% - 强调文字颜色 1 11 2 2" xfId="9304"/>
    <cellStyle name="20% - 强调文字颜色 1 12" xfId="688"/>
    <cellStyle name="20% - 强调文字颜色 1 13" xfId="10384"/>
    <cellStyle name="20% - 强调文字颜色 1 2" xfId="690"/>
    <cellStyle name="20% - 强调文字颜色 1 2 2" xfId="691"/>
    <cellStyle name="20% - 强调文字颜色 1 2 2 2" xfId="5040"/>
    <cellStyle name="20% - 强调文字颜色 1 2 3" xfId="692"/>
    <cellStyle name="20% - 强调文字颜色 1 2 4" xfId="693"/>
    <cellStyle name="20% - 强调文字颜色 1 2 5" xfId="5018"/>
    <cellStyle name="20% - 强调文字颜色 1 2 5 2" xfId="7457"/>
    <cellStyle name="20% - 强调文字颜色 1 2 5 2 2" xfId="9213"/>
    <cellStyle name="20% - 强调文字颜色 1 3" xfId="694"/>
    <cellStyle name="20% - 强调文字颜色 1 3 2" xfId="695"/>
    <cellStyle name="20% - 强调文字颜色 1 4" xfId="696"/>
    <cellStyle name="20% - 强调文字颜色 1 4 2" xfId="7256"/>
    <cellStyle name="20% - 强调文字颜色 1 4 2 2" xfId="9012"/>
    <cellStyle name="20% - 强调文字颜色 1 5" xfId="697"/>
    <cellStyle name="20% - 强调文字颜色 1 5 2" xfId="7257"/>
    <cellStyle name="20% - 强调文字颜色 1 5 2 2" xfId="9013"/>
    <cellStyle name="20% - 强调文字颜色 1 6" xfId="698"/>
    <cellStyle name="20% - 强调文字颜色 1 7" xfId="699"/>
    <cellStyle name="20% - 强调文字颜色 1 8" xfId="700"/>
    <cellStyle name="20% - 强调文字颜色 1 8 2" xfId="7258"/>
    <cellStyle name="20% - 强调文字颜色 1 8 2 2" xfId="9014"/>
    <cellStyle name="20% - 强调文字颜色 1 9" xfId="701"/>
    <cellStyle name="20% - 强调文字颜色 2" xfId="61"/>
    <cellStyle name="20% - 强调文字颜色 2 10" xfId="703"/>
    <cellStyle name="20% - 强调文字颜色 2 11" xfId="5444"/>
    <cellStyle name="20% - 强调文字颜色 2 11 2" xfId="7544"/>
    <cellStyle name="20% - 强调文字颜色 2 11 2 2" xfId="9305"/>
    <cellStyle name="20% - 强调文字颜色 2 12" xfId="702"/>
    <cellStyle name="20% - 强调文字颜色 2 13" xfId="10385"/>
    <cellStyle name="20% - 强调文字颜色 2 2" xfId="704"/>
    <cellStyle name="20% - 强调文字颜色 2 2 2" xfId="705"/>
    <cellStyle name="20% - 强调文字颜色 2 2 2 2" xfId="5041"/>
    <cellStyle name="20% - 强调文字颜色 2 2 3" xfId="706"/>
    <cellStyle name="20% - 强调文字颜色 2 2 4" xfId="707"/>
    <cellStyle name="20% - 强调文字颜色 2 2 5" xfId="5019"/>
    <cellStyle name="20% - 强调文字颜色 2 2 5 2" xfId="7458"/>
    <cellStyle name="20% - 强调文字颜色 2 2 5 2 2" xfId="9214"/>
    <cellStyle name="20% - 强调文字颜色 2 3" xfId="708"/>
    <cellStyle name="20% - 强调文字颜色 2 3 2" xfId="709"/>
    <cellStyle name="20% - 强调文字颜色 2 4" xfId="710"/>
    <cellStyle name="20% - 强调文字颜色 2 4 2" xfId="7259"/>
    <cellStyle name="20% - 强调文字颜色 2 4 2 2" xfId="9015"/>
    <cellStyle name="20% - 强调文字颜色 2 5" xfId="711"/>
    <cellStyle name="20% - 强调文字颜色 2 5 2" xfId="7260"/>
    <cellStyle name="20% - 强调文字颜色 2 5 2 2" xfId="9016"/>
    <cellStyle name="20% - 强调文字颜色 2 6" xfId="712"/>
    <cellStyle name="20% - 强调文字颜色 2 7" xfId="713"/>
    <cellStyle name="20% - 强调文字颜色 2 8" xfId="714"/>
    <cellStyle name="20% - 强调文字颜色 2 8 2" xfId="7261"/>
    <cellStyle name="20% - 强调文字颜色 2 8 2 2" xfId="9017"/>
    <cellStyle name="20% - 强调文字颜色 2 9" xfId="715"/>
    <cellStyle name="20% - 强调文字颜色 3" xfId="62"/>
    <cellStyle name="20% - 强调文字颜色 3 10" xfId="717"/>
    <cellStyle name="20% - 强调文字颜色 3 11" xfId="5434"/>
    <cellStyle name="20% - 强调文字颜色 3 11 2" xfId="7534"/>
    <cellStyle name="20% - 强调文字颜色 3 11 2 2" xfId="9295"/>
    <cellStyle name="20% - 强调文字颜色 3 12" xfId="716"/>
    <cellStyle name="20% - 强调文字颜色 3 13" xfId="10386"/>
    <cellStyle name="20% - 强调文字颜色 3 2" xfId="718"/>
    <cellStyle name="20% - 强调文字颜色 3 2 2" xfId="719"/>
    <cellStyle name="20% - 强调文字颜色 3 2 2 2" xfId="5042"/>
    <cellStyle name="20% - 强调文字颜色 3 2 3" xfId="720"/>
    <cellStyle name="20% - 强调文字颜色 3 2 4" xfId="721"/>
    <cellStyle name="20% - 强调文字颜色 3 2 5" xfId="5077"/>
    <cellStyle name="20% - 强调文字颜色 3 2 5 2" xfId="7483"/>
    <cellStyle name="20% - 强调文字颜色 3 2 5 2 2" xfId="9239"/>
    <cellStyle name="20% - 强调文字颜色 3 3" xfId="722"/>
    <cellStyle name="20% - 强调文字颜色 3 3 2" xfId="723"/>
    <cellStyle name="20% - 强调文字颜色 3 4" xfId="724"/>
    <cellStyle name="20% - 强调文字颜色 3 4 2" xfId="7262"/>
    <cellStyle name="20% - 强调文字颜色 3 4 2 2" xfId="9018"/>
    <cellStyle name="20% - 强调文字颜色 3 5" xfId="725"/>
    <cellStyle name="20% - 强调文字颜色 3 5 2" xfId="7263"/>
    <cellStyle name="20% - 强调文字颜色 3 5 2 2" xfId="9019"/>
    <cellStyle name="20% - 强调文字颜色 3 6" xfId="726"/>
    <cellStyle name="20% - 强调文字颜色 3 7" xfId="727"/>
    <cellStyle name="20% - 强调文字颜色 3 8" xfId="728"/>
    <cellStyle name="20% - 强调文字颜色 3 8 2" xfId="7264"/>
    <cellStyle name="20% - 强调文字颜色 3 8 2 2" xfId="9020"/>
    <cellStyle name="20% - 强调文字颜色 3 9" xfId="729"/>
    <cellStyle name="20% - 强调文字颜色 4" xfId="63"/>
    <cellStyle name="20% - 强调文字颜色 4 10" xfId="731"/>
    <cellStyle name="20% - 强调文字颜色 4 11" xfId="5442"/>
    <cellStyle name="20% - 强调文字颜色 4 11 2" xfId="7542"/>
    <cellStyle name="20% - 强调文字颜色 4 11 2 2" xfId="9303"/>
    <cellStyle name="20% - 强调文字颜色 4 12" xfId="730"/>
    <cellStyle name="20% - 强调文字颜色 4 13" xfId="10387"/>
    <cellStyle name="20% - 强调文字颜色 4 2" xfId="732"/>
    <cellStyle name="20% - 强调文字颜色 4 2 2" xfId="733"/>
    <cellStyle name="20% - 强调文字颜色 4 2 2 2" xfId="5043"/>
    <cellStyle name="20% - 强调文字颜色 4 2 3" xfId="734"/>
    <cellStyle name="20% - 强调文字颜色 4 2 4" xfId="735"/>
    <cellStyle name="20% - 强调文字颜色 4 2 5" xfId="5078"/>
    <cellStyle name="20% - 强调文字颜色 4 2 5 2" xfId="7484"/>
    <cellStyle name="20% - 强调文字颜色 4 2 5 2 2" xfId="9240"/>
    <cellStyle name="20% - 强调文字颜色 4 3" xfId="736"/>
    <cellStyle name="20% - 强调文字颜色 4 3 2" xfId="737"/>
    <cellStyle name="20% - 强调文字颜色 4 4" xfId="738"/>
    <cellStyle name="20% - 强调文字颜色 4 4 2" xfId="7265"/>
    <cellStyle name="20% - 强调文字颜色 4 4 2 2" xfId="9021"/>
    <cellStyle name="20% - 强调文字颜色 4 5" xfId="739"/>
    <cellStyle name="20% - 强调文字颜色 4 5 2" xfId="7266"/>
    <cellStyle name="20% - 强调文字颜色 4 5 2 2" xfId="9022"/>
    <cellStyle name="20% - 强调文字颜色 4 6" xfId="740"/>
    <cellStyle name="20% - 强调文字颜色 4 7" xfId="741"/>
    <cellStyle name="20% - 强调文字颜色 4 8" xfId="742"/>
    <cellStyle name="20% - 强调文字颜色 4 8 2" xfId="7267"/>
    <cellStyle name="20% - 强调文字颜色 4 8 2 2" xfId="9023"/>
    <cellStyle name="20% - 强调文字颜色 4 9" xfId="743"/>
    <cellStyle name="20% - 强调文字颜色 5" xfId="64"/>
    <cellStyle name="20% - 强调文字颜色 5 10" xfId="745"/>
    <cellStyle name="20% - 强调文字颜色 5 11" xfId="5445"/>
    <cellStyle name="20% - 强调文字颜色 5 11 2" xfId="7545"/>
    <cellStyle name="20% - 强调文字颜色 5 11 2 2" xfId="9306"/>
    <cellStyle name="20% - 强调文字颜色 5 12" xfId="744"/>
    <cellStyle name="20% - 强调文字颜色 5 13" xfId="10388"/>
    <cellStyle name="20% - 强调文字颜色 5 2" xfId="746"/>
    <cellStyle name="20% - 强调文字颜色 5 2 2" xfId="747"/>
    <cellStyle name="20% - 强调文字颜色 5 2 2 2" xfId="5044"/>
    <cellStyle name="20% - 强调文字颜色 5 2 3" xfId="748"/>
    <cellStyle name="20% - 强调文字颜色 5 2 4" xfId="749"/>
    <cellStyle name="20% - 强调文字颜色 5 2 5" xfId="5012"/>
    <cellStyle name="20% - 强调文字颜色 5 2 5 2" xfId="7455"/>
    <cellStyle name="20% - 强调文字颜色 5 2 5 2 2" xfId="9211"/>
    <cellStyle name="20% - 强调文字颜色 5 3" xfId="750"/>
    <cellStyle name="20% - 强调文字颜色 5 3 2" xfId="751"/>
    <cellStyle name="20% - 强调文字颜色 5 4" xfId="752"/>
    <cellStyle name="20% - 强调文字颜色 5 4 2" xfId="7268"/>
    <cellStyle name="20% - 强调文字颜色 5 4 2 2" xfId="9024"/>
    <cellStyle name="20% - 强调文字颜色 5 5" xfId="753"/>
    <cellStyle name="20% - 强调文字颜色 5 5 2" xfId="7269"/>
    <cellStyle name="20% - 强调文字颜色 5 5 2 2" xfId="9025"/>
    <cellStyle name="20% - 强调文字颜色 5 6" xfId="754"/>
    <cellStyle name="20% - 强调文字颜色 5 7" xfId="755"/>
    <cellStyle name="20% - 强调文字颜色 5 8" xfId="756"/>
    <cellStyle name="20% - 强调文字颜色 5 8 2" xfId="7270"/>
    <cellStyle name="20% - 强调文字颜色 5 8 2 2" xfId="9026"/>
    <cellStyle name="20% - 强调文字颜色 5 9" xfId="757"/>
    <cellStyle name="20% - 强调文字颜色 6" xfId="65"/>
    <cellStyle name="20% - 强调文字颜色 6 10" xfId="759"/>
    <cellStyle name="20% - 强调文字颜色 6 11" xfId="5448"/>
    <cellStyle name="20% - 强调文字颜色 6 11 2" xfId="7547"/>
    <cellStyle name="20% - 强调文字颜色 6 11 2 2" xfId="9308"/>
    <cellStyle name="20% - 强调文字颜色 6 12" xfId="758"/>
    <cellStyle name="20% - 强调文字颜色 6 13" xfId="10389"/>
    <cellStyle name="20% - 强调文字颜色 6 2" xfId="760"/>
    <cellStyle name="20% - 强调文字颜色 6 2 2" xfId="761"/>
    <cellStyle name="20% - 强调文字颜色 6 2 2 2" xfId="5045"/>
    <cellStyle name="20% - 强调文字颜色 6 2 3" xfId="762"/>
    <cellStyle name="20% - 强调文字颜色 6 2 4" xfId="763"/>
    <cellStyle name="20% - 强调文字颜色 6 2 5" xfId="5020"/>
    <cellStyle name="20% - 强调文字颜色 6 2 5 2" xfId="7459"/>
    <cellStyle name="20% - 强调文字颜色 6 2 5 2 2" xfId="9215"/>
    <cellStyle name="20% - 强调文字颜色 6 3" xfId="764"/>
    <cellStyle name="20% - 强调文字颜色 6 3 2" xfId="765"/>
    <cellStyle name="20% - 强调文字颜色 6 4" xfId="766"/>
    <cellStyle name="20% - 强调文字颜色 6 4 2" xfId="7271"/>
    <cellStyle name="20% - 强调文字颜色 6 4 2 2" xfId="9027"/>
    <cellStyle name="20% - 强调文字颜色 6 5" xfId="767"/>
    <cellStyle name="20% - 强调文字颜色 6 5 2" xfId="7272"/>
    <cellStyle name="20% - 强调文字颜色 6 5 2 2" xfId="9028"/>
    <cellStyle name="20% - 强调文字颜色 6 6" xfId="768"/>
    <cellStyle name="20% - 强调文字颜色 6 7" xfId="769"/>
    <cellStyle name="20% - 强调文字颜色 6 8" xfId="770"/>
    <cellStyle name="20% - 强调文字颜色 6 8 2" xfId="7273"/>
    <cellStyle name="20% - 强调文字颜色 6 8 2 2" xfId="9029"/>
    <cellStyle name="20% - 强调文字颜色 6 9" xfId="771"/>
    <cellStyle name="20% - 輔色1" xfId="772"/>
    <cellStyle name="20% - 輔色1 2" xfId="773"/>
    <cellStyle name="20% - 輔色1 3" xfId="774"/>
    <cellStyle name="20% - 輔色1 4" xfId="775"/>
    <cellStyle name="20% - 輔色1 5" xfId="776"/>
    <cellStyle name="20% - 輔色1 6" xfId="777"/>
    <cellStyle name="20% - 輔色1 6 2" xfId="7274"/>
    <cellStyle name="20% - 輔色1 6 2 2" xfId="9030"/>
    <cellStyle name="20% - 輔色1 7" xfId="778"/>
    <cellStyle name="20% - 輔色1 8" xfId="4712"/>
    <cellStyle name="20% - 輔色1 9" xfId="5428"/>
    <cellStyle name="20% - 輔色1 9 2" xfId="7528"/>
    <cellStyle name="20% - 輔色1 9 2 2" xfId="9289"/>
    <cellStyle name="20% - 輔色2" xfId="779"/>
    <cellStyle name="20% - 輔色2 2" xfId="780"/>
    <cellStyle name="20% - 輔色2 3" xfId="781"/>
    <cellStyle name="20% - 輔色2 4" xfId="782"/>
    <cellStyle name="20% - 輔色2 5" xfId="783"/>
    <cellStyle name="20% - 輔色2 6" xfId="784"/>
    <cellStyle name="20% - 輔色2 6 2" xfId="7275"/>
    <cellStyle name="20% - 輔色2 6 2 2" xfId="9031"/>
    <cellStyle name="20% - 輔色2 7" xfId="785"/>
    <cellStyle name="20% - 輔色2 8" xfId="4710"/>
    <cellStyle name="20% - 輔色2 9" xfId="5429"/>
    <cellStyle name="20% - 輔色2 9 2" xfId="7529"/>
    <cellStyle name="20% - 輔色2 9 2 2" xfId="9290"/>
    <cellStyle name="20% - 輔色3" xfId="786"/>
    <cellStyle name="20% - 輔色3 2" xfId="787"/>
    <cellStyle name="20% - 輔色3 3" xfId="788"/>
    <cellStyle name="20% - 輔色3 4" xfId="789"/>
    <cellStyle name="20% - 輔色3 5" xfId="790"/>
    <cellStyle name="20% - 輔色3 6" xfId="791"/>
    <cellStyle name="20% - 輔色3 6 2" xfId="7276"/>
    <cellStyle name="20% - 輔色3 6 2 2" xfId="9032"/>
    <cellStyle name="20% - 輔色3 7" xfId="792"/>
    <cellStyle name="20% - 輔色3 8" xfId="4708"/>
    <cellStyle name="20% - 輔色3 9" xfId="5430"/>
    <cellStyle name="20% - 輔色3 9 2" xfId="7530"/>
    <cellStyle name="20% - 輔色3 9 2 2" xfId="9291"/>
    <cellStyle name="20% - 輔色4" xfId="793"/>
    <cellStyle name="20% - 輔色4 2" xfId="794"/>
    <cellStyle name="20% - 輔色4 3" xfId="795"/>
    <cellStyle name="20% - 輔色4 4" xfId="796"/>
    <cellStyle name="20% - 輔色4 5" xfId="797"/>
    <cellStyle name="20% - 輔色4 6" xfId="798"/>
    <cellStyle name="20% - 輔色4 6 2" xfId="7277"/>
    <cellStyle name="20% - 輔色4 6 2 2" xfId="9033"/>
    <cellStyle name="20% - 輔色4 7" xfId="799"/>
    <cellStyle name="20% - 輔色4 8" xfId="4704"/>
    <cellStyle name="20% - 輔色4 9" xfId="5431"/>
    <cellStyle name="20% - 輔色4 9 2" xfId="7531"/>
    <cellStyle name="20% - 輔色4 9 2 2" xfId="9292"/>
    <cellStyle name="20% - 輔色5" xfId="800"/>
    <cellStyle name="20% - 輔色5 2" xfId="801"/>
    <cellStyle name="20% - 輔色5 3" xfId="802"/>
    <cellStyle name="20% - 輔色5 4" xfId="803"/>
    <cellStyle name="20% - 輔色5 5" xfId="804"/>
    <cellStyle name="20% - 輔色5 6" xfId="805"/>
    <cellStyle name="20% - 輔色5 6 2" xfId="7278"/>
    <cellStyle name="20% - 輔色5 6 2 2" xfId="9034"/>
    <cellStyle name="20% - 輔色5 7" xfId="806"/>
    <cellStyle name="20% - 輔色5 8" xfId="4700"/>
    <cellStyle name="20% - 輔色5 9" xfId="5432"/>
    <cellStyle name="20% - 輔色5 9 2" xfId="7532"/>
    <cellStyle name="20% - 輔色5 9 2 2" xfId="9293"/>
    <cellStyle name="20% - 輔色6" xfId="807"/>
    <cellStyle name="20% - 輔色6 2" xfId="808"/>
    <cellStyle name="20% - 輔色6 3" xfId="809"/>
    <cellStyle name="20% - 輔色6 4" xfId="810"/>
    <cellStyle name="20% - 輔色6 5" xfId="811"/>
    <cellStyle name="20% - 輔色6 6" xfId="812"/>
    <cellStyle name="20% - 輔色6 6 2" xfId="7279"/>
    <cellStyle name="20% - 輔色6 6 2 2" xfId="9035"/>
    <cellStyle name="20% - 輔色6 7" xfId="813"/>
    <cellStyle name="20% - 輔色6 8" xfId="4694"/>
    <cellStyle name="20% - 輔色6 9" xfId="5433"/>
    <cellStyle name="20% - 輔色6 9 2" xfId="7533"/>
    <cellStyle name="20% - 輔色6 9 2 2" xfId="9294"/>
    <cellStyle name="40% - Accent1" xfId="19" builtinId="31" customBuiltin="1"/>
    <cellStyle name="40% - Accent1 2" xfId="814"/>
    <cellStyle name="40% - Accent1 3" xfId="815"/>
    <cellStyle name="40% - Accent1 4" xfId="816"/>
    <cellStyle name="40% - Accent1 4 10" xfId="817"/>
    <cellStyle name="40% - Accent1 4 11" xfId="818"/>
    <cellStyle name="40% - Accent1 4 12" xfId="819"/>
    <cellStyle name="40% - Accent1 4 2" xfId="820"/>
    <cellStyle name="40% - Accent1 4 3" xfId="821"/>
    <cellStyle name="40% - Accent1 4 3 2" xfId="822"/>
    <cellStyle name="40% - Accent1 4 4" xfId="823"/>
    <cellStyle name="40% - Accent1 4 5" xfId="824"/>
    <cellStyle name="40% - Accent1 4 6" xfId="825"/>
    <cellStyle name="40% - Accent1 4 7" xfId="826"/>
    <cellStyle name="40% - Accent1 4 8" xfId="827"/>
    <cellStyle name="40% - Accent1 4 9" xfId="828"/>
    <cellStyle name="40% - Accent1 5" xfId="4613"/>
    <cellStyle name="40% - Accent1 5 2" xfId="7416"/>
    <cellStyle name="40% - Accent1 5 2 2" xfId="9172"/>
    <cellStyle name="40% - Accent1 6" xfId="4711"/>
    <cellStyle name="40% - Accent2" xfId="23" builtinId="35" customBuiltin="1"/>
    <cellStyle name="40% - Accent2 2" xfId="829"/>
    <cellStyle name="40% - Accent2 3" xfId="830"/>
    <cellStyle name="40% - Accent2 4" xfId="831"/>
    <cellStyle name="40% - Accent2 4 10" xfId="832"/>
    <cellStyle name="40% - Accent2 4 11" xfId="833"/>
    <cellStyle name="40% - Accent2 4 12" xfId="834"/>
    <cellStyle name="40% - Accent2 4 2" xfId="835"/>
    <cellStyle name="40% - Accent2 4 3" xfId="836"/>
    <cellStyle name="40% - Accent2 4 3 2" xfId="837"/>
    <cellStyle name="40% - Accent2 4 4" xfId="838"/>
    <cellStyle name="40% - Accent2 4 5" xfId="839"/>
    <cellStyle name="40% - Accent2 4 6" xfId="840"/>
    <cellStyle name="40% - Accent2 4 7" xfId="841"/>
    <cellStyle name="40% - Accent2 4 8" xfId="842"/>
    <cellStyle name="40% - Accent2 4 9" xfId="843"/>
    <cellStyle name="40% - Accent2 5" xfId="4637"/>
    <cellStyle name="40% - Accent2 5 2" xfId="7439"/>
    <cellStyle name="40% - Accent2 5 2 2" xfId="9195"/>
    <cellStyle name="40% - Accent2 6" xfId="4709"/>
    <cellStyle name="40% - Accent3" xfId="27" builtinId="39" customBuiltin="1"/>
    <cellStyle name="40% - Accent3 2" xfId="844"/>
    <cellStyle name="40% - Accent3 3" xfId="845"/>
    <cellStyle name="40% - Accent3 4" xfId="846"/>
    <cellStyle name="40% - Accent3 4 10" xfId="847"/>
    <cellStyle name="40% - Accent3 4 11" xfId="848"/>
    <cellStyle name="40% - Accent3 4 12" xfId="849"/>
    <cellStyle name="40% - Accent3 4 2" xfId="850"/>
    <cellStyle name="40% - Accent3 4 3" xfId="851"/>
    <cellStyle name="40% - Accent3 4 3 2" xfId="852"/>
    <cellStyle name="40% - Accent3 4 4" xfId="853"/>
    <cellStyle name="40% - Accent3 4 5" xfId="854"/>
    <cellStyle name="40% - Accent3 4 6" xfId="855"/>
    <cellStyle name="40% - Accent3 4 7" xfId="856"/>
    <cellStyle name="40% - Accent3 4 8" xfId="857"/>
    <cellStyle name="40% - Accent3 4 9" xfId="858"/>
    <cellStyle name="40% - Accent3 5" xfId="4632"/>
    <cellStyle name="40% - Accent3 5 2" xfId="7434"/>
    <cellStyle name="40% - Accent3 5 2 2" xfId="9190"/>
    <cellStyle name="40% - Accent3 6" xfId="4705"/>
    <cellStyle name="40% - Accent4" xfId="31" builtinId="43" customBuiltin="1"/>
    <cellStyle name="40% - Accent4 2" xfId="859"/>
    <cellStyle name="40% - Accent4 3" xfId="860"/>
    <cellStyle name="40% - Accent4 4" xfId="861"/>
    <cellStyle name="40% - Accent4 4 10" xfId="862"/>
    <cellStyle name="40% - Accent4 4 11" xfId="863"/>
    <cellStyle name="40% - Accent4 4 12" xfId="864"/>
    <cellStyle name="40% - Accent4 4 2" xfId="865"/>
    <cellStyle name="40% - Accent4 4 3" xfId="866"/>
    <cellStyle name="40% - Accent4 4 3 2" xfId="867"/>
    <cellStyle name="40% - Accent4 4 4" xfId="868"/>
    <cellStyle name="40% - Accent4 4 5" xfId="869"/>
    <cellStyle name="40% - Accent4 4 6" xfId="870"/>
    <cellStyle name="40% - Accent4 4 7" xfId="871"/>
    <cellStyle name="40% - Accent4 4 8" xfId="872"/>
    <cellStyle name="40% - Accent4 4 9" xfId="873"/>
    <cellStyle name="40% - Accent4 5" xfId="4649"/>
    <cellStyle name="40% - Accent4 5 2" xfId="7450"/>
    <cellStyle name="40% - Accent4 5 2 2" xfId="9206"/>
    <cellStyle name="40% - Accent4 6" xfId="4701"/>
    <cellStyle name="40% - Accent5" xfId="35" builtinId="47" customBuiltin="1"/>
    <cellStyle name="40% - Accent5 2" xfId="874"/>
    <cellStyle name="40% - Accent5 3" xfId="875"/>
    <cellStyle name="40% - Accent5 4" xfId="876"/>
    <cellStyle name="40% - Accent5 4 10" xfId="877"/>
    <cellStyle name="40% - Accent5 4 11" xfId="878"/>
    <cellStyle name="40% - Accent5 4 12" xfId="879"/>
    <cellStyle name="40% - Accent5 4 2" xfId="880"/>
    <cellStyle name="40% - Accent5 4 3" xfId="881"/>
    <cellStyle name="40% - Accent5 4 3 2" xfId="882"/>
    <cellStyle name="40% - Accent5 4 4" xfId="883"/>
    <cellStyle name="40% - Accent5 4 5" xfId="884"/>
    <cellStyle name="40% - Accent5 4 6" xfId="885"/>
    <cellStyle name="40% - Accent5 4 7" xfId="886"/>
    <cellStyle name="40% - Accent5 4 8" xfId="887"/>
    <cellStyle name="40% - Accent5 4 9" xfId="888"/>
    <cellStyle name="40% - Accent5 5" xfId="4621"/>
    <cellStyle name="40% - Accent5 5 2" xfId="7423"/>
    <cellStyle name="40% - Accent5 5 2 2" xfId="9179"/>
    <cellStyle name="40% - Accent5 6" xfId="4696"/>
    <cellStyle name="40% - Accent6" xfId="39" builtinId="51" customBuiltin="1"/>
    <cellStyle name="40% - Accent6 2" xfId="889"/>
    <cellStyle name="40% - Accent6 3" xfId="890"/>
    <cellStyle name="40% - Accent6 4" xfId="891"/>
    <cellStyle name="40% - Accent6 4 10" xfId="892"/>
    <cellStyle name="40% - Accent6 4 11" xfId="893"/>
    <cellStyle name="40% - Accent6 4 12" xfId="894"/>
    <cellStyle name="40% - Accent6 4 2" xfId="895"/>
    <cellStyle name="40% - Accent6 4 3" xfId="896"/>
    <cellStyle name="40% - Accent6 4 3 2" xfId="897"/>
    <cellStyle name="40% - Accent6 4 4" xfId="898"/>
    <cellStyle name="40% - Accent6 4 5" xfId="899"/>
    <cellStyle name="40% - Accent6 4 6" xfId="900"/>
    <cellStyle name="40% - Accent6 4 7" xfId="901"/>
    <cellStyle name="40% - Accent6 4 8" xfId="902"/>
    <cellStyle name="40% - Accent6 4 9" xfId="903"/>
    <cellStyle name="40% - Accent6 5" xfId="4612"/>
    <cellStyle name="40% - Accent6 5 2" xfId="7415"/>
    <cellStyle name="40% - Accent6 5 2 2" xfId="9171"/>
    <cellStyle name="40% - Accent6 6" xfId="4692"/>
    <cellStyle name="40% - Akzent1" xfId="904"/>
    <cellStyle name="40% - Akzent2" xfId="905"/>
    <cellStyle name="40% - Akzent3" xfId="906"/>
    <cellStyle name="40% - Akzent4" xfId="907"/>
    <cellStyle name="40% - Akzent5" xfId="908"/>
    <cellStyle name="40% - Akzent6" xfId="909"/>
    <cellStyle name="40% - 강조색1" xfId="910"/>
    <cellStyle name="40% - 강조색1 2" xfId="154"/>
    <cellStyle name="40% - 강조색1 2 2" xfId="912"/>
    <cellStyle name="40% - 강조색1 2 3" xfId="913"/>
    <cellStyle name="40% - 강조색1 2 3 2" xfId="914"/>
    <cellStyle name="40% - 강조색1 2 3 3" xfId="915"/>
    <cellStyle name="40% - 강조색1 2 3 4" xfId="916"/>
    <cellStyle name="40% - 강조색1 2 3 5" xfId="4278"/>
    <cellStyle name="40% - 강조색1 2 3 6" xfId="4801"/>
    <cellStyle name="40% - 강조색1 2 3 7" xfId="5580"/>
    <cellStyle name="40% - 강조색1 2 4" xfId="911"/>
    <cellStyle name="40% - 강조색1 3" xfId="155"/>
    <cellStyle name="40% - 강조색1 3 2" xfId="918"/>
    <cellStyle name="40% - 강조색1 3 3" xfId="919"/>
    <cellStyle name="40% - 강조색1 3 3 2" xfId="920"/>
    <cellStyle name="40% - 강조색1 3 3 3" xfId="921"/>
    <cellStyle name="40% - 강조색1 3 3 4" xfId="922"/>
    <cellStyle name="40% - 강조색1 3 3 5" xfId="4277"/>
    <cellStyle name="40% - 강조색1 3 3 6" xfId="4802"/>
    <cellStyle name="40% - 강조색1 3 3 7" xfId="5581"/>
    <cellStyle name="40% - 강조색1 3 4" xfId="917"/>
    <cellStyle name="40% - 강조색1 4" xfId="156"/>
    <cellStyle name="40% - 강조색1 4 2" xfId="924"/>
    <cellStyle name="40% - 강조색1 4 3" xfId="925"/>
    <cellStyle name="40% - 강조색1 4 3 2" xfId="926"/>
    <cellStyle name="40% - 강조색1 4 3 3" xfId="927"/>
    <cellStyle name="40% - 강조색1 4 3 4" xfId="928"/>
    <cellStyle name="40% - 강조색1 4 3 5" xfId="4276"/>
    <cellStyle name="40% - 강조색1 4 3 6" xfId="4803"/>
    <cellStyle name="40% - 강조색1 4 3 7" xfId="5582"/>
    <cellStyle name="40% - 강조색1 4 4" xfId="923"/>
    <cellStyle name="40% - 강조색1 5" xfId="157"/>
    <cellStyle name="40% - 강조색1 5 2" xfId="930"/>
    <cellStyle name="40% - 강조색1 5 3" xfId="931"/>
    <cellStyle name="40% - 강조색1 5 3 2" xfId="932"/>
    <cellStyle name="40% - 강조색1 5 3 3" xfId="933"/>
    <cellStyle name="40% - 강조색1 5 3 4" xfId="934"/>
    <cellStyle name="40% - 강조색1 5 3 5" xfId="4275"/>
    <cellStyle name="40% - 강조색1 5 3 6" xfId="4804"/>
    <cellStyle name="40% - 강조색1 5 3 7" xfId="5583"/>
    <cellStyle name="40% - 강조색1 5 4" xfId="929"/>
    <cellStyle name="40% - 강조색1 6" xfId="158"/>
    <cellStyle name="40% - 강조색1 6 2" xfId="936"/>
    <cellStyle name="40% - 강조색1 6 3" xfId="937"/>
    <cellStyle name="40% - 강조색1 6 3 2" xfId="938"/>
    <cellStyle name="40% - 강조색1 6 3 3" xfId="939"/>
    <cellStyle name="40% - 강조색1 6 3 4" xfId="940"/>
    <cellStyle name="40% - 강조색1 6 3 5" xfId="4274"/>
    <cellStyle name="40% - 강조색1 6 3 6" xfId="4805"/>
    <cellStyle name="40% - 강조색1 6 3 7" xfId="5584"/>
    <cellStyle name="40% - 강조색1 6 4" xfId="935"/>
    <cellStyle name="40% - 강조색1 7" xfId="159"/>
    <cellStyle name="40% - 강조색1 7 2" xfId="942"/>
    <cellStyle name="40% - 강조색1 7 3" xfId="943"/>
    <cellStyle name="40% - 강조색1 7 3 2" xfId="944"/>
    <cellStyle name="40% - 강조색1 7 3 3" xfId="945"/>
    <cellStyle name="40% - 강조색1 7 3 4" xfId="946"/>
    <cellStyle name="40% - 강조색1 7 3 5" xfId="4273"/>
    <cellStyle name="40% - 강조색1 7 3 6" xfId="4806"/>
    <cellStyle name="40% - 강조색1 7 3 7" xfId="5585"/>
    <cellStyle name="40% - 강조색1 7 4" xfId="941"/>
    <cellStyle name="40% - 강조색1 8" xfId="947"/>
    <cellStyle name="40% - 강조색1 8 2" xfId="948"/>
    <cellStyle name="40% - 강조색1 8 2 2" xfId="949"/>
    <cellStyle name="40% - 강조색1 8 2 3" xfId="950"/>
    <cellStyle name="40% - 강조색1 8 2 4" xfId="951"/>
    <cellStyle name="40% - 강조색1 8 2 5" xfId="4272"/>
    <cellStyle name="40% - 강조색1 8 2 6" xfId="4807"/>
    <cellStyle name="40% - 강조색1 8 2 7" xfId="5586"/>
    <cellStyle name="40% - 강조색2" xfId="952"/>
    <cellStyle name="40% - 강조색2 2" xfId="160"/>
    <cellStyle name="40% - 강조색2 3" xfId="161"/>
    <cellStyle name="40% - 강조색2 4" xfId="162"/>
    <cellStyle name="40% - 강조색2 5" xfId="163"/>
    <cellStyle name="40% - 강조색2 6" xfId="164"/>
    <cellStyle name="40% - 강조색2 7" xfId="165"/>
    <cellStyle name="40% - 강조색2 8" xfId="953"/>
    <cellStyle name="40% - 강조색3" xfId="954"/>
    <cellStyle name="40% - 강조색3 2" xfId="166"/>
    <cellStyle name="40% - 강조색3 2 2" xfId="956"/>
    <cellStyle name="40% - 강조색3 2 3" xfId="957"/>
    <cellStyle name="40% - 강조색3 2 3 2" xfId="958"/>
    <cellStyle name="40% - 강조색3 2 3 3" xfId="959"/>
    <cellStyle name="40% - 강조색3 2 3 4" xfId="960"/>
    <cellStyle name="40% - 강조색3 2 3 5" xfId="4271"/>
    <cellStyle name="40% - 강조색3 2 3 6" xfId="4808"/>
    <cellStyle name="40% - 강조색3 2 3 7" xfId="5587"/>
    <cellStyle name="40% - 강조색3 2 4" xfId="955"/>
    <cellStyle name="40% - 강조색3 3" xfId="167"/>
    <cellStyle name="40% - 강조색3 3 2" xfId="962"/>
    <cellStyle name="40% - 강조색3 3 3" xfId="963"/>
    <cellStyle name="40% - 강조색3 3 3 2" xfId="964"/>
    <cellStyle name="40% - 강조색3 3 3 3" xfId="965"/>
    <cellStyle name="40% - 강조색3 3 3 4" xfId="966"/>
    <cellStyle name="40% - 강조색3 3 3 5" xfId="4270"/>
    <cellStyle name="40% - 강조색3 3 3 6" xfId="4809"/>
    <cellStyle name="40% - 강조색3 3 3 7" xfId="5588"/>
    <cellStyle name="40% - 강조색3 3 4" xfId="961"/>
    <cellStyle name="40% - 강조색3 4" xfId="168"/>
    <cellStyle name="40% - 강조색3 4 2" xfId="968"/>
    <cellStyle name="40% - 강조색3 4 3" xfId="969"/>
    <cellStyle name="40% - 강조색3 4 3 2" xfId="970"/>
    <cellStyle name="40% - 강조색3 4 3 3" xfId="971"/>
    <cellStyle name="40% - 강조색3 4 3 4" xfId="972"/>
    <cellStyle name="40% - 강조색3 4 3 5" xfId="4269"/>
    <cellStyle name="40% - 강조색3 4 3 6" xfId="4810"/>
    <cellStyle name="40% - 강조색3 4 3 7" xfId="5589"/>
    <cellStyle name="40% - 강조색3 4 4" xfId="967"/>
    <cellStyle name="40% - 강조색3 5" xfId="169"/>
    <cellStyle name="40% - 강조색3 5 2" xfId="974"/>
    <cellStyle name="40% - 강조색3 5 3" xfId="975"/>
    <cellStyle name="40% - 강조색3 5 3 2" xfId="976"/>
    <cellStyle name="40% - 강조색3 5 3 3" xfId="977"/>
    <cellStyle name="40% - 강조색3 5 3 4" xfId="978"/>
    <cellStyle name="40% - 강조색3 5 3 5" xfId="4268"/>
    <cellStyle name="40% - 강조색3 5 3 6" xfId="4811"/>
    <cellStyle name="40% - 강조색3 5 3 7" xfId="5590"/>
    <cellStyle name="40% - 강조색3 5 4" xfId="973"/>
    <cellStyle name="40% - 강조색3 6" xfId="170"/>
    <cellStyle name="40% - 강조색3 6 2" xfId="980"/>
    <cellStyle name="40% - 강조색3 6 3" xfId="981"/>
    <cellStyle name="40% - 강조색3 6 3 2" xfId="982"/>
    <cellStyle name="40% - 강조색3 6 3 3" xfId="983"/>
    <cellStyle name="40% - 강조색3 6 3 4" xfId="984"/>
    <cellStyle name="40% - 강조색3 6 3 5" xfId="4267"/>
    <cellStyle name="40% - 강조색3 6 3 6" xfId="4812"/>
    <cellStyle name="40% - 강조색3 6 3 7" xfId="5591"/>
    <cellStyle name="40% - 강조색3 6 4" xfId="979"/>
    <cellStyle name="40% - 강조색3 7" xfId="171"/>
    <cellStyle name="40% - 강조색3 7 2" xfId="986"/>
    <cellStyle name="40% - 강조색3 7 3" xfId="987"/>
    <cellStyle name="40% - 강조색3 7 3 2" xfId="988"/>
    <cellStyle name="40% - 강조색3 7 3 3" xfId="989"/>
    <cellStyle name="40% - 강조색3 7 3 4" xfId="990"/>
    <cellStyle name="40% - 강조색3 7 3 5" xfId="4266"/>
    <cellStyle name="40% - 강조색3 7 3 6" xfId="4813"/>
    <cellStyle name="40% - 강조색3 7 3 7" xfId="5592"/>
    <cellStyle name="40% - 강조색3 7 4" xfId="985"/>
    <cellStyle name="40% - 강조색3 8" xfId="991"/>
    <cellStyle name="40% - 강조색3 8 2" xfId="992"/>
    <cellStyle name="40% - 강조색3 8 2 2" xfId="993"/>
    <cellStyle name="40% - 강조색3 8 2 3" xfId="994"/>
    <cellStyle name="40% - 강조색3 8 2 4" xfId="995"/>
    <cellStyle name="40% - 강조색3 8 2 5" xfId="4265"/>
    <cellStyle name="40% - 강조색3 8 2 6" xfId="4814"/>
    <cellStyle name="40% - 강조색3 8 2 7" xfId="5593"/>
    <cellStyle name="40% - 강조색4" xfId="996"/>
    <cellStyle name="40% - 강조색4 2" xfId="172"/>
    <cellStyle name="40% - 강조색4 2 2" xfId="998"/>
    <cellStyle name="40% - 강조색4 2 3" xfId="999"/>
    <cellStyle name="40% - 강조색4 2 3 2" xfId="1000"/>
    <cellStyle name="40% - 강조색4 2 3 3" xfId="1001"/>
    <cellStyle name="40% - 강조색4 2 3 4" xfId="1002"/>
    <cellStyle name="40% - 강조색4 2 3 5" xfId="4264"/>
    <cellStyle name="40% - 강조색4 2 3 6" xfId="4815"/>
    <cellStyle name="40% - 강조색4 2 3 7" xfId="5594"/>
    <cellStyle name="40% - 강조색4 2 4" xfId="997"/>
    <cellStyle name="40% - 강조색4 3" xfId="173"/>
    <cellStyle name="40% - 강조색4 3 2" xfId="1004"/>
    <cellStyle name="40% - 강조색4 3 3" xfId="1005"/>
    <cellStyle name="40% - 강조색4 3 3 2" xfId="1006"/>
    <cellStyle name="40% - 강조색4 3 3 3" xfId="1007"/>
    <cellStyle name="40% - 강조색4 3 3 4" xfId="1008"/>
    <cellStyle name="40% - 강조색4 3 3 5" xfId="4263"/>
    <cellStyle name="40% - 강조색4 3 3 6" xfId="4816"/>
    <cellStyle name="40% - 강조색4 3 3 7" xfId="5595"/>
    <cellStyle name="40% - 강조색4 3 4" xfId="1003"/>
    <cellStyle name="40% - 강조색4 4" xfId="174"/>
    <cellStyle name="40% - 강조색4 4 2" xfId="1010"/>
    <cellStyle name="40% - 강조색4 4 3" xfId="1011"/>
    <cellStyle name="40% - 강조색4 4 3 2" xfId="1012"/>
    <cellStyle name="40% - 강조색4 4 3 3" xfId="1013"/>
    <cellStyle name="40% - 강조색4 4 3 4" xfId="1014"/>
    <cellStyle name="40% - 강조색4 4 3 5" xfId="4262"/>
    <cellStyle name="40% - 강조색4 4 3 6" xfId="4817"/>
    <cellStyle name="40% - 강조색4 4 3 7" xfId="5596"/>
    <cellStyle name="40% - 강조색4 4 4" xfId="1009"/>
    <cellStyle name="40% - 강조색4 5" xfId="175"/>
    <cellStyle name="40% - 강조색4 5 2" xfId="1016"/>
    <cellStyle name="40% - 강조색4 5 3" xfId="1017"/>
    <cellStyle name="40% - 강조색4 5 3 2" xfId="1018"/>
    <cellStyle name="40% - 강조색4 5 3 3" xfId="1019"/>
    <cellStyle name="40% - 강조색4 5 3 4" xfId="1020"/>
    <cellStyle name="40% - 강조색4 5 3 5" xfId="4261"/>
    <cellStyle name="40% - 강조색4 5 3 6" xfId="4818"/>
    <cellStyle name="40% - 강조색4 5 3 7" xfId="5597"/>
    <cellStyle name="40% - 강조색4 5 4" xfId="1015"/>
    <cellStyle name="40% - 강조색4 6" xfId="176"/>
    <cellStyle name="40% - 강조색4 6 2" xfId="1022"/>
    <cellStyle name="40% - 강조색4 6 3" xfId="1023"/>
    <cellStyle name="40% - 강조색4 6 3 2" xfId="1024"/>
    <cellStyle name="40% - 강조색4 6 3 3" xfId="1025"/>
    <cellStyle name="40% - 강조색4 6 3 4" xfId="1026"/>
    <cellStyle name="40% - 강조색4 6 3 5" xfId="4260"/>
    <cellStyle name="40% - 강조색4 6 3 6" xfId="4819"/>
    <cellStyle name="40% - 강조색4 6 3 7" xfId="5598"/>
    <cellStyle name="40% - 강조색4 6 4" xfId="1021"/>
    <cellStyle name="40% - 강조색4 7" xfId="177"/>
    <cellStyle name="40% - 강조색4 7 2" xfId="1028"/>
    <cellStyle name="40% - 강조색4 7 3" xfId="1029"/>
    <cellStyle name="40% - 강조색4 7 3 2" xfId="1030"/>
    <cellStyle name="40% - 강조색4 7 3 3" xfId="1031"/>
    <cellStyle name="40% - 강조색4 7 3 4" xfId="1032"/>
    <cellStyle name="40% - 강조색4 7 3 5" xfId="4259"/>
    <cellStyle name="40% - 강조색4 7 3 6" xfId="4820"/>
    <cellStyle name="40% - 강조색4 7 3 7" xfId="5599"/>
    <cellStyle name="40% - 강조색4 7 4" xfId="1027"/>
    <cellStyle name="40% - 강조색4 8" xfId="1033"/>
    <cellStyle name="40% - 강조색4 8 2" xfId="1034"/>
    <cellStyle name="40% - 강조색4 8 2 2" xfId="1035"/>
    <cellStyle name="40% - 강조색4 8 2 3" xfId="1036"/>
    <cellStyle name="40% - 강조색4 8 2 4" xfId="1037"/>
    <cellStyle name="40% - 강조색4 8 2 5" xfId="4074"/>
    <cellStyle name="40% - 강조색4 8 2 6" xfId="4821"/>
    <cellStyle name="40% - 강조색4 8 2 7" xfId="5600"/>
    <cellStyle name="40% - 강조색5" xfId="1038"/>
    <cellStyle name="40% - 강조색5 2" xfId="178"/>
    <cellStyle name="40% - 강조색5 3" xfId="179"/>
    <cellStyle name="40% - 강조색5 4" xfId="180"/>
    <cellStyle name="40% - 강조색5 5" xfId="181"/>
    <cellStyle name="40% - 강조색5 6" xfId="182"/>
    <cellStyle name="40% - 강조색5 7" xfId="183"/>
    <cellStyle name="40% - 강조색5 8" xfId="1039"/>
    <cellStyle name="40% - 강조색6" xfId="1040"/>
    <cellStyle name="40% - 강조색6 2" xfId="184"/>
    <cellStyle name="40% - 강조색6 2 2" xfId="1042"/>
    <cellStyle name="40% - 강조색6 2 3" xfId="1043"/>
    <cellStyle name="40% - 강조색6 2 3 2" xfId="1044"/>
    <cellStyle name="40% - 강조색6 2 3 3" xfId="1045"/>
    <cellStyle name="40% - 강조색6 2 3 4" xfId="1046"/>
    <cellStyle name="40% - 강조색6 2 3 5" xfId="4258"/>
    <cellStyle name="40% - 강조색6 2 3 6" xfId="4822"/>
    <cellStyle name="40% - 강조색6 2 3 7" xfId="5601"/>
    <cellStyle name="40% - 강조색6 2 4" xfId="1041"/>
    <cellStyle name="40% - 강조색6 3" xfId="185"/>
    <cellStyle name="40% - 강조색6 3 2" xfId="1048"/>
    <cellStyle name="40% - 강조색6 3 3" xfId="1049"/>
    <cellStyle name="40% - 강조색6 3 3 2" xfId="1050"/>
    <cellStyle name="40% - 강조색6 3 3 3" xfId="1051"/>
    <cellStyle name="40% - 강조색6 3 3 4" xfId="1052"/>
    <cellStyle name="40% - 강조색6 3 3 5" xfId="4257"/>
    <cellStyle name="40% - 강조색6 3 3 6" xfId="4823"/>
    <cellStyle name="40% - 강조색6 3 3 7" xfId="5602"/>
    <cellStyle name="40% - 강조색6 3 4" xfId="1047"/>
    <cellStyle name="40% - 강조색6 4" xfId="186"/>
    <cellStyle name="40% - 강조색6 4 2" xfId="1054"/>
    <cellStyle name="40% - 강조색6 4 3" xfId="1055"/>
    <cellStyle name="40% - 강조색6 4 3 2" xfId="1056"/>
    <cellStyle name="40% - 강조색6 4 3 3" xfId="1057"/>
    <cellStyle name="40% - 강조색6 4 3 4" xfId="1058"/>
    <cellStyle name="40% - 강조색6 4 3 5" xfId="4256"/>
    <cellStyle name="40% - 강조색6 4 3 6" xfId="4824"/>
    <cellStyle name="40% - 강조색6 4 3 7" xfId="5603"/>
    <cellStyle name="40% - 강조색6 4 4" xfId="1053"/>
    <cellStyle name="40% - 강조색6 5" xfId="187"/>
    <cellStyle name="40% - 강조색6 5 2" xfId="1060"/>
    <cellStyle name="40% - 강조색6 5 3" xfId="1061"/>
    <cellStyle name="40% - 강조색6 5 3 2" xfId="1062"/>
    <cellStyle name="40% - 강조색6 5 3 3" xfId="1063"/>
    <cellStyle name="40% - 강조색6 5 3 4" xfId="1064"/>
    <cellStyle name="40% - 강조색6 5 3 5" xfId="4255"/>
    <cellStyle name="40% - 강조색6 5 3 6" xfId="4825"/>
    <cellStyle name="40% - 강조색6 5 3 7" xfId="5604"/>
    <cellStyle name="40% - 강조색6 5 4" xfId="1059"/>
    <cellStyle name="40% - 강조색6 6" xfId="188"/>
    <cellStyle name="40% - 강조색6 6 2" xfId="1066"/>
    <cellStyle name="40% - 강조색6 6 3" xfId="1067"/>
    <cellStyle name="40% - 강조색6 6 3 2" xfId="1068"/>
    <cellStyle name="40% - 강조색6 6 3 3" xfId="1069"/>
    <cellStyle name="40% - 강조색6 6 3 4" xfId="1070"/>
    <cellStyle name="40% - 강조색6 6 3 5" xfId="4254"/>
    <cellStyle name="40% - 강조색6 6 3 6" xfId="4826"/>
    <cellStyle name="40% - 강조색6 6 3 7" xfId="5605"/>
    <cellStyle name="40% - 강조색6 6 4" xfId="1065"/>
    <cellStyle name="40% - 강조색6 7" xfId="189"/>
    <cellStyle name="40% - 강조색6 7 2" xfId="1072"/>
    <cellStyle name="40% - 강조색6 7 3" xfId="1073"/>
    <cellStyle name="40% - 강조색6 7 3 2" xfId="1074"/>
    <cellStyle name="40% - 강조색6 7 3 3" xfId="1075"/>
    <cellStyle name="40% - 강조색6 7 3 4" xfId="1076"/>
    <cellStyle name="40% - 강조색6 7 3 5" xfId="4253"/>
    <cellStyle name="40% - 강조색6 7 3 6" xfId="4827"/>
    <cellStyle name="40% - 강조색6 7 3 7" xfId="5606"/>
    <cellStyle name="40% - 강조색6 7 4" xfId="1071"/>
    <cellStyle name="40% - 강조색6 8" xfId="1077"/>
    <cellStyle name="40% - 강조색6 8 2" xfId="1078"/>
    <cellStyle name="40% - 강조색6 8 2 2" xfId="1079"/>
    <cellStyle name="40% - 강조색6 8 2 3" xfId="1080"/>
    <cellStyle name="40% - 강조색6 8 2 4" xfId="1081"/>
    <cellStyle name="40% - 강조색6 8 2 5" xfId="4252"/>
    <cellStyle name="40% - 강조색6 8 2 6" xfId="4828"/>
    <cellStyle name="40% - 강조색6 8 2 7" xfId="5607"/>
    <cellStyle name="40% - 强调文字颜色 1" xfId="66"/>
    <cellStyle name="40% - 强调文字颜色 1 10" xfId="1083"/>
    <cellStyle name="40% - 强调文字颜色 1 11" xfId="5441"/>
    <cellStyle name="40% - 强调文字颜色 1 11 2" xfId="7541"/>
    <cellStyle name="40% - 强调文字颜色 1 11 2 2" xfId="9302"/>
    <cellStyle name="40% - 强调文字颜色 1 12" xfId="1082"/>
    <cellStyle name="40% - 强调文字颜色 1 13" xfId="10390"/>
    <cellStyle name="40% - 强调文字颜色 1 2" xfId="1084"/>
    <cellStyle name="40% - 强调文字颜色 1 2 2" xfId="1085"/>
    <cellStyle name="40% - 强调文字颜色 1 2 2 2" xfId="5046"/>
    <cellStyle name="40% - 强调文字颜色 1 2 3" xfId="1086"/>
    <cellStyle name="40% - 强调文字颜色 1 2 4" xfId="1087"/>
    <cellStyle name="40% - 强调文字颜色 1 2 5" xfId="5021"/>
    <cellStyle name="40% - 强调文字颜色 1 2 5 2" xfId="7460"/>
    <cellStyle name="40% - 强调文字颜色 1 2 5 2 2" xfId="9216"/>
    <cellStyle name="40% - 强调文字颜色 1 3" xfId="1088"/>
    <cellStyle name="40% - 强调文字颜色 1 3 2" xfId="1089"/>
    <cellStyle name="40% - 强调文字颜色 1 4" xfId="1090"/>
    <cellStyle name="40% - 强调文字颜色 1 4 2" xfId="7280"/>
    <cellStyle name="40% - 强调文字颜色 1 4 2 2" xfId="9036"/>
    <cellStyle name="40% - 强调文字颜色 1 5" xfId="1091"/>
    <cellStyle name="40% - 强调文字颜色 1 5 2" xfId="7281"/>
    <cellStyle name="40% - 强调文字颜色 1 5 2 2" xfId="9037"/>
    <cellStyle name="40% - 强调文字颜色 1 6" xfId="1092"/>
    <cellStyle name="40% - 强调文字颜色 1 7" xfId="1093"/>
    <cellStyle name="40% - 强调文字颜色 1 8" xfId="1094"/>
    <cellStyle name="40% - 强调文字颜色 1 8 2" xfId="7282"/>
    <cellStyle name="40% - 强调文字颜色 1 8 2 2" xfId="9038"/>
    <cellStyle name="40% - 强调文字颜色 1 9" xfId="1095"/>
    <cellStyle name="40% - 强调文字颜色 2" xfId="67"/>
    <cellStyle name="40% - 强调文字颜色 2 10" xfId="1097"/>
    <cellStyle name="40% - 强调文字颜色 2 11" xfId="5435"/>
    <cellStyle name="40% - 强调文字颜色 2 11 2" xfId="7535"/>
    <cellStyle name="40% - 强调文字颜色 2 11 2 2" xfId="9296"/>
    <cellStyle name="40% - 强调文字颜色 2 12" xfId="1096"/>
    <cellStyle name="40% - 强调文字颜色 2 13" xfId="10391"/>
    <cellStyle name="40% - 强调文字颜色 2 2" xfId="1098"/>
    <cellStyle name="40% - 强调文字颜色 2 2 2" xfId="1099"/>
    <cellStyle name="40% - 强调文字颜色 2 2 2 2" xfId="5047"/>
    <cellStyle name="40% - 强调文字颜色 2 2 3" xfId="1100"/>
    <cellStyle name="40% - 强调文字颜色 2 2 4" xfId="1101"/>
    <cellStyle name="40% - 强调文字颜色 2 2 5" xfId="5022"/>
    <cellStyle name="40% - 强调文字颜色 2 2 5 2" xfId="7461"/>
    <cellStyle name="40% - 强调文字颜色 2 2 5 2 2" xfId="9217"/>
    <cellStyle name="40% - 强调文字颜色 2 3" xfId="1102"/>
    <cellStyle name="40% - 强调文字颜色 2 3 2" xfId="1103"/>
    <cellStyle name="40% - 强调文字颜色 2 4" xfId="1104"/>
    <cellStyle name="40% - 强调文字颜色 2 4 2" xfId="7283"/>
    <cellStyle name="40% - 强调文字颜色 2 4 2 2" xfId="9039"/>
    <cellStyle name="40% - 强调文字颜色 2 5" xfId="1105"/>
    <cellStyle name="40% - 强调文字颜色 2 5 2" xfId="7284"/>
    <cellStyle name="40% - 强调文字颜色 2 5 2 2" xfId="9040"/>
    <cellStyle name="40% - 强调文字颜色 2 6" xfId="1106"/>
    <cellStyle name="40% - 强调文字颜色 2 7" xfId="1107"/>
    <cellStyle name="40% - 强调文字颜色 2 8" xfId="1108"/>
    <cellStyle name="40% - 强调文字颜色 2 8 2" xfId="7285"/>
    <cellStyle name="40% - 强调文字颜色 2 8 2 2" xfId="9041"/>
    <cellStyle name="40% - 强调文字颜色 2 9" xfId="1109"/>
    <cellStyle name="40% - 强调文字颜色 3" xfId="68"/>
    <cellStyle name="40% - 强调文字颜色 3 10" xfId="1111"/>
    <cellStyle name="40% - 强调文字颜色 3 11" xfId="5436"/>
    <cellStyle name="40% - 强调文字颜色 3 11 2" xfId="7536"/>
    <cellStyle name="40% - 强调文字颜色 3 11 2 2" xfId="9297"/>
    <cellStyle name="40% - 强调文字颜色 3 12" xfId="1110"/>
    <cellStyle name="40% - 强调文字颜色 3 13" xfId="10392"/>
    <cellStyle name="40% - 强调文字颜色 3 2" xfId="1112"/>
    <cellStyle name="40% - 强调文字颜色 3 2 2" xfId="1113"/>
    <cellStyle name="40% - 强调文字颜色 3 2 2 2" xfId="5048"/>
    <cellStyle name="40% - 强调文字颜色 3 2 3" xfId="1114"/>
    <cellStyle name="40% - 强调文字颜色 3 2 4" xfId="1115"/>
    <cellStyle name="40% - 强调文字颜色 3 2 5" xfId="5023"/>
    <cellStyle name="40% - 强调文字颜色 3 2 5 2" xfId="7462"/>
    <cellStyle name="40% - 强调文字颜色 3 2 5 2 2" xfId="9218"/>
    <cellStyle name="40% - 强调文字颜色 3 3" xfId="1116"/>
    <cellStyle name="40% - 强调文字颜色 3 3 2" xfId="1117"/>
    <cellStyle name="40% - 强调文字颜色 3 4" xfId="1118"/>
    <cellStyle name="40% - 强调文字颜色 3 4 2" xfId="7286"/>
    <cellStyle name="40% - 强调文字颜色 3 4 2 2" xfId="9042"/>
    <cellStyle name="40% - 强调文字颜色 3 5" xfId="1119"/>
    <cellStyle name="40% - 强调文字颜色 3 5 2" xfId="7287"/>
    <cellStyle name="40% - 强调文字颜色 3 5 2 2" xfId="9043"/>
    <cellStyle name="40% - 强调文字颜色 3 6" xfId="1120"/>
    <cellStyle name="40% - 强调文字颜色 3 7" xfId="1121"/>
    <cellStyle name="40% - 强调文字颜色 3 8" xfId="1122"/>
    <cellStyle name="40% - 强调文字颜色 3 8 2" xfId="7288"/>
    <cellStyle name="40% - 强调文字颜色 3 8 2 2" xfId="9044"/>
    <cellStyle name="40% - 强调文字颜色 3 9" xfId="1123"/>
    <cellStyle name="40% - 强调文字颜色 4" xfId="69"/>
    <cellStyle name="40% - 强调文字颜色 4 10" xfId="1125"/>
    <cellStyle name="40% - 强调文字颜色 4 11" xfId="5437"/>
    <cellStyle name="40% - 强调文字颜色 4 11 2" xfId="7537"/>
    <cellStyle name="40% - 强调文字颜色 4 11 2 2" xfId="9298"/>
    <cellStyle name="40% - 强调文字颜色 4 12" xfId="1124"/>
    <cellStyle name="40% - 强调文字颜色 4 13" xfId="10393"/>
    <cellStyle name="40% - 强调文字颜色 4 2" xfId="1126"/>
    <cellStyle name="40% - 强调文字颜色 4 2 2" xfId="1127"/>
    <cellStyle name="40% - 强调文字颜色 4 2 2 2" xfId="5049"/>
    <cellStyle name="40% - 强调文字颜色 4 2 3" xfId="1128"/>
    <cellStyle name="40% - 强调文字颜色 4 2 4" xfId="1129"/>
    <cellStyle name="40% - 强调文字颜色 4 2 5" xfId="5079"/>
    <cellStyle name="40% - 强调文字颜色 4 2 5 2" xfId="7485"/>
    <cellStyle name="40% - 强调文字颜色 4 2 5 2 2" xfId="9241"/>
    <cellStyle name="40% - 强调文字颜色 4 3" xfId="1130"/>
    <cellStyle name="40% - 强调文字颜色 4 3 2" xfId="1131"/>
    <cellStyle name="40% - 强调文字颜色 4 4" xfId="1132"/>
    <cellStyle name="40% - 强调文字颜色 4 4 2" xfId="7289"/>
    <cellStyle name="40% - 强调文字颜色 4 4 2 2" xfId="9045"/>
    <cellStyle name="40% - 强调文字颜色 4 5" xfId="1133"/>
    <cellStyle name="40% - 强调文字颜色 4 5 2" xfId="7290"/>
    <cellStyle name="40% - 强调文字颜色 4 5 2 2" xfId="9046"/>
    <cellStyle name="40% - 强调文字颜色 4 6" xfId="1134"/>
    <cellStyle name="40% - 强调文字颜色 4 7" xfId="1135"/>
    <cellStyle name="40% - 强调文字颜色 4 8" xfId="1136"/>
    <cellStyle name="40% - 强调文字颜色 4 8 2" xfId="7291"/>
    <cellStyle name="40% - 强调文字颜色 4 8 2 2" xfId="9047"/>
    <cellStyle name="40% - 强调文字颜色 4 9" xfId="1137"/>
    <cellStyle name="40% - 强调文字颜色 5" xfId="70"/>
    <cellStyle name="40% - 强调文字颜色 5 10" xfId="1139"/>
    <cellStyle name="40% - 强调文字颜色 5 11" xfId="5438"/>
    <cellStyle name="40% - 强调文字颜色 5 11 2" xfId="7538"/>
    <cellStyle name="40% - 强调文字颜色 5 11 2 2" xfId="9299"/>
    <cellStyle name="40% - 强调文字颜色 5 12" xfId="1138"/>
    <cellStyle name="40% - 强调文字颜色 5 13" xfId="10394"/>
    <cellStyle name="40% - 强调文字颜色 5 2" xfId="1140"/>
    <cellStyle name="40% - 强调文字颜色 5 2 2" xfId="1141"/>
    <cellStyle name="40% - 强调文字颜色 5 2 2 2" xfId="5050"/>
    <cellStyle name="40% - 强调文字颜色 5 2 3" xfId="1142"/>
    <cellStyle name="40% - 强调文字颜色 5 2 4" xfId="1143"/>
    <cellStyle name="40% - 强调文字颜色 5 2 5" xfId="5080"/>
    <cellStyle name="40% - 强调文字颜色 5 2 5 2" xfId="7486"/>
    <cellStyle name="40% - 强调文字颜色 5 2 5 2 2" xfId="9242"/>
    <cellStyle name="40% - 强调文字颜色 5 3" xfId="1144"/>
    <cellStyle name="40% - 强调文字颜色 5 3 2" xfId="1145"/>
    <cellStyle name="40% - 强调文字颜色 5 4" xfId="1146"/>
    <cellStyle name="40% - 强调文字颜色 5 4 2" xfId="7292"/>
    <cellStyle name="40% - 强调文字颜色 5 4 2 2" xfId="9048"/>
    <cellStyle name="40% - 强调文字颜色 5 5" xfId="1147"/>
    <cellStyle name="40% - 强调文字颜色 5 5 2" xfId="7293"/>
    <cellStyle name="40% - 强调文字颜色 5 5 2 2" xfId="9049"/>
    <cellStyle name="40% - 强调文字颜色 5 6" xfId="1148"/>
    <cellStyle name="40% - 强调文字颜色 5 7" xfId="1149"/>
    <cellStyle name="40% - 强调文字颜色 5 8" xfId="1150"/>
    <cellStyle name="40% - 强调文字颜色 5 8 2" xfId="7294"/>
    <cellStyle name="40% - 强调文字颜色 5 8 2 2" xfId="9050"/>
    <cellStyle name="40% - 强调文字颜色 5 9" xfId="1151"/>
    <cellStyle name="40% - 强调文字颜色 6" xfId="71"/>
    <cellStyle name="40% - 强调文字颜色 6 10" xfId="1153"/>
    <cellStyle name="40% - 强调文字颜色 6 11" xfId="5439"/>
    <cellStyle name="40% - 强调文字颜色 6 11 2" xfId="7539"/>
    <cellStyle name="40% - 强调文字颜色 6 11 2 2" xfId="9300"/>
    <cellStyle name="40% - 强调文字颜色 6 12" xfId="1152"/>
    <cellStyle name="40% - 强调文字颜色 6 13" xfId="10395"/>
    <cellStyle name="40% - 强调文字颜色 6 2" xfId="1154"/>
    <cellStyle name="40% - 强调文字颜色 6 2 2" xfId="1155"/>
    <cellStyle name="40% - 强调文字颜色 6 2 2 2" xfId="5051"/>
    <cellStyle name="40% - 强调文字颜色 6 2 3" xfId="1156"/>
    <cellStyle name="40% - 强调文字颜色 6 2 4" xfId="1157"/>
    <cellStyle name="40% - 强调文字颜色 6 2 5" xfId="5070"/>
    <cellStyle name="40% - 强调文字颜色 6 2 5 2" xfId="7479"/>
    <cellStyle name="40% - 强调文字颜色 6 2 5 2 2" xfId="9235"/>
    <cellStyle name="40% - 强调文字颜色 6 3" xfId="1158"/>
    <cellStyle name="40% - 强调文字颜色 6 3 2" xfId="1159"/>
    <cellStyle name="40% - 强调文字颜色 6 4" xfId="1160"/>
    <cellStyle name="40% - 强调文字颜色 6 4 2" xfId="7295"/>
    <cellStyle name="40% - 强调文字颜色 6 4 2 2" xfId="9051"/>
    <cellStyle name="40% - 强调文字颜色 6 5" xfId="1161"/>
    <cellStyle name="40% - 强调文字颜色 6 5 2" xfId="7296"/>
    <cellStyle name="40% - 强调文字颜色 6 5 2 2" xfId="9052"/>
    <cellStyle name="40% - 强调文字颜色 6 6" xfId="1162"/>
    <cellStyle name="40% - 强调文字颜色 6 7" xfId="1163"/>
    <cellStyle name="40% - 强调文字颜色 6 8" xfId="1164"/>
    <cellStyle name="40% - 强调文字颜色 6 8 2" xfId="7297"/>
    <cellStyle name="40% - 强调文字颜色 6 8 2 2" xfId="9053"/>
    <cellStyle name="40% - 强调文字颜色 6 9" xfId="1165"/>
    <cellStyle name="40% - 輔色1" xfId="1166"/>
    <cellStyle name="40% - 輔色1 2" xfId="1167"/>
    <cellStyle name="40% - 輔色1 3" xfId="1168"/>
    <cellStyle name="40% - 輔色1 4" xfId="1169"/>
    <cellStyle name="40% - 輔色1 5" xfId="1170"/>
    <cellStyle name="40% - 輔色1 6" xfId="1171"/>
    <cellStyle name="40% - 輔色1 6 2" xfId="7298"/>
    <cellStyle name="40% - 輔色1 6 2 2" xfId="9054"/>
    <cellStyle name="40% - 輔色1 7" xfId="1172"/>
    <cellStyle name="40% - 輔色1 8" xfId="4707"/>
    <cellStyle name="40% - 輔色1 9" xfId="5440"/>
    <cellStyle name="40% - 輔色1 9 2" xfId="7540"/>
    <cellStyle name="40% - 輔色1 9 2 2" xfId="9301"/>
    <cellStyle name="40% - 輔色2" xfId="1173"/>
    <cellStyle name="40% - 輔色2 2" xfId="1174"/>
    <cellStyle name="40% - 輔色2 3" xfId="1175"/>
    <cellStyle name="40% - 輔色2 4" xfId="1176"/>
    <cellStyle name="40% - 輔色2 5" xfId="1177"/>
    <cellStyle name="40% - 輔色2 6" xfId="1178"/>
    <cellStyle name="40% - 輔色2 6 2" xfId="7299"/>
    <cellStyle name="40% - 輔色2 6 2 2" xfId="9055"/>
    <cellStyle name="40% - 輔色2 7" xfId="1179"/>
    <cellStyle name="40% - 輔色2 8" xfId="4703"/>
    <cellStyle name="40% - 輔色2 9" xfId="5447"/>
    <cellStyle name="40% - 輔色2 9 2" xfId="7546"/>
    <cellStyle name="40% - 輔色2 9 2 2" xfId="9307"/>
    <cellStyle name="40% - 輔色3" xfId="1180"/>
    <cellStyle name="40% - 輔色3 2" xfId="1181"/>
    <cellStyle name="40% - 輔色3 3" xfId="1182"/>
    <cellStyle name="40% - 輔色3 4" xfId="1183"/>
    <cellStyle name="40% - 輔色3 5" xfId="1184"/>
    <cellStyle name="40% - 輔色3 6" xfId="1185"/>
    <cellStyle name="40% - 輔色3 6 2" xfId="7300"/>
    <cellStyle name="40% - 輔色3 6 2 2" xfId="9056"/>
    <cellStyle name="40% - 輔色3 7" xfId="1186"/>
    <cellStyle name="40% - 輔色3 8" xfId="4699"/>
    <cellStyle name="40% - 輔色3 9" xfId="5449"/>
    <cellStyle name="40% - 輔色3 9 2" xfId="7548"/>
    <cellStyle name="40% - 輔色3 9 2 2" xfId="9309"/>
    <cellStyle name="40% - 輔色4" xfId="1187"/>
    <cellStyle name="40% - 輔色4 2" xfId="1188"/>
    <cellStyle name="40% - 輔色4 3" xfId="1189"/>
    <cellStyle name="40% - 輔色4 4" xfId="1190"/>
    <cellStyle name="40% - 輔色4 5" xfId="1191"/>
    <cellStyle name="40% - 輔色4 6" xfId="1192"/>
    <cellStyle name="40% - 輔色4 6 2" xfId="7301"/>
    <cellStyle name="40% - 輔色4 6 2 2" xfId="9057"/>
    <cellStyle name="40% - 輔色4 7" xfId="1193"/>
    <cellStyle name="40% - 輔色4 8" xfId="4695"/>
    <cellStyle name="40% - 輔色4 9" xfId="5450"/>
    <cellStyle name="40% - 輔色4 9 2" xfId="7549"/>
    <cellStyle name="40% - 輔色4 9 2 2" xfId="9310"/>
    <cellStyle name="40% - 輔色5" xfId="1194"/>
    <cellStyle name="40% - 輔色5 2" xfId="1195"/>
    <cellStyle name="40% - 輔色5 3" xfId="1196"/>
    <cellStyle name="40% - 輔色5 4" xfId="1197"/>
    <cellStyle name="40% - 輔色5 5" xfId="1198"/>
    <cellStyle name="40% - 輔色5 6" xfId="1199"/>
    <cellStyle name="40% - 輔色5 6 2" xfId="7302"/>
    <cellStyle name="40% - 輔色5 6 2 2" xfId="9058"/>
    <cellStyle name="40% - 輔色5 7" xfId="1200"/>
    <cellStyle name="40% - 輔色5 8" xfId="4691"/>
    <cellStyle name="40% - 輔色5 9" xfId="5451"/>
    <cellStyle name="40% - 輔色5 9 2" xfId="7550"/>
    <cellStyle name="40% - 輔色5 9 2 2" xfId="9311"/>
    <cellStyle name="40% - 輔色6" xfId="1201"/>
    <cellStyle name="40% - 輔色6 2" xfId="1202"/>
    <cellStyle name="40% - 輔色6 3" xfId="1203"/>
    <cellStyle name="40% - 輔色6 4" xfId="1204"/>
    <cellStyle name="40% - 輔色6 5" xfId="1205"/>
    <cellStyle name="40% - 輔色6 6" xfId="1206"/>
    <cellStyle name="40% - 輔色6 6 2" xfId="7303"/>
    <cellStyle name="40% - 輔色6 6 2 2" xfId="9059"/>
    <cellStyle name="40% - 輔色6 7" xfId="1207"/>
    <cellStyle name="40% - 輔色6 8" xfId="4688"/>
    <cellStyle name="40% - 輔色6 9" xfId="5452"/>
    <cellStyle name="40% - 輔色6 9 2" xfId="7551"/>
    <cellStyle name="40% - 輔色6 9 2 2" xfId="9312"/>
    <cellStyle name="60% - Accent1" xfId="20" builtinId="32" customBuiltin="1"/>
    <cellStyle name="60% - Accent1 2" xfId="1208"/>
    <cellStyle name="60% - Accent1 2 2" xfId="8987"/>
    <cellStyle name="60% - Accent1 3" xfId="1209"/>
    <cellStyle name="60% - Accent1 4" xfId="1210"/>
    <cellStyle name="60% - Accent1 4 10" xfId="1211"/>
    <cellStyle name="60% - Accent1 4 11" xfId="1212"/>
    <cellStyle name="60% - Accent1 4 12" xfId="1213"/>
    <cellStyle name="60% - Accent1 4 2" xfId="1214"/>
    <cellStyle name="60% - Accent1 4 3" xfId="1215"/>
    <cellStyle name="60% - Accent1 4 3 2" xfId="1216"/>
    <cellStyle name="60% - Accent1 4 4" xfId="1217"/>
    <cellStyle name="60% - Accent1 4 5" xfId="1218"/>
    <cellStyle name="60% - Accent1 4 6" xfId="1219"/>
    <cellStyle name="60% - Accent1 4 7" xfId="1220"/>
    <cellStyle name="60% - Accent1 4 8" xfId="1221"/>
    <cellStyle name="60% - Accent1 4 9" xfId="1222"/>
    <cellStyle name="60% - Accent1 5" xfId="4647"/>
    <cellStyle name="60% - Accent1 5 2" xfId="7448"/>
    <cellStyle name="60% - Accent1 5 2 2" xfId="9204"/>
    <cellStyle name="60% - Accent1 6" xfId="4734"/>
    <cellStyle name="60% - Accent2" xfId="24" builtinId="36" customBuiltin="1"/>
    <cellStyle name="60% - Accent2 2" xfId="1223"/>
    <cellStyle name="60% - Accent2 2 2" xfId="8988"/>
    <cellStyle name="60% - Accent2 3" xfId="1224"/>
    <cellStyle name="60% - Accent2 4" xfId="1225"/>
    <cellStyle name="60% - Accent2 4 10" xfId="1226"/>
    <cellStyle name="60% - Accent2 4 11" xfId="1227"/>
    <cellStyle name="60% - Accent2 4 12" xfId="1228"/>
    <cellStyle name="60% - Accent2 4 2" xfId="1229"/>
    <cellStyle name="60% - Accent2 4 3" xfId="1230"/>
    <cellStyle name="60% - Accent2 4 3 2" xfId="1231"/>
    <cellStyle name="60% - Accent2 4 4" xfId="1232"/>
    <cellStyle name="60% - Accent2 4 5" xfId="1233"/>
    <cellStyle name="60% - Accent2 4 6" xfId="1234"/>
    <cellStyle name="60% - Accent2 4 7" xfId="1235"/>
    <cellStyle name="60% - Accent2 4 8" xfId="1236"/>
    <cellStyle name="60% - Accent2 4 9" xfId="1237"/>
    <cellStyle name="60% - Accent2 5" xfId="4614"/>
    <cellStyle name="60% - Accent2 5 2" xfId="7417"/>
    <cellStyle name="60% - Accent2 5 2 2" xfId="9173"/>
    <cellStyle name="60% - Accent2 6" xfId="4731"/>
    <cellStyle name="60% - Accent3" xfId="28" builtinId="40" customBuiltin="1"/>
    <cellStyle name="60% - Accent3 2" xfId="1238"/>
    <cellStyle name="60% - Accent3 2 2" xfId="8989"/>
    <cellStyle name="60% - Accent3 3" xfId="1239"/>
    <cellStyle name="60% - Accent3 4" xfId="1240"/>
    <cellStyle name="60% - Accent3 4 10" xfId="1241"/>
    <cellStyle name="60% - Accent3 4 11" xfId="1242"/>
    <cellStyle name="60% - Accent3 4 12" xfId="1243"/>
    <cellStyle name="60% - Accent3 4 2" xfId="1244"/>
    <cellStyle name="60% - Accent3 4 3" xfId="1245"/>
    <cellStyle name="60% - Accent3 4 3 2" xfId="1246"/>
    <cellStyle name="60% - Accent3 4 4" xfId="1247"/>
    <cellStyle name="60% - Accent3 4 5" xfId="1248"/>
    <cellStyle name="60% - Accent3 4 6" xfId="1249"/>
    <cellStyle name="60% - Accent3 4 7" xfId="1250"/>
    <cellStyle name="60% - Accent3 4 8" xfId="1251"/>
    <cellStyle name="60% - Accent3 4 9" xfId="1252"/>
    <cellStyle name="60% - Accent3 5" xfId="4617"/>
    <cellStyle name="60% - Accent3 5 2" xfId="7420"/>
    <cellStyle name="60% - Accent3 5 2 2" xfId="9176"/>
    <cellStyle name="60% - Accent3 6" xfId="4730"/>
    <cellStyle name="60% - Accent4" xfId="32" builtinId="44" customBuiltin="1"/>
    <cellStyle name="60% - Accent4 2" xfId="1253"/>
    <cellStyle name="60% - Accent4 2 2" xfId="8990"/>
    <cellStyle name="60% - Accent4 3" xfId="1254"/>
    <cellStyle name="60% - Accent4 4" xfId="1255"/>
    <cellStyle name="60% - Accent4 4 10" xfId="1256"/>
    <cellStyle name="60% - Accent4 4 11" xfId="1257"/>
    <cellStyle name="60% - Accent4 4 12" xfId="1258"/>
    <cellStyle name="60% - Accent4 4 2" xfId="1259"/>
    <cellStyle name="60% - Accent4 4 3" xfId="1260"/>
    <cellStyle name="60% - Accent4 4 3 2" xfId="1261"/>
    <cellStyle name="60% - Accent4 4 4" xfId="1262"/>
    <cellStyle name="60% - Accent4 4 5" xfId="1263"/>
    <cellStyle name="60% - Accent4 4 6" xfId="1264"/>
    <cellStyle name="60% - Accent4 4 7" xfId="1265"/>
    <cellStyle name="60% - Accent4 4 8" xfId="1266"/>
    <cellStyle name="60% - Accent4 4 9" xfId="1267"/>
    <cellStyle name="60% - Accent4 5" xfId="4626"/>
    <cellStyle name="60% - Accent4 5 2" xfId="7428"/>
    <cellStyle name="60% - Accent4 5 2 2" xfId="9184"/>
    <cellStyle name="60% - Accent4 6" xfId="4727"/>
    <cellStyle name="60% - Accent5" xfId="36" builtinId="48" customBuiltin="1"/>
    <cellStyle name="60% - Accent5 2" xfId="1268"/>
    <cellStyle name="60% - Accent5 2 2" xfId="8991"/>
    <cellStyle name="60% - Accent5 3" xfId="1269"/>
    <cellStyle name="60% - Accent5 4" xfId="1270"/>
    <cellStyle name="60% - Accent5 4 10" xfId="1271"/>
    <cellStyle name="60% - Accent5 4 11" xfId="1272"/>
    <cellStyle name="60% - Accent5 4 12" xfId="1273"/>
    <cellStyle name="60% - Accent5 4 2" xfId="1274"/>
    <cellStyle name="60% - Accent5 4 3" xfId="1275"/>
    <cellStyle name="60% - Accent5 4 3 2" xfId="1276"/>
    <cellStyle name="60% - Accent5 4 4" xfId="1277"/>
    <cellStyle name="60% - Accent5 4 5" xfId="1278"/>
    <cellStyle name="60% - Accent5 4 6" xfId="1279"/>
    <cellStyle name="60% - Accent5 4 7" xfId="1280"/>
    <cellStyle name="60% - Accent5 4 8" xfId="1281"/>
    <cellStyle name="60% - Accent5 4 9" xfId="1282"/>
    <cellStyle name="60% - Accent5 5" xfId="4641"/>
    <cellStyle name="60% - Accent5 5 2" xfId="7443"/>
    <cellStyle name="60% - Accent5 5 2 2" xfId="9199"/>
    <cellStyle name="60% - Accent5 6" xfId="4725"/>
    <cellStyle name="60% - Accent6" xfId="40" builtinId="52" customBuiltin="1"/>
    <cellStyle name="60% - Accent6 2" xfId="1283"/>
    <cellStyle name="60% - Accent6 2 2" xfId="8992"/>
    <cellStyle name="60% - Accent6 3" xfId="1284"/>
    <cellStyle name="60% - Accent6 4" xfId="1285"/>
    <cellStyle name="60% - Accent6 4 10" xfId="1286"/>
    <cellStyle name="60% - Accent6 4 11" xfId="1287"/>
    <cellStyle name="60% - Accent6 4 12" xfId="1288"/>
    <cellStyle name="60% - Accent6 4 2" xfId="1289"/>
    <cellStyle name="60% - Accent6 4 3" xfId="1290"/>
    <cellStyle name="60% - Accent6 4 3 2" xfId="1291"/>
    <cellStyle name="60% - Accent6 4 4" xfId="1292"/>
    <cellStyle name="60% - Accent6 4 5" xfId="1293"/>
    <cellStyle name="60% - Accent6 4 6" xfId="1294"/>
    <cellStyle name="60% - Accent6 4 7" xfId="1295"/>
    <cellStyle name="60% - Accent6 4 8" xfId="1296"/>
    <cellStyle name="60% - Accent6 4 9" xfId="1297"/>
    <cellStyle name="60% - Accent6 5" xfId="4622"/>
    <cellStyle name="60% - Accent6 5 2" xfId="7424"/>
    <cellStyle name="60% - Accent6 5 2 2" xfId="9180"/>
    <cellStyle name="60% - Accent6 6" xfId="4724"/>
    <cellStyle name="60% - Akzent1" xfId="1298"/>
    <cellStyle name="60% - Akzent2" xfId="1299"/>
    <cellStyle name="60% - Akzent3" xfId="1300"/>
    <cellStyle name="60% - Akzent4" xfId="1301"/>
    <cellStyle name="60% - Akzent5" xfId="1302"/>
    <cellStyle name="60% - Akzent6" xfId="1303"/>
    <cellStyle name="60% - 강조색1" xfId="1304"/>
    <cellStyle name="60% - 강조색1 2" xfId="190"/>
    <cellStyle name="60% - 강조색1 2 2" xfId="1306"/>
    <cellStyle name="60% - 강조색1 2 3" xfId="1307"/>
    <cellStyle name="60% - 강조색1 2 3 2" xfId="1308"/>
    <cellStyle name="60% - 강조색1 2 3 3" xfId="1309"/>
    <cellStyle name="60% - 강조색1 2 3 4" xfId="1310"/>
    <cellStyle name="60% - 강조색1 2 3 5" xfId="4251"/>
    <cellStyle name="60% - 강조색1 2 3 6" xfId="4829"/>
    <cellStyle name="60% - 강조색1 2 3 7" xfId="5608"/>
    <cellStyle name="60% - 강조색1 2 4" xfId="1305"/>
    <cellStyle name="60% - 강조색1 3" xfId="191"/>
    <cellStyle name="60% - 강조색1 3 2" xfId="1312"/>
    <cellStyle name="60% - 강조색1 3 3" xfId="1313"/>
    <cellStyle name="60% - 강조색1 3 3 2" xfId="1314"/>
    <cellStyle name="60% - 강조색1 3 3 3" xfId="1315"/>
    <cellStyle name="60% - 강조색1 3 3 4" xfId="1316"/>
    <cellStyle name="60% - 강조색1 3 3 5" xfId="4250"/>
    <cellStyle name="60% - 강조색1 3 3 6" xfId="4830"/>
    <cellStyle name="60% - 강조색1 3 3 7" xfId="5609"/>
    <cellStyle name="60% - 강조색1 3 4" xfId="1311"/>
    <cellStyle name="60% - 강조색1 4" xfId="192"/>
    <cellStyle name="60% - 강조색1 4 2" xfId="1318"/>
    <cellStyle name="60% - 강조색1 4 3" xfId="1319"/>
    <cellStyle name="60% - 강조색1 4 3 2" xfId="1320"/>
    <cellStyle name="60% - 강조색1 4 3 3" xfId="1321"/>
    <cellStyle name="60% - 강조색1 4 3 4" xfId="1322"/>
    <cellStyle name="60% - 강조색1 4 3 5" xfId="4249"/>
    <cellStyle name="60% - 강조색1 4 3 6" xfId="4831"/>
    <cellStyle name="60% - 강조색1 4 3 7" xfId="5610"/>
    <cellStyle name="60% - 강조색1 4 4" xfId="1317"/>
    <cellStyle name="60% - 강조색1 5" xfId="193"/>
    <cellStyle name="60% - 강조색1 5 2" xfId="1324"/>
    <cellStyle name="60% - 강조색1 5 3" xfId="1325"/>
    <cellStyle name="60% - 강조색1 5 3 2" xfId="1326"/>
    <cellStyle name="60% - 강조색1 5 3 3" xfId="1327"/>
    <cellStyle name="60% - 강조색1 5 3 4" xfId="1328"/>
    <cellStyle name="60% - 강조색1 5 3 5" xfId="4248"/>
    <cellStyle name="60% - 강조색1 5 3 6" xfId="4832"/>
    <cellStyle name="60% - 강조색1 5 3 7" xfId="5611"/>
    <cellStyle name="60% - 강조색1 5 4" xfId="1323"/>
    <cellStyle name="60% - 강조색1 6" xfId="194"/>
    <cellStyle name="60% - 강조색1 6 2" xfId="1330"/>
    <cellStyle name="60% - 강조색1 6 3" xfId="1331"/>
    <cellStyle name="60% - 강조색1 6 3 2" xfId="1332"/>
    <cellStyle name="60% - 강조색1 6 3 3" xfId="1333"/>
    <cellStyle name="60% - 강조색1 6 3 4" xfId="1334"/>
    <cellStyle name="60% - 강조색1 6 3 5" xfId="4247"/>
    <cellStyle name="60% - 강조색1 6 3 6" xfId="4833"/>
    <cellStyle name="60% - 강조색1 6 3 7" xfId="5612"/>
    <cellStyle name="60% - 강조색1 6 4" xfId="1329"/>
    <cellStyle name="60% - 강조색1 7" xfId="195"/>
    <cellStyle name="60% - 강조색1 7 2" xfId="1336"/>
    <cellStyle name="60% - 강조색1 7 3" xfId="1337"/>
    <cellStyle name="60% - 강조색1 7 3 2" xfId="1338"/>
    <cellStyle name="60% - 강조색1 7 3 3" xfId="1339"/>
    <cellStyle name="60% - 강조색1 7 3 4" xfId="1340"/>
    <cellStyle name="60% - 강조색1 7 3 5" xfId="4246"/>
    <cellStyle name="60% - 강조색1 7 3 6" xfId="4834"/>
    <cellStyle name="60% - 강조색1 7 3 7" xfId="5613"/>
    <cellStyle name="60% - 강조색1 7 4" xfId="1335"/>
    <cellStyle name="60% - 강조색1 8" xfId="1341"/>
    <cellStyle name="60% - 강조색1 8 2" xfId="1342"/>
    <cellStyle name="60% - 강조색1 8 2 2" xfId="1343"/>
    <cellStyle name="60% - 강조색1 8 2 3" xfId="1344"/>
    <cellStyle name="60% - 강조색1 8 2 4" xfId="1345"/>
    <cellStyle name="60% - 강조색1 8 2 5" xfId="4245"/>
    <cellStyle name="60% - 강조색1 8 2 6" xfId="4835"/>
    <cellStyle name="60% - 강조색1 8 2 7" xfId="5614"/>
    <cellStyle name="60% - 강조색2" xfId="1346"/>
    <cellStyle name="60% - 강조색2 2" xfId="196"/>
    <cellStyle name="60% - 강조색2 3" xfId="197"/>
    <cellStyle name="60% - 강조색2 4" xfId="198"/>
    <cellStyle name="60% - 강조색2 5" xfId="199"/>
    <cellStyle name="60% - 강조색2 6" xfId="200"/>
    <cellStyle name="60% - 강조색2 7" xfId="201"/>
    <cellStyle name="60% - 강조색2 8" xfId="1347"/>
    <cellStyle name="60% - 강조색3" xfId="1348"/>
    <cellStyle name="60% - 강조색3 2" xfId="202"/>
    <cellStyle name="60% - 강조색3 2 2" xfId="1350"/>
    <cellStyle name="60% - 강조색3 2 3" xfId="1351"/>
    <cellStyle name="60% - 강조색3 2 3 2" xfId="1352"/>
    <cellStyle name="60% - 강조색3 2 3 3" xfId="1353"/>
    <cellStyle name="60% - 강조색3 2 3 4" xfId="1354"/>
    <cellStyle name="60% - 강조색3 2 3 5" xfId="4244"/>
    <cellStyle name="60% - 강조색3 2 3 6" xfId="4836"/>
    <cellStyle name="60% - 강조색3 2 3 7" xfId="5615"/>
    <cellStyle name="60% - 강조색3 2 4" xfId="1349"/>
    <cellStyle name="60% - 강조색3 3" xfId="203"/>
    <cellStyle name="60% - 강조색3 3 2" xfId="1356"/>
    <cellStyle name="60% - 강조색3 3 3" xfId="1357"/>
    <cellStyle name="60% - 강조색3 3 3 2" xfId="1358"/>
    <cellStyle name="60% - 강조색3 3 3 3" xfId="1359"/>
    <cellStyle name="60% - 강조색3 3 3 4" xfId="1360"/>
    <cellStyle name="60% - 강조색3 3 3 5" xfId="4243"/>
    <cellStyle name="60% - 강조색3 3 3 6" xfId="4837"/>
    <cellStyle name="60% - 강조색3 3 3 7" xfId="5616"/>
    <cellStyle name="60% - 강조색3 3 4" xfId="1355"/>
    <cellStyle name="60% - 강조색3 4" xfId="204"/>
    <cellStyle name="60% - 강조색3 4 2" xfId="1362"/>
    <cellStyle name="60% - 강조색3 4 3" xfId="1363"/>
    <cellStyle name="60% - 강조색3 4 3 2" xfId="1364"/>
    <cellStyle name="60% - 강조색3 4 3 3" xfId="1365"/>
    <cellStyle name="60% - 강조색3 4 3 4" xfId="1366"/>
    <cellStyle name="60% - 강조색3 4 3 5" xfId="4242"/>
    <cellStyle name="60% - 강조색3 4 3 6" xfId="4838"/>
    <cellStyle name="60% - 강조색3 4 3 7" xfId="5617"/>
    <cellStyle name="60% - 강조색3 4 4" xfId="1361"/>
    <cellStyle name="60% - 강조색3 5" xfId="205"/>
    <cellStyle name="60% - 강조색3 5 2" xfId="1368"/>
    <cellStyle name="60% - 강조색3 5 3" xfId="1369"/>
    <cellStyle name="60% - 강조색3 5 3 2" xfId="1370"/>
    <cellStyle name="60% - 강조색3 5 3 3" xfId="1371"/>
    <cellStyle name="60% - 강조색3 5 3 4" xfId="1372"/>
    <cellStyle name="60% - 강조색3 5 3 5" xfId="4241"/>
    <cellStyle name="60% - 강조색3 5 3 6" xfId="4839"/>
    <cellStyle name="60% - 강조색3 5 3 7" xfId="5618"/>
    <cellStyle name="60% - 강조색3 5 4" xfId="1367"/>
    <cellStyle name="60% - 강조색3 6" xfId="206"/>
    <cellStyle name="60% - 강조색3 6 2" xfId="1374"/>
    <cellStyle name="60% - 강조색3 6 3" xfId="1375"/>
    <cellStyle name="60% - 강조색3 6 3 2" xfId="1376"/>
    <cellStyle name="60% - 강조색3 6 3 3" xfId="1377"/>
    <cellStyle name="60% - 강조색3 6 3 4" xfId="1378"/>
    <cellStyle name="60% - 강조색3 6 3 5" xfId="4240"/>
    <cellStyle name="60% - 강조색3 6 3 6" xfId="4840"/>
    <cellStyle name="60% - 강조색3 6 3 7" xfId="5619"/>
    <cellStyle name="60% - 강조색3 6 4" xfId="1373"/>
    <cellStyle name="60% - 강조색3 7" xfId="207"/>
    <cellStyle name="60% - 강조색3 7 2" xfId="1380"/>
    <cellStyle name="60% - 강조색3 7 3" xfId="1381"/>
    <cellStyle name="60% - 강조색3 7 3 2" xfId="1382"/>
    <cellStyle name="60% - 강조색3 7 3 3" xfId="1383"/>
    <cellStyle name="60% - 강조색3 7 3 4" xfId="1384"/>
    <cellStyle name="60% - 강조색3 7 3 5" xfId="4239"/>
    <cellStyle name="60% - 강조색3 7 3 6" xfId="4841"/>
    <cellStyle name="60% - 강조색3 7 3 7" xfId="5620"/>
    <cellStyle name="60% - 강조색3 7 4" xfId="1379"/>
    <cellStyle name="60% - 강조색3 8" xfId="1385"/>
    <cellStyle name="60% - 강조색3 8 2" xfId="1386"/>
    <cellStyle name="60% - 강조색3 8 2 2" xfId="1387"/>
    <cellStyle name="60% - 강조색3 8 2 3" xfId="1388"/>
    <cellStyle name="60% - 강조색3 8 2 4" xfId="1389"/>
    <cellStyle name="60% - 강조색3 8 2 5" xfId="4238"/>
    <cellStyle name="60% - 강조색3 8 2 6" xfId="4842"/>
    <cellStyle name="60% - 강조색3 8 2 7" xfId="5621"/>
    <cellStyle name="60% - 강조색4" xfId="1390"/>
    <cellStyle name="60% - 강조색4 2" xfId="208"/>
    <cellStyle name="60% - 강조색4 2 2" xfId="1392"/>
    <cellStyle name="60% - 강조색4 2 3" xfId="1393"/>
    <cellStyle name="60% - 강조색4 2 3 2" xfId="1394"/>
    <cellStyle name="60% - 강조색4 2 3 3" xfId="1395"/>
    <cellStyle name="60% - 강조색4 2 3 4" xfId="1396"/>
    <cellStyle name="60% - 강조색4 2 3 5" xfId="4237"/>
    <cellStyle name="60% - 강조색4 2 3 6" xfId="4843"/>
    <cellStyle name="60% - 강조색4 2 3 7" xfId="5622"/>
    <cellStyle name="60% - 강조색4 2 4" xfId="1391"/>
    <cellStyle name="60% - 강조색4 3" xfId="209"/>
    <cellStyle name="60% - 강조색4 3 2" xfId="1398"/>
    <cellStyle name="60% - 강조색4 3 3" xfId="1399"/>
    <cellStyle name="60% - 강조색4 3 3 2" xfId="1400"/>
    <cellStyle name="60% - 강조색4 3 3 3" xfId="1401"/>
    <cellStyle name="60% - 강조색4 3 3 4" xfId="1402"/>
    <cellStyle name="60% - 강조색4 3 3 5" xfId="4236"/>
    <cellStyle name="60% - 강조색4 3 3 6" xfId="4844"/>
    <cellStyle name="60% - 강조색4 3 3 7" xfId="5623"/>
    <cellStyle name="60% - 강조색4 3 4" xfId="1397"/>
    <cellStyle name="60% - 강조색4 4" xfId="210"/>
    <cellStyle name="60% - 강조색4 4 2" xfId="1404"/>
    <cellStyle name="60% - 강조색4 4 3" xfId="1405"/>
    <cellStyle name="60% - 강조색4 4 3 2" xfId="1406"/>
    <cellStyle name="60% - 강조색4 4 3 3" xfId="1407"/>
    <cellStyle name="60% - 강조색4 4 3 4" xfId="1408"/>
    <cellStyle name="60% - 강조색4 4 3 5" xfId="4235"/>
    <cellStyle name="60% - 강조색4 4 3 6" xfId="4845"/>
    <cellStyle name="60% - 강조색4 4 3 7" xfId="5624"/>
    <cellStyle name="60% - 강조색4 4 4" xfId="1403"/>
    <cellStyle name="60% - 강조색4 5" xfId="211"/>
    <cellStyle name="60% - 강조색4 5 2" xfId="1410"/>
    <cellStyle name="60% - 강조색4 5 3" xfId="1411"/>
    <cellStyle name="60% - 강조색4 5 3 2" xfId="1412"/>
    <cellStyle name="60% - 강조색4 5 3 3" xfId="1413"/>
    <cellStyle name="60% - 강조색4 5 3 4" xfId="1414"/>
    <cellStyle name="60% - 강조색4 5 3 5" xfId="4234"/>
    <cellStyle name="60% - 강조색4 5 3 6" xfId="4846"/>
    <cellStyle name="60% - 강조색4 5 3 7" xfId="5625"/>
    <cellStyle name="60% - 강조색4 5 4" xfId="1409"/>
    <cellStyle name="60% - 강조색4 6" xfId="212"/>
    <cellStyle name="60% - 강조색4 6 2" xfId="1416"/>
    <cellStyle name="60% - 강조색4 6 3" xfId="1417"/>
    <cellStyle name="60% - 강조색4 6 3 2" xfId="1418"/>
    <cellStyle name="60% - 강조색4 6 3 3" xfId="1419"/>
    <cellStyle name="60% - 강조색4 6 3 4" xfId="1420"/>
    <cellStyle name="60% - 강조색4 6 3 5" xfId="4233"/>
    <cellStyle name="60% - 강조색4 6 3 6" xfId="4847"/>
    <cellStyle name="60% - 강조색4 6 3 7" xfId="5626"/>
    <cellStyle name="60% - 강조색4 6 4" xfId="1415"/>
    <cellStyle name="60% - 강조색4 7" xfId="213"/>
    <cellStyle name="60% - 강조색4 7 2" xfId="1422"/>
    <cellStyle name="60% - 강조색4 7 3" xfId="1423"/>
    <cellStyle name="60% - 강조색4 7 3 2" xfId="1424"/>
    <cellStyle name="60% - 강조색4 7 3 3" xfId="1425"/>
    <cellStyle name="60% - 강조색4 7 3 4" xfId="1426"/>
    <cellStyle name="60% - 강조색4 7 3 5" xfId="4232"/>
    <cellStyle name="60% - 강조색4 7 3 6" xfId="4848"/>
    <cellStyle name="60% - 강조색4 7 3 7" xfId="5627"/>
    <cellStyle name="60% - 강조색4 7 4" xfId="1421"/>
    <cellStyle name="60% - 강조색4 8" xfId="1427"/>
    <cellStyle name="60% - 강조색4 8 2" xfId="1428"/>
    <cellStyle name="60% - 강조색4 8 2 2" xfId="1429"/>
    <cellStyle name="60% - 강조색4 8 2 3" xfId="1430"/>
    <cellStyle name="60% - 강조색4 8 2 4" xfId="1431"/>
    <cellStyle name="60% - 강조색4 8 2 5" xfId="4231"/>
    <cellStyle name="60% - 강조색4 8 2 6" xfId="4849"/>
    <cellStyle name="60% - 강조색4 8 2 7" xfId="5628"/>
    <cellStyle name="60% - 강조색5" xfId="1432"/>
    <cellStyle name="60% - 강조색5 2" xfId="214"/>
    <cellStyle name="60% - 강조색5 3" xfId="215"/>
    <cellStyle name="60% - 강조색5 4" xfId="216"/>
    <cellStyle name="60% - 강조색5 5" xfId="217"/>
    <cellStyle name="60% - 강조색5 6" xfId="218"/>
    <cellStyle name="60% - 강조색5 7" xfId="219"/>
    <cellStyle name="60% - 강조색5 8" xfId="1433"/>
    <cellStyle name="60% - 강조색6" xfId="1434"/>
    <cellStyle name="60% - 강조색6 2" xfId="220"/>
    <cellStyle name="60% - 강조색6 2 2" xfId="1436"/>
    <cellStyle name="60% - 강조색6 2 3" xfId="1437"/>
    <cellStyle name="60% - 강조색6 2 3 2" xfId="1438"/>
    <cellStyle name="60% - 강조색6 2 3 3" xfId="1439"/>
    <cellStyle name="60% - 강조색6 2 3 4" xfId="1440"/>
    <cellStyle name="60% - 강조색6 2 3 5" xfId="4230"/>
    <cellStyle name="60% - 강조색6 2 3 6" xfId="4850"/>
    <cellStyle name="60% - 강조색6 2 3 7" xfId="5629"/>
    <cellStyle name="60% - 강조색6 2 4" xfId="1435"/>
    <cellStyle name="60% - 강조색6 3" xfId="221"/>
    <cellStyle name="60% - 강조색6 3 2" xfId="1442"/>
    <cellStyle name="60% - 강조색6 3 3" xfId="1443"/>
    <cellStyle name="60% - 강조색6 3 3 2" xfId="1444"/>
    <cellStyle name="60% - 강조색6 3 3 3" xfId="1445"/>
    <cellStyle name="60% - 강조색6 3 3 4" xfId="1446"/>
    <cellStyle name="60% - 강조색6 3 3 5" xfId="4229"/>
    <cellStyle name="60% - 강조색6 3 3 6" xfId="4851"/>
    <cellStyle name="60% - 강조색6 3 3 7" xfId="5630"/>
    <cellStyle name="60% - 강조색6 3 4" xfId="1441"/>
    <cellStyle name="60% - 강조색6 4" xfId="222"/>
    <cellStyle name="60% - 강조색6 4 2" xfId="1448"/>
    <cellStyle name="60% - 강조색6 4 3" xfId="1449"/>
    <cellStyle name="60% - 강조색6 4 3 2" xfId="1450"/>
    <cellStyle name="60% - 강조색6 4 3 3" xfId="1451"/>
    <cellStyle name="60% - 강조색6 4 3 4" xfId="1452"/>
    <cellStyle name="60% - 강조색6 4 3 5" xfId="4228"/>
    <cellStyle name="60% - 강조색6 4 3 6" xfId="4852"/>
    <cellStyle name="60% - 강조색6 4 3 7" xfId="5631"/>
    <cellStyle name="60% - 강조색6 4 4" xfId="1447"/>
    <cellStyle name="60% - 강조색6 5" xfId="223"/>
    <cellStyle name="60% - 강조색6 5 2" xfId="1454"/>
    <cellStyle name="60% - 강조색6 5 3" xfId="1455"/>
    <cellStyle name="60% - 강조색6 5 3 2" xfId="1456"/>
    <cellStyle name="60% - 강조색6 5 3 3" xfId="1457"/>
    <cellStyle name="60% - 강조색6 5 3 4" xfId="1458"/>
    <cellStyle name="60% - 강조색6 5 3 5" xfId="4227"/>
    <cellStyle name="60% - 강조색6 5 3 6" xfId="4853"/>
    <cellStyle name="60% - 강조색6 5 3 7" xfId="5632"/>
    <cellStyle name="60% - 강조색6 5 4" xfId="1453"/>
    <cellStyle name="60% - 강조색6 6" xfId="224"/>
    <cellStyle name="60% - 강조색6 6 2" xfId="1460"/>
    <cellStyle name="60% - 강조색6 6 3" xfId="1461"/>
    <cellStyle name="60% - 강조색6 6 3 2" xfId="1462"/>
    <cellStyle name="60% - 강조색6 6 3 3" xfId="1463"/>
    <cellStyle name="60% - 강조색6 6 3 4" xfId="1464"/>
    <cellStyle name="60% - 강조색6 6 3 5" xfId="4226"/>
    <cellStyle name="60% - 강조색6 6 3 6" xfId="4854"/>
    <cellStyle name="60% - 강조색6 6 3 7" xfId="5633"/>
    <cellStyle name="60% - 강조색6 6 4" xfId="1459"/>
    <cellStyle name="60% - 강조색6 7" xfId="225"/>
    <cellStyle name="60% - 강조색6 7 2" xfId="1466"/>
    <cellStyle name="60% - 강조색6 7 3" xfId="1467"/>
    <cellStyle name="60% - 강조색6 7 3 2" xfId="1468"/>
    <cellStyle name="60% - 강조색6 7 3 3" xfId="1469"/>
    <cellStyle name="60% - 강조색6 7 3 4" xfId="1470"/>
    <cellStyle name="60% - 강조색6 7 3 5" xfId="4225"/>
    <cellStyle name="60% - 강조색6 7 3 6" xfId="4855"/>
    <cellStyle name="60% - 강조색6 7 3 7" xfId="5634"/>
    <cellStyle name="60% - 강조색6 7 4" xfId="1465"/>
    <cellStyle name="60% - 강조색6 8" xfId="1471"/>
    <cellStyle name="60% - 강조색6 8 2" xfId="1472"/>
    <cellStyle name="60% - 강조색6 8 2 2" xfId="1473"/>
    <cellStyle name="60% - 강조색6 8 2 3" xfId="1474"/>
    <cellStyle name="60% - 강조색6 8 2 4" xfId="1475"/>
    <cellStyle name="60% - 강조색6 8 2 5" xfId="4224"/>
    <cellStyle name="60% - 강조색6 8 2 6" xfId="4856"/>
    <cellStyle name="60% - 강조색6 8 2 7" xfId="5635"/>
    <cellStyle name="60% - 强调文字颜色 1" xfId="72"/>
    <cellStyle name="60% - 强调文字颜色 1 10" xfId="1477"/>
    <cellStyle name="60% - 强调文字颜色 1 11" xfId="5453"/>
    <cellStyle name="60% - 强调文字颜色 1 11 2" xfId="7552"/>
    <cellStyle name="60% - 强调文字颜色 1 11 2 2" xfId="9313"/>
    <cellStyle name="60% - 强调文字颜色 1 12" xfId="1476"/>
    <cellStyle name="60% - 强调文字颜色 1 13" xfId="10396"/>
    <cellStyle name="60% - 强调文字颜色 1 2" xfId="1478"/>
    <cellStyle name="60% - 强调文字颜色 1 2 2" xfId="1479"/>
    <cellStyle name="60% - 强调文字颜色 1 2 2 2" xfId="5052"/>
    <cellStyle name="60% - 强调文字颜色 1 2 3" xfId="1480"/>
    <cellStyle name="60% - 强调文字颜色 1 2 4" xfId="1481"/>
    <cellStyle name="60% - 强调文字颜色 1 2 5" xfId="5024"/>
    <cellStyle name="60% - 强调文字颜色 1 2 5 2" xfId="7463"/>
    <cellStyle name="60% - 强调文字颜色 1 2 5 2 2" xfId="9219"/>
    <cellStyle name="60% - 强调文字颜色 1 3" xfId="1482"/>
    <cellStyle name="60% - 强调文字颜色 1 3 2" xfId="1483"/>
    <cellStyle name="60% - 强调文字颜色 1 4" xfId="1484"/>
    <cellStyle name="60% - 强调文字颜色 1 4 2" xfId="7304"/>
    <cellStyle name="60% - 强调文字颜色 1 4 2 2" xfId="9060"/>
    <cellStyle name="60% - 强调文字颜色 1 5" xfId="1485"/>
    <cellStyle name="60% - 强调文字颜色 1 5 2" xfId="7305"/>
    <cellStyle name="60% - 强调文字颜色 1 5 2 2" xfId="9061"/>
    <cellStyle name="60% - 强调文字颜色 1 6" xfId="1486"/>
    <cellStyle name="60% - 强调文字颜色 1 7" xfId="1487"/>
    <cellStyle name="60% - 强调文字颜色 1 8" xfId="1488"/>
    <cellStyle name="60% - 强调文字颜色 1 8 2" xfId="7306"/>
    <cellStyle name="60% - 强调文字颜色 1 8 2 2" xfId="9062"/>
    <cellStyle name="60% - 强调文字颜色 1 9" xfId="1489"/>
    <cellStyle name="60% - 强调文字颜色 2" xfId="73"/>
    <cellStyle name="60% - 强调文字颜色 2 10" xfId="1491"/>
    <cellStyle name="60% - 强调文字颜色 2 11" xfId="5454"/>
    <cellStyle name="60% - 强调文字颜色 2 11 2" xfId="7553"/>
    <cellStyle name="60% - 强调文字颜色 2 11 2 2" xfId="9314"/>
    <cellStyle name="60% - 强调文字颜色 2 12" xfId="1490"/>
    <cellStyle name="60% - 强调文字颜色 2 13" xfId="10397"/>
    <cellStyle name="60% - 强调文字颜色 2 2" xfId="1492"/>
    <cellStyle name="60% - 强调文字颜色 2 2 2" xfId="1493"/>
    <cellStyle name="60% - 强调文字颜色 2 2 2 2" xfId="5053"/>
    <cellStyle name="60% - 强调文字颜色 2 2 3" xfId="1494"/>
    <cellStyle name="60% - 强调文字颜色 2 2 4" xfId="1495"/>
    <cellStyle name="60% - 强调文字颜色 2 2 5" xfId="5025"/>
    <cellStyle name="60% - 强调文字颜色 2 2 5 2" xfId="7464"/>
    <cellStyle name="60% - 强调文字颜色 2 2 5 2 2" xfId="9220"/>
    <cellStyle name="60% - 强调文字颜色 2 3" xfId="1496"/>
    <cellStyle name="60% - 强调文字颜色 2 3 2" xfId="1497"/>
    <cellStyle name="60% - 强调文字颜色 2 4" xfId="1498"/>
    <cellStyle name="60% - 强调文字颜色 2 4 2" xfId="7307"/>
    <cellStyle name="60% - 强调文字颜色 2 4 2 2" xfId="9063"/>
    <cellStyle name="60% - 强调文字颜色 2 5" xfId="1499"/>
    <cellStyle name="60% - 强调文字颜色 2 5 2" xfId="7308"/>
    <cellStyle name="60% - 强调文字颜色 2 5 2 2" xfId="9064"/>
    <cellStyle name="60% - 强调文字颜色 2 6" xfId="1500"/>
    <cellStyle name="60% - 强调文字颜色 2 7" xfId="1501"/>
    <cellStyle name="60% - 强调文字颜色 2 8" xfId="1502"/>
    <cellStyle name="60% - 强调文字颜色 2 8 2" xfId="7309"/>
    <cellStyle name="60% - 强调文字颜色 2 8 2 2" xfId="9065"/>
    <cellStyle name="60% - 强调文字颜色 2 9" xfId="1503"/>
    <cellStyle name="60% - 强调文字颜色 3" xfId="74"/>
    <cellStyle name="60% - 强调文字颜色 3 10" xfId="1505"/>
    <cellStyle name="60% - 强调文字颜色 3 11" xfId="5455"/>
    <cellStyle name="60% - 强调文字颜色 3 11 2" xfId="7554"/>
    <cellStyle name="60% - 强调文字颜色 3 11 2 2" xfId="9315"/>
    <cellStyle name="60% - 强调文字颜色 3 12" xfId="1504"/>
    <cellStyle name="60% - 强调文字颜色 3 13" xfId="10398"/>
    <cellStyle name="60% - 强调文字颜色 3 2" xfId="1506"/>
    <cellStyle name="60% - 强调文字颜色 3 2 2" xfId="1507"/>
    <cellStyle name="60% - 强调文字颜色 3 2 2 2" xfId="5014"/>
    <cellStyle name="60% - 强调文字颜色 3 2 3" xfId="1508"/>
    <cellStyle name="60% - 强调文字颜色 3 2 4" xfId="1509"/>
    <cellStyle name="60% - 强调文字颜色 3 2 5" xfId="5026"/>
    <cellStyle name="60% - 强调文字颜色 3 2 5 2" xfId="7465"/>
    <cellStyle name="60% - 强调文字颜色 3 2 5 2 2" xfId="9221"/>
    <cellStyle name="60% - 强调文字颜色 3 3" xfId="1510"/>
    <cellStyle name="60% - 强调文字颜色 3 3 2" xfId="1511"/>
    <cellStyle name="60% - 强调文字颜色 3 4" xfId="1512"/>
    <cellStyle name="60% - 强调文字颜色 3 4 2" xfId="7310"/>
    <cellStyle name="60% - 强调文字颜色 3 4 2 2" xfId="9066"/>
    <cellStyle name="60% - 强调文字颜色 3 5" xfId="1513"/>
    <cellStyle name="60% - 强调文字颜色 3 5 2" xfId="7311"/>
    <cellStyle name="60% - 强调文字颜色 3 5 2 2" xfId="9067"/>
    <cellStyle name="60% - 强调文字颜色 3 6" xfId="1514"/>
    <cellStyle name="60% - 强调文字颜色 3 7" xfId="1515"/>
    <cellStyle name="60% - 强调文字颜色 3 8" xfId="1516"/>
    <cellStyle name="60% - 强调文字颜色 3 8 2" xfId="7312"/>
    <cellStyle name="60% - 强调文字颜色 3 8 2 2" xfId="9068"/>
    <cellStyle name="60% - 强调文字颜色 3 9" xfId="1517"/>
    <cellStyle name="60% - 强调文字颜色 4" xfId="75"/>
    <cellStyle name="60% - 强调文字颜色 4 10" xfId="1519"/>
    <cellStyle name="60% - 强调文字颜色 4 11" xfId="5456"/>
    <cellStyle name="60% - 强调文字颜色 4 11 2" xfId="7555"/>
    <cellStyle name="60% - 强调文字颜色 4 11 2 2" xfId="9316"/>
    <cellStyle name="60% - 强调文字颜色 4 12" xfId="1518"/>
    <cellStyle name="60% - 强调文字颜色 4 13" xfId="10399"/>
    <cellStyle name="60% - 强调文字颜色 4 2" xfId="1520"/>
    <cellStyle name="60% - 强调文字颜色 4 2 2" xfId="1521"/>
    <cellStyle name="60% - 强调文字颜色 4 2 2 2" xfId="5054"/>
    <cellStyle name="60% - 强调文字颜色 4 2 3" xfId="1522"/>
    <cellStyle name="60% - 强调文字颜色 4 2 4" xfId="1523"/>
    <cellStyle name="60% - 强调文字颜色 4 2 5" xfId="5027"/>
    <cellStyle name="60% - 强调文字颜色 4 2 5 2" xfId="7466"/>
    <cellStyle name="60% - 强调文字颜色 4 2 5 2 2" xfId="9222"/>
    <cellStyle name="60% - 强调文字颜色 4 3" xfId="1524"/>
    <cellStyle name="60% - 强调文字颜色 4 3 2" xfId="1525"/>
    <cellStyle name="60% - 强调文字颜色 4 4" xfId="1526"/>
    <cellStyle name="60% - 强调文字颜色 4 4 2" xfId="7313"/>
    <cellStyle name="60% - 强调文字颜色 4 4 2 2" xfId="9069"/>
    <cellStyle name="60% - 强调文字颜色 4 5" xfId="1527"/>
    <cellStyle name="60% - 强调文字颜色 4 5 2" xfId="7314"/>
    <cellStyle name="60% - 强调文字颜色 4 5 2 2" xfId="9070"/>
    <cellStyle name="60% - 强调文字颜色 4 6" xfId="1528"/>
    <cellStyle name="60% - 强调文字颜色 4 7" xfId="1529"/>
    <cellStyle name="60% - 强调文字颜色 4 8" xfId="1530"/>
    <cellStyle name="60% - 强调文字颜色 4 8 2" xfId="7315"/>
    <cellStyle name="60% - 强调文字颜色 4 8 2 2" xfId="9071"/>
    <cellStyle name="60% - 强调文字颜色 4 9" xfId="1531"/>
    <cellStyle name="60% - 强调文字颜色 5" xfId="76"/>
    <cellStyle name="60% - 强调文字颜色 5 10" xfId="1533"/>
    <cellStyle name="60% - 强调文字颜色 5 11" xfId="5457"/>
    <cellStyle name="60% - 强调文字颜色 5 11 2" xfId="7556"/>
    <cellStyle name="60% - 强调文字颜色 5 11 2 2" xfId="9317"/>
    <cellStyle name="60% - 强调文字颜色 5 12" xfId="1532"/>
    <cellStyle name="60% - 强调文字颜色 5 13" xfId="10400"/>
    <cellStyle name="60% - 强调文字颜色 5 2" xfId="1534"/>
    <cellStyle name="60% - 强调文字颜色 5 2 2" xfId="1535"/>
    <cellStyle name="60% - 强调文字颜色 5 2 2 2" xfId="5055"/>
    <cellStyle name="60% - 强调文字颜色 5 2 3" xfId="1536"/>
    <cellStyle name="60% - 强调文字颜色 5 2 4" xfId="1537"/>
    <cellStyle name="60% - 强调文字颜色 5 2 5" xfId="5081"/>
    <cellStyle name="60% - 强调文字颜色 5 2 5 2" xfId="7487"/>
    <cellStyle name="60% - 强调文字颜色 5 2 5 2 2" xfId="9243"/>
    <cellStyle name="60% - 强调文字颜色 5 3" xfId="1538"/>
    <cellStyle name="60% - 强调文字颜色 5 3 2" xfId="1539"/>
    <cellStyle name="60% - 强调文字颜色 5 4" xfId="1540"/>
    <cellStyle name="60% - 强调文字颜色 5 4 2" xfId="7316"/>
    <cellStyle name="60% - 强调文字颜色 5 4 2 2" xfId="9072"/>
    <cellStyle name="60% - 强调文字颜色 5 5" xfId="1541"/>
    <cellStyle name="60% - 强调文字颜色 5 5 2" xfId="7317"/>
    <cellStyle name="60% - 强调文字颜色 5 5 2 2" xfId="9073"/>
    <cellStyle name="60% - 强调文字颜色 5 6" xfId="1542"/>
    <cellStyle name="60% - 强调文字颜色 5 7" xfId="1543"/>
    <cellStyle name="60% - 强调文字颜色 5 8" xfId="1544"/>
    <cellStyle name="60% - 强调文字颜色 5 8 2" xfId="7318"/>
    <cellStyle name="60% - 强调文字颜色 5 8 2 2" xfId="9074"/>
    <cellStyle name="60% - 强调文字颜色 5 9" xfId="1545"/>
    <cellStyle name="60% - 强调文字颜色 6" xfId="77"/>
    <cellStyle name="60% - 强调文字颜色 6 10" xfId="1547"/>
    <cellStyle name="60% - 强调文字颜色 6 11" xfId="5458"/>
    <cellStyle name="60% - 强调文字颜色 6 11 2" xfId="7557"/>
    <cellStyle name="60% - 强调文字颜色 6 11 2 2" xfId="9318"/>
    <cellStyle name="60% - 强调文字颜色 6 12" xfId="1546"/>
    <cellStyle name="60% - 强调文字颜色 6 13" xfId="10401"/>
    <cellStyle name="60% - 强调文字颜色 6 2" xfId="1548"/>
    <cellStyle name="60% - 强调文字颜色 6 2 2" xfId="1549"/>
    <cellStyle name="60% - 强调文字颜色 6 2 2 2" xfId="5056"/>
    <cellStyle name="60% - 强调文字颜色 6 2 3" xfId="1550"/>
    <cellStyle name="60% - 强调文字颜色 6 2 4" xfId="1551"/>
    <cellStyle name="60% - 强调文字颜色 6 2 5" xfId="5082"/>
    <cellStyle name="60% - 强调文字颜色 6 2 5 2" xfId="7488"/>
    <cellStyle name="60% - 强调文字颜色 6 2 5 2 2" xfId="9244"/>
    <cellStyle name="60% - 强调文字颜色 6 3" xfId="1552"/>
    <cellStyle name="60% - 强调文字颜色 6 3 2" xfId="1553"/>
    <cellStyle name="60% - 强调文字颜色 6 4" xfId="1554"/>
    <cellStyle name="60% - 强调文字颜色 6 4 2" xfId="7319"/>
    <cellStyle name="60% - 强调文字颜色 6 4 2 2" xfId="9075"/>
    <cellStyle name="60% - 强调文字颜色 6 5" xfId="1555"/>
    <cellStyle name="60% - 强调文字颜色 6 5 2" xfId="7320"/>
    <cellStyle name="60% - 强调文字颜色 6 5 2 2" xfId="9076"/>
    <cellStyle name="60% - 强调文字颜色 6 6" xfId="1556"/>
    <cellStyle name="60% - 强调文字颜色 6 7" xfId="1557"/>
    <cellStyle name="60% - 强调文字颜色 6 8" xfId="1558"/>
    <cellStyle name="60% - 强调文字颜色 6 8 2" xfId="7321"/>
    <cellStyle name="60% - 强调文字颜色 6 8 2 2" xfId="9077"/>
    <cellStyle name="60% - 强调文字颜色 6 9" xfId="1559"/>
    <cellStyle name="60% - 輔色1" xfId="1560"/>
    <cellStyle name="60% - 輔色1 2" xfId="1561"/>
    <cellStyle name="60% - 輔色1 3" xfId="1562"/>
    <cellStyle name="60% - 輔色1 4" xfId="1563"/>
    <cellStyle name="60% - 輔色1 5" xfId="1564"/>
    <cellStyle name="60% - 輔色1 6" xfId="1565"/>
    <cellStyle name="60% - 輔色1 6 2" xfId="7322"/>
    <cellStyle name="60% - 輔色1 6 2 2" xfId="9078"/>
    <cellStyle name="60% - 輔色1 7" xfId="1566"/>
    <cellStyle name="60% - 輔色1 8" xfId="4702"/>
    <cellStyle name="60% - 輔色1 9" xfId="5459"/>
    <cellStyle name="60% - 輔色1 9 2" xfId="7558"/>
    <cellStyle name="60% - 輔色1 9 2 2" xfId="9319"/>
    <cellStyle name="60% - 輔色2" xfId="1567"/>
    <cellStyle name="60% - 輔色2 2" xfId="1568"/>
    <cellStyle name="60% - 輔色2 3" xfId="1569"/>
    <cellStyle name="60% - 輔色2 4" xfId="1570"/>
    <cellStyle name="60% - 輔色2 5" xfId="1571"/>
    <cellStyle name="60% - 輔色2 6" xfId="1572"/>
    <cellStyle name="60% - 輔色2 6 2" xfId="7323"/>
    <cellStyle name="60% - 輔色2 6 2 2" xfId="9079"/>
    <cellStyle name="60% - 輔色2 7" xfId="1573"/>
    <cellStyle name="60% - 輔色2 8" xfId="4697"/>
    <cellStyle name="60% - 輔色2 9" xfId="5460"/>
    <cellStyle name="60% - 輔色2 9 2" xfId="7559"/>
    <cellStyle name="60% - 輔色2 9 2 2" xfId="9320"/>
    <cellStyle name="60% - 輔色3" xfId="1574"/>
    <cellStyle name="60% - 輔色3 2" xfId="1575"/>
    <cellStyle name="60% - 輔色3 3" xfId="1576"/>
    <cellStyle name="60% - 輔色3 4" xfId="1577"/>
    <cellStyle name="60% - 輔色3 5" xfId="1578"/>
    <cellStyle name="60% - 輔色3 6" xfId="1579"/>
    <cellStyle name="60% - 輔色3 6 2" xfId="7324"/>
    <cellStyle name="60% - 輔色3 6 2 2" xfId="9080"/>
    <cellStyle name="60% - 輔色3 7" xfId="1580"/>
    <cellStyle name="60% - 輔色3 8" xfId="4693"/>
    <cellStyle name="60% - 輔色3 9" xfId="5461"/>
    <cellStyle name="60% - 輔色3 9 2" xfId="7560"/>
    <cellStyle name="60% - 輔色3 9 2 2" xfId="9321"/>
    <cellStyle name="60% - 輔色4" xfId="1581"/>
    <cellStyle name="60% - 輔色4 2" xfId="1582"/>
    <cellStyle name="60% - 輔色4 3" xfId="1583"/>
    <cellStyle name="60% - 輔色4 4" xfId="1584"/>
    <cellStyle name="60% - 輔色4 5" xfId="1585"/>
    <cellStyle name="60% - 輔色4 6" xfId="1586"/>
    <cellStyle name="60% - 輔色4 6 2" xfId="7325"/>
    <cellStyle name="60% - 輔色4 6 2 2" xfId="9081"/>
    <cellStyle name="60% - 輔色4 7" xfId="1587"/>
    <cellStyle name="60% - 輔色4 8" xfId="4689"/>
    <cellStyle name="60% - 輔色4 9" xfId="5462"/>
    <cellStyle name="60% - 輔色4 9 2" xfId="7561"/>
    <cellStyle name="60% - 輔色4 9 2 2" xfId="9322"/>
    <cellStyle name="60% - 輔色5" xfId="1588"/>
    <cellStyle name="60% - 輔色5 2" xfId="1589"/>
    <cellStyle name="60% - 輔色5 3" xfId="1590"/>
    <cellStyle name="60% - 輔色5 4" xfId="1591"/>
    <cellStyle name="60% - 輔色5 5" xfId="1592"/>
    <cellStyle name="60% - 輔色5 6" xfId="1593"/>
    <cellStyle name="60% - 輔色5 6 2" xfId="7326"/>
    <cellStyle name="60% - 輔色5 6 2 2" xfId="9082"/>
    <cellStyle name="60% - 輔色5 7" xfId="1594"/>
    <cellStyle name="60% - 輔色5 8" xfId="4685"/>
    <cellStyle name="60% - 輔色5 9" xfId="5463"/>
    <cellStyle name="60% - 輔色5 9 2" xfId="7562"/>
    <cellStyle name="60% - 輔色5 9 2 2" xfId="9323"/>
    <cellStyle name="60% - 輔色6" xfId="1595"/>
    <cellStyle name="60% - 輔色6 2" xfId="1596"/>
    <cellStyle name="60% - 輔色6 3" xfId="1597"/>
    <cellStyle name="60% - 輔色6 4" xfId="1598"/>
    <cellStyle name="60% - 輔色6 5" xfId="1599"/>
    <cellStyle name="60% - 輔色6 6" xfId="1600"/>
    <cellStyle name="60% - 輔色6 6 2" xfId="7327"/>
    <cellStyle name="60% - 輔色6 6 2 2" xfId="9083"/>
    <cellStyle name="60% - 輔色6 7" xfId="1601"/>
    <cellStyle name="60% - 輔色6 8" xfId="4683"/>
    <cellStyle name="60% - 輔色6 9" xfId="5464"/>
    <cellStyle name="60% - 輔色6 9 2" xfId="7563"/>
    <cellStyle name="60% - 輔色6 9 2 2" xfId="9324"/>
    <cellStyle name="Accent1" xfId="17" builtinId="29" customBuiltin="1"/>
    <cellStyle name="Accent1 2" xfId="1602"/>
    <cellStyle name="Accent1 3" xfId="1603"/>
    <cellStyle name="Accent1 4" xfId="1604"/>
    <cellStyle name="Accent1 4 10" xfId="1605"/>
    <cellStyle name="Accent1 4 11" xfId="1606"/>
    <cellStyle name="Accent1 4 12" xfId="1607"/>
    <cellStyle name="Accent1 4 2" xfId="1608"/>
    <cellStyle name="Accent1 4 3" xfId="1609"/>
    <cellStyle name="Accent1 4 3 2" xfId="1610"/>
    <cellStyle name="Accent1 4 4" xfId="1611"/>
    <cellStyle name="Accent1 4 5" xfId="1612"/>
    <cellStyle name="Accent1 4 6" xfId="1613"/>
    <cellStyle name="Accent1 4 7" xfId="1614"/>
    <cellStyle name="Accent1 4 8" xfId="1615"/>
    <cellStyle name="Accent1 4 9" xfId="1616"/>
    <cellStyle name="Accent1 5" xfId="4628"/>
    <cellStyle name="Accent1 5 2" xfId="7430"/>
    <cellStyle name="Accent1 5 2 2" xfId="9186"/>
    <cellStyle name="Accent1 6" xfId="4749"/>
    <cellStyle name="Accent2" xfId="21" builtinId="33" customBuiltin="1"/>
    <cellStyle name="Accent2 2" xfId="1617"/>
    <cellStyle name="Accent2 3" xfId="1618"/>
    <cellStyle name="Accent2 4" xfId="1619"/>
    <cellStyle name="Accent2 4 10" xfId="1620"/>
    <cellStyle name="Accent2 4 11" xfId="1621"/>
    <cellStyle name="Accent2 4 12" xfId="1622"/>
    <cellStyle name="Accent2 4 2" xfId="1623"/>
    <cellStyle name="Accent2 4 3" xfId="1624"/>
    <cellStyle name="Accent2 4 3 2" xfId="1625"/>
    <cellStyle name="Accent2 4 4" xfId="1626"/>
    <cellStyle name="Accent2 4 5" xfId="1627"/>
    <cellStyle name="Accent2 4 6" xfId="1628"/>
    <cellStyle name="Accent2 4 7" xfId="1629"/>
    <cellStyle name="Accent2 4 8" xfId="1630"/>
    <cellStyle name="Accent2 4 9" xfId="1631"/>
    <cellStyle name="Accent2 5" xfId="4638"/>
    <cellStyle name="Accent2 5 2" xfId="7440"/>
    <cellStyle name="Accent2 5 2 2" xfId="9196"/>
    <cellStyle name="Accent2 6" xfId="4747"/>
    <cellStyle name="Accent3" xfId="25" builtinId="37" customBuiltin="1"/>
    <cellStyle name="Accent3 2" xfId="1632"/>
    <cellStyle name="Accent3 3" xfId="1633"/>
    <cellStyle name="Accent3 4" xfId="1634"/>
    <cellStyle name="Accent3 4 10" xfId="1635"/>
    <cellStyle name="Accent3 4 11" xfId="1636"/>
    <cellStyle name="Accent3 4 12" xfId="1637"/>
    <cellStyle name="Accent3 4 2" xfId="1638"/>
    <cellStyle name="Accent3 4 3" xfId="1639"/>
    <cellStyle name="Accent3 4 3 2" xfId="1640"/>
    <cellStyle name="Accent3 4 4" xfId="1641"/>
    <cellStyle name="Accent3 4 5" xfId="1642"/>
    <cellStyle name="Accent3 4 6" xfId="1643"/>
    <cellStyle name="Accent3 4 7" xfId="1644"/>
    <cellStyle name="Accent3 4 8" xfId="1645"/>
    <cellStyle name="Accent3 4 9" xfId="1646"/>
    <cellStyle name="Accent3 5" xfId="4643"/>
    <cellStyle name="Accent3 5 2" xfId="7444"/>
    <cellStyle name="Accent3 5 2 2" xfId="9200"/>
    <cellStyle name="Accent3 6" xfId="4744"/>
    <cellStyle name="Accent4" xfId="29" builtinId="41" customBuiltin="1"/>
    <cellStyle name="Accent4 2" xfId="1647"/>
    <cellStyle name="Accent4 3" xfId="1648"/>
    <cellStyle name="Accent4 4" xfId="1649"/>
    <cellStyle name="Accent4 4 10" xfId="1650"/>
    <cellStyle name="Accent4 4 11" xfId="1651"/>
    <cellStyle name="Accent4 4 12" xfId="1652"/>
    <cellStyle name="Accent4 4 2" xfId="1653"/>
    <cellStyle name="Accent4 4 3" xfId="1654"/>
    <cellStyle name="Accent4 4 3 2" xfId="1655"/>
    <cellStyle name="Accent4 4 4" xfId="1656"/>
    <cellStyle name="Accent4 4 5" xfId="1657"/>
    <cellStyle name="Accent4 4 6" xfId="1658"/>
    <cellStyle name="Accent4 4 7" xfId="1659"/>
    <cellStyle name="Accent4 4 8" xfId="1660"/>
    <cellStyle name="Accent4 4 9" xfId="1661"/>
    <cellStyle name="Accent4 5" xfId="4625"/>
    <cellStyle name="Accent4 5 2" xfId="7427"/>
    <cellStyle name="Accent4 5 2 2" xfId="9183"/>
    <cellStyle name="Accent4 6" xfId="4743"/>
    <cellStyle name="Accent5" xfId="33" builtinId="45" customBuiltin="1"/>
    <cellStyle name="Accent5 2" xfId="1662"/>
    <cellStyle name="Accent5 3" xfId="1663"/>
    <cellStyle name="Accent5 4" xfId="1664"/>
    <cellStyle name="Accent5 4 10" xfId="1665"/>
    <cellStyle name="Accent5 4 11" xfId="1666"/>
    <cellStyle name="Accent5 4 12" xfId="1667"/>
    <cellStyle name="Accent5 4 2" xfId="1668"/>
    <cellStyle name="Accent5 4 3" xfId="1669"/>
    <cellStyle name="Accent5 4 3 2" xfId="1670"/>
    <cellStyle name="Accent5 4 4" xfId="1671"/>
    <cellStyle name="Accent5 4 5" xfId="1672"/>
    <cellStyle name="Accent5 4 6" xfId="1673"/>
    <cellStyle name="Accent5 4 7" xfId="1674"/>
    <cellStyle name="Accent5 4 8" xfId="1675"/>
    <cellStyle name="Accent5 4 9" xfId="1676"/>
    <cellStyle name="Accent5 5" xfId="4634"/>
    <cellStyle name="Accent5 5 2" xfId="7436"/>
    <cellStyle name="Accent5 5 2 2" xfId="9192"/>
    <cellStyle name="Accent5 6" xfId="4741"/>
    <cellStyle name="Accent6" xfId="37" builtinId="49" customBuiltin="1"/>
    <cellStyle name="Accent6 2" xfId="1677"/>
    <cellStyle name="Accent6 3" xfId="1678"/>
    <cellStyle name="Accent6 4" xfId="1679"/>
    <cellStyle name="Accent6 4 10" xfId="1680"/>
    <cellStyle name="Accent6 4 11" xfId="1681"/>
    <cellStyle name="Accent6 4 12" xfId="1682"/>
    <cellStyle name="Accent6 4 2" xfId="1683"/>
    <cellStyle name="Accent6 4 3" xfId="1684"/>
    <cellStyle name="Accent6 4 3 2" xfId="1685"/>
    <cellStyle name="Accent6 4 4" xfId="1686"/>
    <cellStyle name="Accent6 4 5" xfId="1687"/>
    <cellStyle name="Accent6 4 6" xfId="1688"/>
    <cellStyle name="Accent6 4 7" xfId="1689"/>
    <cellStyle name="Accent6 4 8" xfId="1690"/>
    <cellStyle name="Accent6 4 9" xfId="1691"/>
    <cellStyle name="Accent6 5" xfId="4630"/>
    <cellStyle name="Accent6 5 2" xfId="7432"/>
    <cellStyle name="Accent6 5 2 2" xfId="9188"/>
    <cellStyle name="Accent6 6" xfId="4740"/>
    <cellStyle name="Akzent1" xfId="1692"/>
    <cellStyle name="Akzent2" xfId="1693"/>
    <cellStyle name="Akzent3" xfId="1694"/>
    <cellStyle name="Akzent4" xfId="1695"/>
    <cellStyle name="Akzent5" xfId="1696"/>
    <cellStyle name="Akzent6" xfId="1697"/>
    <cellStyle name="Ausgabe" xfId="1698"/>
    <cellStyle name="Ausgabe 2" xfId="5161"/>
    <cellStyle name="Ausgabe 2 2" xfId="6137"/>
    <cellStyle name="Ausgabe 2 2 2" xfId="6436"/>
    <cellStyle name="Ausgabe 2 2 2 2" xfId="7239"/>
    <cellStyle name="Ausgabe 2 2 2 2 2" xfId="10044"/>
    <cellStyle name="Ausgabe 2 2 2 2 2 2" xfId="14892"/>
    <cellStyle name="Ausgabe 2 2 2 2 2 2 2" xfId="19136"/>
    <cellStyle name="Ausgabe 2 2 2 2 3" xfId="10362"/>
    <cellStyle name="Ausgabe 2 2 2 2 3 2" xfId="10612"/>
    <cellStyle name="Ausgabe 2 2 2 2 3 2 2" xfId="15339"/>
    <cellStyle name="Ausgabe 2 2 2 2 3 2 2 2" xfId="15542"/>
    <cellStyle name="Ausgabe 2 2 2 2 3 3" xfId="15139"/>
    <cellStyle name="Ausgabe 2 2 2 2 3 3 2" xfId="15429"/>
    <cellStyle name="Ausgabe 2 2 2 2 4" xfId="12923"/>
    <cellStyle name="Ausgabe 2 2 2 2 4 2" xfId="19962"/>
    <cellStyle name="Ausgabe 2 2 2 3" xfId="8851"/>
    <cellStyle name="Ausgabe 2 2 2 3 2" xfId="14093"/>
    <cellStyle name="Ausgabe 2 2 2 3 2 2" xfId="18858"/>
    <cellStyle name="Ausgabe 2 2 2 4" xfId="11849"/>
    <cellStyle name="Ausgabe 2 2 2 4 2" xfId="17222"/>
    <cellStyle name="Ausgabe 2 2 3" xfId="8608"/>
    <cellStyle name="Ausgabe 2 2 3 2" xfId="13873"/>
    <cellStyle name="Ausgabe 2 2 3 2 2" xfId="16421"/>
    <cellStyle name="Ausgabe 2 2 4" xfId="11600"/>
    <cellStyle name="Ausgabe 2 2 4 2" xfId="19420"/>
    <cellStyle name="Ausgabe 2 3" xfId="6347"/>
    <cellStyle name="Ausgabe 2 3 2" xfId="7150"/>
    <cellStyle name="Ausgabe 2 3 2 2" xfId="9955"/>
    <cellStyle name="Ausgabe 2 3 2 2 2" xfId="14821"/>
    <cellStyle name="Ausgabe 2 3 2 2 2 2" xfId="18828"/>
    <cellStyle name="Ausgabe 2 3 2 3" xfId="10273"/>
    <cellStyle name="Ausgabe 2 3 2 3 2" xfId="10523"/>
    <cellStyle name="Ausgabe 2 3 2 3 2 2" xfId="15250"/>
    <cellStyle name="Ausgabe 2 3 2 3 2 2 2" xfId="15611"/>
    <cellStyle name="Ausgabe 2 3 2 3 3" xfId="15050"/>
    <cellStyle name="Ausgabe 2 3 2 3 3 2" xfId="15437"/>
    <cellStyle name="Ausgabe 2 3 2 4" xfId="12834"/>
    <cellStyle name="Ausgabe 2 3 2 4 2" xfId="19980"/>
    <cellStyle name="Ausgabe 2 3 3" xfId="8762"/>
    <cellStyle name="Ausgabe 2 3 3 2" xfId="14020"/>
    <cellStyle name="Ausgabe 2 3 3 2 2" xfId="18793"/>
    <cellStyle name="Ausgabe 2 3 4" xfId="11760"/>
    <cellStyle name="Ausgabe 2 3 4 2" xfId="19734"/>
    <cellStyle name="Ausgabe 2 4" xfId="8136"/>
    <cellStyle name="Ausgabe 2 4 2" xfId="13401"/>
    <cellStyle name="Ausgabe 2 4 2 2" xfId="18704"/>
    <cellStyle name="Ausgabe 2 5" xfId="11019"/>
    <cellStyle name="Ausgabe 2 5 2" xfId="17497"/>
    <cellStyle name="Ausgabe 3" xfId="5824"/>
    <cellStyle name="Ausgabe 3 2" xfId="6382"/>
    <cellStyle name="Ausgabe 3 2 2" xfId="7185"/>
    <cellStyle name="Ausgabe 3 2 2 2" xfId="9990"/>
    <cellStyle name="Ausgabe 3 2 2 2 2" xfId="14847"/>
    <cellStyle name="Ausgabe 3 2 2 2 2 2" xfId="18826"/>
    <cellStyle name="Ausgabe 3 2 2 3" xfId="10308"/>
    <cellStyle name="Ausgabe 3 2 2 3 2" xfId="10558"/>
    <cellStyle name="Ausgabe 3 2 2 3 2 2" xfId="15285"/>
    <cellStyle name="Ausgabe 3 2 2 3 2 2 2" xfId="15383"/>
    <cellStyle name="Ausgabe 3 2 2 3 3" xfId="15085"/>
    <cellStyle name="Ausgabe 3 2 2 3 3 2" xfId="15716"/>
    <cellStyle name="Ausgabe 3 2 2 4" xfId="12869"/>
    <cellStyle name="Ausgabe 3 2 2 4 2" xfId="19518"/>
    <cellStyle name="Ausgabe 3 2 3" xfId="8797"/>
    <cellStyle name="Ausgabe 3 2 3 2" xfId="14047"/>
    <cellStyle name="Ausgabe 3 2 3 2 2" xfId="18360"/>
    <cellStyle name="Ausgabe 3 2 4" xfId="11795"/>
    <cellStyle name="Ausgabe 3 2 4 2" xfId="19048"/>
    <cellStyle name="Ausgabe 3 3" xfId="8359"/>
    <cellStyle name="Ausgabe 3 3 2" xfId="13624"/>
    <cellStyle name="Ausgabe 3 3 2 2" xfId="16569"/>
    <cellStyle name="Ausgabe 3 4" xfId="11287"/>
    <cellStyle name="Ausgabe 3 4 2" xfId="17295"/>
    <cellStyle name="Ausgabe 4" xfId="6292"/>
    <cellStyle name="Ausgabe 4 2" xfId="7095"/>
    <cellStyle name="Ausgabe 4 2 2" xfId="9900"/>
    <cellStyle name="Ausgabe 4 2 2 2" xfId="14773"/>
    <cellStyle name="Ausgabe 4 2 2 2 2" xfId="18232"/>
    <cellStyle name="Ausgabe 4 2 3" xfId="10218"/>
    <cellStyle name="Ausgabe 4 2 3 2" xfId="10468"/>
    <cellStyle name="Ausgabe 4 2 3 2 2" xfId="15195"/>
    <cellStyle name="Ausgabe 4 2 3 2 2 2" xfId="15649"/>
    <cellStyle name="Ausgabe 4 2 3 3" xfId="14995"/>
    <cellStyle name="Ausgabe 4 2 3 3 2" xfId="17827"/>
    <cellStyle name="Ausgabe 4 2 4" xfId="12779"/>
    <cellStyle name="Ausgabe 4 2 4 2" xfId="20031"/>
    <cellStyle name="Ausgabe 4 3" xfId="8707"/>
    <cellStyle name="Ausgabe 4 3 2" xfId="13972"/>
    <cellStyle name="Ausgabe 4 3 2 2" xfId="16350"/>
    <cellStyle name="Ausgabe 4 4" xfId="11705"/>
    <cellStyle name="Ausgabe 4 4 2" xfId="18990"/>
    <cellStyle name="Ausgabe 5" xfId="7854"/>
    <cellStyle name="Ausgabe 5 2" xfId="13123"/>
    <cellStyle name="Ausgabe 5 2 2" xfId="17999"/>
    <cellStyle name="Ausgabe 6" xfId="10671"/>
    <cellStyle name="Ausgabe 6 2" xfId="15534"/>
    <cellStyle name="Bad" xfId="7" builtinId="27" customBuiltin="1"/>
    <cellStyle name="Bad 2" xfId="1699"/>
    <cellStyle name="Bad 3" xfId="1700"/>
    <cellStyle name="Bad 4" xfId="1701"/>
    <cellStyle name="Bad 4 10" xfId="1702"/>
    <cellStyle name="Bad 4 11" xfId="1703"/>
    <cellStyle name="Bad 4 12" xfId="1704"/>
    <cellStyle name="Bad 4 2" xfId="1705"/>
    <cellStyle name="Bad 4 3" xfId="1706"/>
    <cellStyle name="Bad 4 3 2" xfId="1707"/>
    <cellStyle name="Bad 4 4" xfId="1708"/>
    <cellStyle name="Bad 4 5" xfId="1709"/>
    <cellStyle name="Bad 4 6" xfId="1710"/>
    <cellStyle name="Bad 4 7" xfId="1711"/>
    <cellStyle name="Bad 4 8" xfId="1712"/>
    <cellStyle name="Bad 4 9" xfId="1713"/>
    <cellStyle name="Bad 5" xfId="4640"/>
    <cellStyle name="Bad 5 2" xfId="7442"/>
    <cellStyle name="Bad 5 2 2" xfId="9198"/>
    <cellStyle name="Bad 6" xfId="4706"/>
    <cellStyle name="Berechnung" xfId="1714"/>
    <cellStyle name="Berechnung 2" xfId="5247"/>
    <cellStyle name="Berechnung 2 2" xfId="6223"/>
    <cellStyle name="Berechnung 2 2 2" xfId="6940"/>
    <cellStyle name="Berechnung 2 2 2 2" xfId="9793"/>
    <cellStyle name="Berechnung 2 2 2 2 2" xfId="14678"/>
    <cellStyle name="Berechnung 2 2 2 2 2 2" xfId="18344"/>
    <cellStyle name="Berechnung 2 2 2 3" xfId="12624"/>
    <cellStyle name="Berechnung 2 2 2 3 2" xfId="18036"/>
    <cellStyle name="Berechnung 2 2 3" xfId="8688"/>
    <cellStyle name="Berechnung 2 2 3 2" xfId="13953"/>
    <cellStyle name="Berechnung 2 2 3 2 2" xfId="16363"/>
    <cellStyle name="Berechnung 2 2 4" xfId="11686"/>
    <cellStyle name="Berechnung 2 2 4 2" xfId="19182"/>
    <cellStyle name="Berechnung 2 3" xfId="6652"/>
    <cellStyle name="Berechnung 2 3 2" xfId="9601"/>
    <cellStyle name="Berechnung 2 3 2 2" xfId="14501"/>
    <cellStyle name="Berechnung 2 3 2 2 2" xfId="18137"/>
    <cellStyle name="Berechnung 2 3 3" xfId="12337"/>
    <cellStyle name="Berechnung 2 3 3 2" xfId="16915"/>
    <cellStyle name="Berechnung 2 4" xfId="8216"/>
    <cellStyle name="Berechnung 2 4 2" xfId="13481"/>
    <cellStyle name="Berechnung 2 4 2 2" xfId="18761"/>
    <cellStyle name="Berechnung 2 5" xfId="11105"/>
    <cellStyle name="Berechnung 2 5 2" xfId="17427"/>
    <cellStyle name="Berechnung 3" xfId="5823"/>
    <cellStyle name="Berechnung 3 2" xfId="6641"/>
    <cellStyle name="Berechnung 3 2 2" xfId="9590"/>
    <cellStyle name="Berechnung 3 2 2 2" xfId="14490"/>
    <cellStyle name="Berechnung 3 2 2 2 2" xfId="18450"/>
    <cellStyle name="Berechnung 3 2 3" xfId="12326"/>
    <cellStyle name="Berechnung 3 2 3 2" xfId="18506"/>
    <cellStyle name="Berechnung 3 3" xfId="8358"/>
    <cellStyle name="Berechnung 3 3 2" xfId="13623"/>
    <cellStyle name="Berechnung 3 3 2 2" xfId="17771"/>
    <cellStyle name="Berechnung 3 4" xfId="11286"/>
    <cellStyle name="Berechnung 3 4 2" xfId="17296"/>
    <cellStyle name="Berechnung 4" xfId="6522"/>
    <cellStyle name="Berechnung 4 2" xfId="9488"/>
    <cellStyle name="Berechnung 4 2 2" xfId="14390"/>
    <cellStyle name="Berechnung 4 2 2 2" xfId="16122"/>
    <cellStyle name="Berechnung 4 3" xfId="12207"/>
    <cellStyle name="Berechnung 4 3 2" xfId="18035"/>
    <cellStyle name="Berechnung 5" xfId="7855"/>
    <cellStyle name="Berechnung 5 2" xfId="13124"/>
    <cellStyle name="Berechnung 5 2 2" xfId="16830"/>
    <cellStyle name="Berechnung 6" xfId="10672"/>
    <cellStyle name="Berechnung 6 2" xfId="18931"/>
    <cellStyle name="Calculation" xfId="11" builtinId="22" customBuiltin="1"/>
    <cellStyle name="Calculation 2" xfId="1715"/>
    <cellStyle name="Calculation 2 2" xfId="5246"/>
    <cellStyle name="Calculation 2 2 2" xfId="6222"/>
    <cellStyle name="Calculation 2 2 2 2" xfId="6865"/>
    <cellStyle name="Calculation 2 2 2 2 2" xfId="9740"/>
    <cellStyle name="Calculation 2 2 2 2 2 2" xfId="14628"/>
    <cellStyle name="Calculation 2 2 2 2 2 2 2" xfId="15967"/>
    <cellStyle name="Calculation 2 2 2 2 3" xfId="12549"/>
    <cellStyle name="Calculation 2 2 2 2 3 2" xfId="19491"/>
    <cellStyle name="Calculation 2 2 2 3" xfId="8687"/>
    <cellStyle name="Calculation 2 2 2 3 2" xfId="13952"/>
    <cellStyle name="Calculation 2 2 2 3 2 2" xfId="16364"/>
    <cellStyle name="Calculation 2 2 2 4" xfId="11685"/>
    <cellStyle name="Calculation 2 2 2 4 2" xfId="19803"/>
    <cellStyle name="Calculation 2 2 3" xfId="7683"/>
    <cellStyle name="Calculation 2 2 3 2" xfId="10077"/>
    <cellStyle name="Calculation 2 2 3 2 2" xfId="14921"/>
    <cellStyle name="Calculation 2 2 3 2 2 2" xfId="19135"/>
    <cellStyle name="Calculation 2 2 3 3" xfId="12960"/>
    <cellStyle name="Calculation 2 2 3 3 2" xfId="19701"/>
    <cellStyle name="Calculation 2 2 4" xfId="8215"/>
    <cellStyle name="Calculation 2 2 4 2" xfId="13480"/>
    <cellStyle name="Calculation 2 2 4 2 2" xfId="18942"/>
    <cellStyle name="Calculation 2 2 5" xfId="11104"/>
    <cellStyle name="Calculation 2 2 5 2" xfId="17428"/>
    <cellStyle name="Calculation 2 3" xfId="5822"/>
    <cellStyle name="Calculation 2 3 2" xfId="6642"/>
    <cellStyle name="Calculation 2 3 2 2" xfId="9591"/>
    <cellStyle name="Calculation 2 3 2 2 2" xfId="14491"/>
    <cellStyle name="Calculation 2 3 2 2 2 2" xfId="18138"/>
    <cellStyle name="Calculation 2 3 2 3" xfId="12327"/>
    <cellStyle name="Calculation 2 3 2 3 2" xfId="18194"/>
    <cellStyle name="Calculation 2 3 3" xfId="8357"/>
    <cellStyle name="Calculation 2 3 3 2" xfId="13622"/>
    <cellStyle name="Calculation 2 3 3 2 2" xfId="18184"/>
    <cellStyle name="Calculation 2 3 4" xfId="11285"/>
    <cellStyle name="Calculation 2 3 4 2" xfId="17297"/>
    <cellStyle name="Calculation 2 4" xfId="6608"/>
    <cellStyle name="Calculation 2 4 2" xfId="9560"/>
    <cellStyle name="Calculation 2 4 2 2" xfId="14461"/>
    <cellStyle name="Calculation 2 4 2 2 2" xfId="15471"/>
    <cellStyle name="Calculation 2 4 3" xfId="12293"/>
    <cellStyle name="Calculation 2 4 3 2" xfId="17897"/>
    <cellStyle name="Calculation 2 5" xfId="7856"/>
    <cellStyle name="Calculation 2 5 2" xfId="13125"/>
    <cellStyle name="Calculation 2 5 2 2" xfId="16829"/>
    <cellStyle name="Calculation 2 6" xfId="10673"/>
    <cellStyle name="Calculation 2 6 2" xfId="18750"/>
    <cellStyle name="Calculation 3" xfId="1716"/>
    <cellStyle name="Calculation 3 2" xfId="5245"/>
    <cellStyle name="Calculation 3 2 2" xfId="6221"/>
    <cellStyle name="Calculation 3 2 2 2" xfId="7714"/>
    <cellStyle name="Calculation 3 2 2 2 2" xfId="10104"/>
    <cellStyle name="Calculation 3 2 2 2 2 2" xfId="14946"/>
    <cellStyle name="Calculation 3 2 2 2 2 2 2" xfId="17822"/>
    <cellStyle name="Calculation 3 2 2 2 3" xfId="12991"/>
    <cellStyle name="Calculation 3 2 2 2 3 2" xfId="19229"/>
    <cellStyle name="Calculation 3 2 2 3" xfId="8686"/>
    <cellStyle name="Calculation 3 2 2 3 2" xfId="13951"/>
    <cellStyle name="Calculation 3 2 2 3 2 2" xfId="16365"/>
    <cellStyle name="Calculation 3 2 2 4" xfId="11684"/>
    <cellStyle name="Calculation 3 2 2 4 2" xfId="19498"/>
    <cellStyle name="Calculation 3 2 3" xfId="6653"/>
    <cellStyle name="Calculation 3 2 3 2" xfId="9602"/>
    <cellStyle name="Calculation 3 2 3 2 2" xfId="14502"/>
    <cellStyle name="Calculation 3 2 3 2 2 2" xfId="17817"/>
    <cellStyle name="Calculation 3 2 3 3" xfId="12338"/>
    <cellStyle name="Calculation 3 2 3 3 2" xfId="18505"/>
    <cellStyle name="Calculation 3 2 4" xfId="8214"/>
    <cellStyle name="Calculation 3 2 4 2" xfId="13479"/>
    <cellStyle name="Calculation 3 2 4 2 2" xfId="16641"/>
    <cellStyle name="Calculation 3 2 5" xfId="11103"/>
    <cellStyle name="Calculation 3 2 5 2" xfId="17429"/>
    <cellStyle name="Calculation 3 3" xfId="5821"/>
    <cellStyle name="Calculation 3 3 2" xfId="6920"/>
    <cellStyle name="Calculation 3 3 2 2" xfId="9779"/>
    <cellStyle name="Calculation 3 3 2 2 2" xfId="14665"/>
    <cellStyle name="Calculation 3 3 2 2 2 2" xfId="15940"/>
    <cellStyle name="Calculation 3 3 2 3" xfId="12604"/>
    <cellStyle name="Calculation 3 3 2 3 2" xfId="19658"/>
    <cellStyle name="Calculation 3 3 3" xfId="8356"/>
    <cellStyle name="Calculation 3 3 3 2" xfId="13621"/>
    <cellStyle name="Calculation 3 3 3 2 2" xfId="18496"/>
    <cellStyle name="Calculation 3 3 4" xfId="11284"/>
    <cellStyle name="Calculation 3 3 4 2" xfId="17298"/>
    <cellStyle name="Calculation 3 4" xfId="6844"/>
    <cellStyle name="Calculation 3 4 2" xfId="9724"/>
    <cellStyle name="Calculation 3 4 2 2" xfId="14615"/>
    <cellStyle name="Calculation 3 4 2 2 2" xfId="15384"/>
    <cellStyle name="Calculation 3 4 3" xfId="12528"/>
    <cellStyle name="Calculation 3 4 3 2" xfId="19946"/>
    <cellStyle name="Calculation 3 5" xfId="7857"/>
    <cellStyle name="Calculation 3 5 2" xfId="13126"/>
    <cellStyle name="Calculation 3 5 2 2" xfId="16828"/>
    <cellStyle name="Calculation 3 6" xfId="10674"/>
    <cellStyle name="Calculation 3 6 2" xfId="18094"/>
    <cellStyle name="Calculation 4" xfId="1717"/>
    <cellStyle name="Calculation 4 10" xfId="1718"/>
    <cellStyle name="Calculation 4 10 2" xfId="5282"/>
    <cellStyle name="Calculation 4 10 2 2" xfId="6649"/>
    <cellStyle name="Calculation 4 10 2 2 2" xfId="9598"/>
    <cellStyle name="Calculation 4 10 2 2 2 2" xfId="14498"/>
    <cellStyle name="Calculation 4 10 2 2 2 2 2" xfId="15463"/>
    <cellStyle name="Calculation 4 10 2 2 3" xfId="12334"/>
    <cellStyle name="Calculation 4 10 2 2 3 2" xfId="16918"/>
    <cellStyle name="Calculation 4 10 2 3" xfId="8226"/>
    <cellStyle name="Calculation 4 10 2 3 2" xfId="13491"/>
    <cellStyle name="Calculation 4 10 2 3 2 2" xfId="18798"/>
    <cellStyle name="Calculation 4 10 2 4" xfId="11115"/>
    <cellStyle name="Calculation 4 10 2 4 2" xfId="18618"/>
    <cellStyle name="Calculation 4 10 3" xfId="5847"/>
    <cellStyle name="Calculation 4 10 3 2" xfId="6639"/>
    <cellStyle name="Calculation 4 10 3 2 2" xfId="9588"/>
    <cellStyle name="Calculation 4 10 3 2 2 2" xfId="14488"/>
    <cellStyle name="Calculation 4 10 3 2 2 2 2" xfId="16064"/>
    <cellStyle name="Calculation 4 10 3 2 3" xfId="12324"/>
    <cellStyle name="Calculation 4 10 3 2 3 2" xfId="17948"/>
    <cellStyle name="Calculation 4 10 3 3" xfId="8369"/>
    <cellStyle name="Calculation 4 10 3 3 2" xfId="13634"/>
    <cellStyle name="Calculation 4 10 3 3 2 2" xfId="16563"/>
    <cellStyle name="Calculation 4 10 3 4" xfId="11310"/>
    <cellStyle name="Calculation 4 10 3 4 2" xfId="18810"/>
    <cellStyle name="Calculation 4 10 4" xfId="7675"/>
    <cellStyle name="Calculation 4 10 4 2" xfId="10072"/>
    <cellStyle name="Calculation 4 10 4 2 2" xfId="14916"/>
    <cellStyle name="Calculation 4 10 4 2 2 2" xfId="15810"/>
    <cellStyle name="Calculation 4 10 4 3" xfId="12952"/>
    <cellStyle name="Calculation 4 10 4 3 2" xfId="19165"/>
    <cellStyle name="Calculation 4 10 5" xfId="7859"/>
    <cellStyle name="Calculation 4 10 5 2" xfId="13128"/>
    <cellStyle name="Calculation 4 10 5 2 2" xfId="16826"/>
    <cellStyle name="Calculation 4 10 6" xfId="10676"/>
    <cellStyle name="Calculation 4 10 6 2" xfId="18092"/>
    <cellStyle name="Calculation 4 11" xfId="1719"/>
    <cellStyle name="Calculation 4 11 2" xfId="5294"/>
    <cellStyle name="Calculation 4 11 2 2" xfId="7685"/>
    <cellStyle name="Calculation 4 11 2 2 2" xfId="10079"/>
    <cellStyle name="Calculation 4 11 2 2 2 2" xfId="14923"/>
    <cellStyle name="Calculation 4 11 2 2 2 2 2" xfId="18967"/>
    <cellStyle name="Calculation 4 11 2 2 3" xfId="12962"/>
    <cellStyle name="Calculation 4 11 2 2 3 2" xfId="19382"/>
    <cellStyle name="Calculation 4 11 2 3" xfId="8237"/>
    <cellStyle name="Calculation 4 11 2 3 2" xfId="13502"/>
    <cellStyle name="Calculation 4 11 2 3 2 2" xfId="18693"/>
    <cellStyle name="Calculation 4 11 2 4" xfId="11126"/>
    <cellStyle name="Calculation 4 11 2 4 2" xfId="17411"/>
    <cellStyle name="Calculation 4 11 3" xfId="5929"/>
    <cellStyle name="Calculation 4 11 3 2" xfId="6902"/>
    <cellStyle name="Calculation 4 11 3 2 2" xfId="9763"/>
    <cellStyle name="Calculation 4 11 3 2 2 2" xfId="14651"/>
    <cellStyle name="Calculation 4 11 3 2 2 2 2" xfId="15949"/>
    <cellStyle name="Calculation 4 11 3 2 3" xfId="12586"/>
    <cellStyle name="Calculation 4 11 3 2 3 2" xfId="16860"/>
    <cellStyle name="Calculation 4 11 3 3" xfId="8431"/>
    <cellStyle name="Calculation 4 11 3 3 2" xfId="13696"/>
    <cellStyle name="Calculation 4 11 3 3 2 2" xfId="15515"/>
    <cellStyle name="Calculation 4 11 3 4" xfId="11392"/>
    <cellStyle name="Calculation 4 11 3 4 2" xfId="18808"/>
    <cellStyle name="Calculation 4 11 4" xfId="6593"/>
    <cellStyle name="Calculation 4 11 4 2" xfId="9547"/>
    <cellStyle name="Calculation 4 11 4 2 2" xfId="14448"/>
    <cellStyle name="Calculation 4 11 4 2 2 2" xfId="16087"/>
    <cellStyle name="Calculation 4 11 4 3" xfId="12278"/>
    <cellStyle name="Calculation 4 11 4 3 2" xfId="17896"/>
    <cellStyle name="Calculation 4 11 5" xfId="7860"/>
    <cellStyle name="Calculation 4 11 5 2" xfId="13129"/>
    <cellStyle name="Calculation 4 11 5 2 2" xfId="16825"/>
    <cellStyle name="Calculation 4 11 6" xfId="10677"/>
    <cellStyle name="Calculation 4 11 6 2" xfId="18093"/>
    <cellStyle name="Calculation 4 12" xfId="1720"/>
    <cellStyle name="Calculation 4 12 2" xfId="5292"/>
    <cellStyle name="Calculation 4 12 2 2" xfId="6997"/>
    <cellStyle name="Calculation 4 12 2 2 2" xfId="9834"/>
    <cellStyle name="Calculation 4 12 2 2 2 2" xfId="14711"/>
    <cellStyle name="Calculation 4 12 2 2 2 2 2" xfId="15913"/>
    <cellStyle name="Calculation 4 12 2 2 3" xfId="12681"/>
    <cellStyle name="Calculation 4 12 2 2 3 2" xfId="19174"/>
    <cellStyle name="Calculation 4 12 2 3" xfId="8235"/>
    <cellStyle name="Calculation 4 12 2 3 2" xfId="13500"/>
    <cellStyle name="Calculation 4 12 2 3 2 2" xfId="16631"/>
    <cellStyle name="Calculation 4 12 2 4" xfId="11124"/>
    <cellStyle name="Calculation 4 12 2 4 2" xfId="17413"/>
    <cellStyle name="Calculation 4 12 3" xfId="5927"/>
    <cellStyle name="Calculation 4 12 3 2" xfId="6717"/>
    <cellStyle name="Calculation 4 12 3 2 2" xfId="9653"/>
    <cellStyle name="Calculation 4 12 3 2 2 2" xfId="14550"/>
    <cellStyle name="Calculation 4 12 3 2 2 2 2" xfId="16026"/>
    <cellStyle name="Calculation 4 12 3 2 3" xfId="12401"/>
    <cellStyle name="Calculation 4 12 3 2 3 2" xfId="18189"/>
    <cellStyle name="Calculation 4 12 3 3" xfId="8429"/>
    <cellStyle name="Calculation 4 12 3 3 2" xfId="13694"/>
    <cellStyle name="Calculation 4 12 3 3 2 2" xfId="16528"/>
    <cellStyle name="Calculation 4 12 3 4" xfId="11390"/>
    <cellStyle name="Calculation 4 12 3 4 2" xfId="19130"/>
    <cellStyle name="Calculation 4 12 4" xfId="6521"/>
    <cellStyle name="Calculation 4 12 4 2" xfId="9487"/>
    <cellStyle name="Calculation 4 12 4 2 2" xfId="14389"/>
    <cellStyle name="Calculation 4 12 4 2 2 2" xfId="16123"/>
    <cellStyle name="Calculation 4 12 4 3" xfId="12206"/>
    <cellStyle name="Calculation 4 12 4 3 2" xfId="16984"/>
    <cellStyle name="Calculation 4 12 5" xfId="7861"/>
    <cellStyle name="Calculation 4 12 5 2" xfId="13130"/>
    <cellStyle name="Calculation 4 12 5 2 2" xfId="16824"/>
    <cellStyle name="Calculation 4 12 6" xfId="10678"/>
    <cellStyle name="Calculation 4 12 6 2" xfId="18091"/>
    <cellStyle name="Calculation 4 13" xfId="5244"/>
    <cellStyle name="Calculation 4 13 2" xfId="6220"/>
    <cellStyle name="Calculation 4 13 2 2" xfId="6853"/>
    <cellStyle name="Calculation 4 13 2 2 2" xfId="9730"/>
    <cellStyle name="Calculation 4 13 2 2 2 2" xfId="14621"/>
    <cellStyle name="Calculation 4 13 2 2 2 2 2" xfId="15974"/>
    <cellStyle name="Calculation 4 13 2 2 3" xfId="12537"/>
    <cellStyle name="Calculation 4 13 2 2 3 2" xfId="19384"/>
    <cellStyle name="Calculation 4 13 2 3" xfId="8685"/>
    <cellStyle name="Calculation 4 13 2 3 2" xfId="13950"/>
    <cellStyle name="Calculation 4 13 2 3 2 2" xfId="16366"/>
    <cellStyle name="Calculation 4 13 2 4" xfId="11683"/>
    <cellStyle name="Calculation 4 13 2 4 2" xfId="18259"/>
    <cellStyle name="Calculation 4 13 3" xfId="6654"/>
    <cellStyle name="Calculation 4 13 3 2" xfId="9603"/>
    <cellStyle name="Calculation 4 13 3 2 2" xfId="14503"/>
    <cellStyle name="Calculation 4 13 3 2 2 2" xfId="16057"/>
    <cellStyle name="Calculation 4 13 3 3" xfId="12339"/>
    <cellStyle name="Calculation 4 13 3 3 2" xfId="18193"/>
    <cellStyle name="Calculation 4 13 4" xfId="8213"/>
    <cellStyle name="Calculation 4 13 4 2" xfId="13478"/>
    <cellStyle name="Calculation 4 13 4 2 2" xfId="16642"/>
    <cellStyle name="Calculation 4 13 5" xfId="11102"/>
    <cellStyle name="Calculation 4 13 5 2" xfId="17430"/>
    <cellStyle name="Calculation 4 14" xfId="6067"/>
    <cellStyle name="Calculation 4 14 2" xfId="6958"/>
    <cellStyle name="Calculation 4 14 2 2" xfId="9805"/>
    <cellStyle name="Calculation 4 14 2 2 2" xfId="14685"/>
    <cellStyle name="Calculation 4 14 2 2 2 2" xfId="15927"/>
    <cellStyle name="Calculation 4 14 2 3" xfId="12642"/>
    <cellStyle name="Calculation 4 14 2 3 2" xfId="19561"/>
    <cellStyle name="Calculation 4 14 3" xfId="8550"/>
    <cellStyle name="Calculation 4 14 3 2" xfId="13815"/>
    <cellStyle name="Calculation 4 14 3 2 2" xfId="18166"/>
    <cellStyle name="Calculation 4 14 4" xfId="11530"/>
    <cellStyle name="Calculation 4 14 4 2" xfId="19023"/>
    <cellStyle name="Calculation 4 15" xfId="6559"/>
    <cellStyle name="Calculation 4 15 2" xfId="9519"/>
    <cellStyle name="Calculation 4 15 2 2" xfId="14420"/>
    <cellStyle name="Calculation 4 15 2 2 2" xfId="16103"/>
    <cellStyle name="Calculation 4 15 3" xfId="12244"/>
    <cellStyle name="Calculation 4 15 3 2" xfId="16960"/>
    <cellStyle name="Calculation 4 16" xfId="7858"/>
    <cellStyle name="Calculation 4 16 2" xfId="13127"/>
    <cellStyle name="Calculation 4 16 2 2" xfId="16827"/>
    <cellStyle name="Calculation 4 17" xfId="10675"/>
    <cellStyle name="Calculation 4 17 2" xfId="18096"/>
    <cellStyle name="Calculation 4 2" xfId="1721"/>
    <cellStyle name="Calculation 4 2 2" xfId="5243"/>
    <cellStyle name="Calculation 4 2 2 2" xfId="6219"/>
    <cellStyle name="Calculation 4 2 2 2 2" xfId="7013"/>
    <cellStyle name="Calculation 4 2 2 2 2 2" xfId="9844"/>
    <cellStyle name="Calculation 4 2 2 2 2 2 2" xfId="14720"/>
    <cellStyle name="Calculation 4 2 2 2 2 2 2 2" xfId="18839"/>
    <cellStyle name="Calculation 4 2 2 2 2 3" xfId="12697"/>
    <cellStyle name="Calculation 4 2 2 2 2 3 2" xfId="19763"/>
    <cellStyle name="Calculation 4 2 2 2 3" xfId="8684"/>
    <cellStyle name="Calculation 4 2 2 2 3 2" xfId="13949"/>
    <cellStyle name="Calculation 4 2 2 2 3 2 2" xfId="16367"/>
    <cellStyle name="Calculation 4 2 2 2 4" xfId="11682"/>
    <cellStyle name="Calculation 4 2 2 2 4 2" xfId="18576"/>
    <cellStyle name="Calculation 4 2 2 3" xfId="6655"/>
    <cellStyle name="Calculation 4 2 2 3 2" xfId="9604"/>
    <cellStyle name="Calculation 4 2 2 3 2 2" xfId="14504"/>
    <cellStyle name="Calculation 4 2 2 3 2 2 2" xfId="16056"/>
    <cellStyle name="Calculation 4 2 2 3 3" xfId="12340"/>
    <cellStyle name="Calculation 4 2 2 3 3 2" xfId="17900"/>
    <cellStyle name="Calculation 4 2 2 4" xfId="8212"/>
    <cellStyle name="Calculation 4 2 2 4 2" xfId="13477"/>
    <cellStyle name="Calculation 4 2 2 4 2 2" xfId="16643"/>
    <cellStyle name="Calculation 4 2 2 5" xfId="11101"/>
    <cellStyle name="Calculation 4 2 2 5 2" xfId="17431"/>
    <cellStyle name="Calculation 4 2 3" xfId="5878"/>
    <cellStyle name="Calculation 4 2 3 2" xfId="6468"/>
    <cellStyle name="Calculation 4 2 3 2 2" xfId="9445"/>
    <cellStyle name="Calculation 4 2 3 2 2 2" xfId="14350"/>
    <cellStyle name="Calculation 4 2 3 2 2 2 2" xfId="16146"/>
    <cellStyle name="Calculation 4 2 3 2 3" xfId="12153"/>
    <cellStyle name="Calculation 4 2 3 2 3 2" xfId="17026"/>
    <cellStyle name="Calculation 4 2 3 3" xfId="8394"/>
    <cellStyle name="Calculation 4 2 3 3 2" xfId="13659"/>
    <cellStyle name="Calculation 4 2 3 3 2 2" xfId="18493"/>
    <cellStyle name="Calculation 4 2 3 4" xfId="11341"/>
    <cellStyle name="Calculation 4 2 3 4 2" xfId="19056"/>
    <cellStyle name="Calculation 4 2 4" xfId="6526"/>
    <cellStyle name="Calculation 4 2 4 2" xfId="9492"/>
    <cellStyle name="Calculation 4 2 4 2 2" xfId="14394"/>
    <cellStyle name="Calculation 4 2 4 2 2 2" xfId="18459"/>
    <cellStyle name="Calculation 4 2 4 3" xfId="12211"/>
    <cellStyle name="Calculation 4 2 4 3 2" xfId="16983"/>
    <cellStyle name="Calculation 4 2 5" xfId="7862"/>
    <cellStyle name="Calculation 4 2 5 2" xfId="13131"/>
    <cellStyle name="Calculation 4 2 5 2 2" xfId="16823"/>
    <cellStyle name="Calculation 4 2 6" xfId="10679"/>
    <cellStyle name="Calculation 4 2 6 2" xfId="18090"/>
    <cellStyle name="Calculation 4 3" xfId="1722"/>
    <cellStyle name="Calculation 4 3 2" xfId="1723"/>
    <cellStyle name="Calculation 4 3 2 2" xfId="5172"/>
    <cellStyle name="Calculation 4 3 2 2 2" xfId="6148"/>
    <cellStyle name="Calculation 4 3 2 2 2 2" xfId="6520"/>
    <cellStyle name="Calculation 4 3 2 2 2 2 2" xfId="9486"/>
    <cellStyle name="Calculation 4 3 2 2 2 2 2 2" xfId="14388"/>
    <cellStyle name="Calculation 4 3 2 2 2 2 2 2 2" xfId="16124"/>
    <cellStyle name="Calculation 4 3 2 2 2 2 3" xfId="12205"/>
    <cellStyle name="Calculation 4 3 2 2 2 2 3 2" xfId="15358"/>
    <cellStyle name="Calculation 4 3 2 2 2 3" xfId="8617"/>
    <cellStyle name="Calculation 4 3 2 2 2 3 2" xfId="13882"/>
    <cellStyle name="Calculation 4 3 2 2 2 3 2 2" xfId="18721"/>
    <cellStyle name="Calculation 4 3 2 2 2 4" xfId="11611"/>
    <cellStyle name="Calculation 4 3 2 2 2 4 2" xfId="19906"/>
    <cellStyle name="Calculation 4 3 2 2 3" xfId="6498"/>
    <cellStyle name="Calculation 4 3 2 2 3 2" xfId="9464"/>
    <cellStyle name="Calculation 4 3 2 2 3 2 2" xfId="14367"/>
    <cellStyle name="Calculation 4 3 2 2 3 2 2 2" xfId="16137"/>
    <cellStyle name="Calculation 4 3 2 2 3 3" xfId="12183"/>
    <cellStyle name="Calculation 4 3 2 2 3 3 2" xfId="17001"/>
    <cellStyle name="Calculation 4 3 2 2 4" xfId="8145"/>
    <cellStyle name="Calculation 4 3 2 2 4 2" xfId="13410"/>
    <cellStyle name="Calculation 4 3 2 2 4 2 2" xfId="18703"/>
    <cellStyle name="Calculation 4 3 2 2 5" xfId="11030"/>
    <cellStyle name="Calculation 4 3 2 2 5 2" xfId="17490"/>
    <cellStyle name="Calculation 4 3 2 3" xfId="5951"/>
    <cellStyle name="Calculation 4 3 2 3 2" xfId="6586"/>
    <cellStyle name="Calculation 4 3 2 3 2 2" xfId="9542"/>
    <cellStyle name="Calculation 4 3 2 3 2 2 2" xfId="14443"/>
    <cellStyle name="Calculation 4 3 2 3 2 2 2 2" xfId="18454"/>
    <cellStyle name="Calculation 4 3 2 3 2 3" xfId="12271"/>
    <cellStyle name="Calculation 4 3 2 3 2 3 2" xfId="17893"/>
    <cellStyle name="Calculation 4 3 2 3 3" xfId="8447"/>
    <cellStyle name="Calculation 4 3 2 3 3 2" xfId="13712"/>
    <cellStyle name="Calculation 4 3 2 3 3 2 2" xfId="16518"/>
    <cellStyle name="Calculation 4 3 2 3 4" xfId="11414"/>
    <cellStyle name="Calculation 4 3 2 3 4 2" xfId="19812"/>
    <cellStyle name="Calculation 4 3 2 4" xfId="6698"/>
    <cellStyle name="Calculation 4 3 2 4 2" xfId="9636"/>
    <cellStyle name="Calculation 4 3 2 4 2 2" xfId="14533"/>
    <cellStyle name="Calculation 4 3 2 4 2 2 2" xfId="16039"/>
    <cellStyle name="Calculation 4 3 2 4 3" xfId="12382"/>
    <cellStyle name="Calculation 4 3 2 4 3 2" xfId="17861"/>
    <cellStyle name="Calculation 4 3 2 5" xfId="7864"/>
    <cellStyle name="Calculation 4 3 2 5 2" xfId="13133"/>
    <cellStyle name="Calculation 4 3 2 5 2 2" xfId="16821"/>
    <cellStyle name="Calculation 4 3 2 6" xfId="10681"/>
    <cellStyle name="Calculation 4 3 2 6 2" xfId="18029"/>
    <cellStyle name="Calculation 4 3 3" xfId="5173"/>
    <cellStyle name="Calculation 4 3 3 2" xfId="6149"/>
    <cellStyle name="Calculation 4 3 3 2 2" xfId="6567"/>
    <cellStyle name="Calculation 4 3 3 2 2 2" xfId="9526"/>
    <cellStyle name="Calculation 4 3 3 2 2 2 2" xfId="14427"/>
    <cellStyle name="Calculation 4 3 3 2 2 2 2 2" xfId="16100"/>
    <cellStyle name="Calculation 4 3 3 2 2 3" xfId="12252"/>
    <cellStyle name="Calculation 4 3 3 2 2 3 2" xfId="16958"/>
    <cellStyle name="Calculation 4 3 3 2 3" xfId="8618"/>
    <cellStyle name="Calculation 4 3 3 2 3 2" xfId="13883"/>
    <cellStyle name="Calculation 4 3 3 2 3 2 2" xfId="17982"/>
    <cellStyle name="Calculation 4 3 3 2 4" xfId="11612"/>
    <cellStyle name="Calculation 4 3 3 2 4 2" xfId="19285"/>
    <cellStyle name="Calculation 4 3 3 3" xfId="6515"/>
    <cellStyle name="Calculation 4 3 3 3 2" xfId="9481"/>
    <cellStyle name="Calculation 4 3 3 3 2 2" xfId="14383"/>
    <cellStyle name="Calculation 4 3 3 3 2 2 2" xfId="16120"/>
    <cellStyle name="Calculation 4 3 3 3 3" xfId="12200"/>
    <cellStyle name="Calculation 4 3 3 3 3 2" xfId="16989"/>
    <cellStyle name="Calculation 4 3 3 4" xfId="8146"/>
    <cellStyle name="Calculation 4 3 3 4 2" xfId="13411"/>
    <cellStyle name="Calculation 4 3 3 4 2 2" xfId="16675"/>
    <cellStyle name="Calculation 4 3 3 5" xfId="11031"/>
    <cellStyle name="Calculation 4 3 3 5 2" xfId="17489"/>
    <cellStyle name="Calculation 4 3 4" xfId="6018"/>
    <cellStyle name="Calculation 4 3 4 2" xfId="6637"/>
    <cellStyle name="Calculation 4 3 4 2 2" xfId="9586"/>
    <cellStyle name="Calculation 4 3 4 2 2 2" xfId="14486"/>
    <cellStyle name="Calculation 4 3 4 2 2 2 2" xfId="16066"/>
    <cellStyle name="Calculation 4 3 4 2 3" xfId="12322"/>
    <cellStyle name="Calculation 4 3 4 2 3 2" xfId="17928"/>
    <cellStyle name="Calculation 4 3 4 3" xfId="8507"/>
    <cellStyle name="Calculation 4 3 4 3 2" xfId="13772"/>
    <cellStyle name="Calculation 4 3 4 3 2 2" xfId="16481"/>
    <cellStyle name="Calculation 4 3 4 4" xfId="11481"/>
    <cellStyle name="Calculation 4 3 4 4 2" xfId="19419"/>
    <cellStyle name="Calculation 4 3 5" xfId="6995"/>
    <cellStyle name="Calculation 4 3 5 2" xfId="9833"/>
    <cellStyle name="Calculation 4 3 5 2 2" xfId="14710"/>
    <cellStyle name="Calculation 4 3 5 2 2 2" xfId="15914"/>
    <cellStyle name="Calculation 4 3 5 3" xfId="12679"/>
    <cellStyle name="Calculation 4 3 5 3 2" xfId="19490"/>
    <cellStyle name="Calculation 4 3 6" xfId="7863"/>
    <cellStyle name="Calculation 4 3 6 2" xfId="13132"/>
    <cellStyle name="Calculation 4 3 6 2 2" xfId="16822"/>
    <cellStyle name="Calculation 4 3 7" xfId="10680"/>
    <cellStyle name="Calculation 4 3 7 2" xfId="18097"/>
    <cellStyle name="Calculation 4 4" xfId="1724"/>
    <cellStyle name="Calculation 4 4 2" xfId="5291"/>
    <cellStyle name="Calculation 4 4 2 2" xfId="6953"/>
    <cellStyle name="Calculation 4 4 2 2 2" xfId="9802"/>
    <cellStyle name="Calculation 4 4 2 2 2 2" xfId="14683"/>
    <cellStyle name="Calculation 4 4 2 2 2 2 2" xfId="15929"/>
    <cellStyle name="Calculation 4 4 2 2 3" xfId="12637"/>
    <cellStyle name="Calculation 4 4 2 2 3 2" xfId="19314"/>
    <cellStyle name="Calculation 4 4 2 3" xfId="8234"/>
    <cellStyle name="Calculation 4 4 2 3 2" xfId="13499"/>
    <cellStyle name="Calculation 4 4 2 3 2 2" xfId="16632"/>
    <cellStyle name="Calculation 4 4 2 4" xfId="11123"/>
    <cellStyle name="Calculation 4 4 2 4 2" xfId="17414"/>
    <cellStyle name="Calculation 4 4 3" xfId="6054"/>
    <cellStyle name="Calculation 4 4 3 2" xfId="6502"/>
    <cellStyle name="Calculation 4 4 3 2 2" xfId="9468"/>
    <cellStyle name="Calculation 4 4 3 2 2 2" xfId="14370"/>
    <cellStyle name="Calculation 4 4 3 2 2 2 2" xfId="16134"/>
    <cellStyle name="Calculation 4 4 3 2 3" xfId="12187"/>
    <cellStyle name="Calculation 4 4 3 2 3 2" xfId="18074"/>
    <cellStyle name="Calculation 4 4 3 3" xfId="8538"/>
    <cellStyle name="Calculation 4 4 3 3 2" xfId="13803"/>
    <cellStyle name="Calculation 4 4 3 3 2 2" xfId="15500"/>
    <cellStyle name="Calculation 4 4 3 4" xfId="11517"/>
    <cellStyle name="Calculation 4 4 3 4 2" xfId="19868"/>
    <cellStyle name="Calculation 4 4 4" xfId="6716"/>
    <cellStyle name="Calculation 4 4 4 2" xfId="9652"/>
    <cellStyle name="Calculation 4 4 4 2 2" xfId="14549"/>
    <cellStyle name="Calculation 4 4 4 2 2 2" xfId="16027"/>
    <cellStyle name="Calculation 4 4 4 3" xfId="12400"/>
    <cellStyle name="Calculation 4 4 4 3 2" xfId="18501"/>
    <cellStyle name="Calculation 4 4 5" xfId="7865"/>
    <cellStyle name="Calculation 4 4 5 2" xfId="13134"/>
    <cellStyle name="Calculation 4 4 5 2 2" xfId="16820"/>
    <cellStyle name="Calculation 4 4 6" xfId="10682"/>
    <cellStyle name="Calculation 4 4 6 2" xfId="18103"/>
    <cellStyle name="Calculation 4 5" xfId="1725"/>
    <cellStyle name="Calculation 4 5 2" xfId="5299"/>
    <cellStyle name="Calculation 4 5 2 2" xfId="6899"/>
    <cellStyle name="Calculation 4 5 2 2 2" xfId="9760"/>
    <cellStyle name="Calculation 4 5 2 2 2 2" xfId="14648"/>
    <cellStyle name="Calculation 4 5 2 2 2 2 2" xfId="15952"/>
    <cellStyle name="Calculation 4 5 2 2 3" xfId="12583"/>
    <cellStyle name="Calculation 4 5 2 2 3 2" xfId="18717"/>
    <cellStyle name="Calculation 4 5 2 3" xfId="8242"/>
    <cellStyle name="Calculation 4 5 2 3 2" xfId="13507"/>
    <cellStyle name="Calculation 4 5 2 3 2 2" xfId="16628"/>
    <cellStyle name="Calculation 4 5 2 4" xfId="11131"/>
    <cellStyle name="Calculation 4 5 2 4 2" xfId="17406"/>
    <cellStyle name="Calculation 4 5 3" xfId="6015"/>
    <cellStyle name="Calculation 4 5 3 2" xfId="6801"/>
    <cellStyle name="Calculation 4 5 3 2 2" xfId="9696"/>
    <cellStyle name="Calculation 4 5 3 2 2 2" xfId="14592"/>
    <cellStyle name="Calculation 4 5 3 2 2 2 2" xfId="15993"/>
    <cellStyle name="Calculation 4 5 3 2 3" xfId="12485"/>
    <cellStyle name="Calculation 4 5 3 2 3 2" xfId="19351"/>
    <cellStyle name="Calculation 4 5 3 3" xfId="8504"/>
    <cellStyle name="Calculation 4 5 3 3 2" xfId="13769"/>
    <cellStyle name="Calculation 4 5 3 3 2 2" xfId="17785"/>
    <cellStyle name="Calculation 4 5 3 4" xfId="11478"/>
    <cellStyle name="Calculation 4 5 3 4 2" xfId="19222"/>
    <cellStyle name="Calculation 4 5 4" xfId="6989"/>
    <cellStyle name="Calculation 4 5 4 2" xfId="9829"/>
    <cellStyle name="Calculation 4 5 4 2 2" xfId="14706"/>
    <cellStyle name="Calculation 4 5 4 2 2 2" xfId="15916"/>
    <cellStyle name="Calculation 4 5 4 3" xfId="12673"/>
    <cellStyle name="Calculation 4 5 4 3 2" xfId="19775"/>
    <cellStyle name="Calculation 4 5 5" xfId="7866"/>
    <cellStyle name="Calculation 4 5 5 2" xfId="13135"/>
    <cellStyle name="Calculation 4 5 5 2 2" xfId="16819"/>
    <cellStyle name="Calculation 4 5 6" xfId="10683"/>
    <cellStyle name="Calculation 4 5 6 2" xfId="18089"/>
    <cellStyle name="Calculation 4 6" xfId="1726"/>
    <cellStyle name="Calculation 4 6 2" xfId="5293"/>
    <cellStyle name="Calculation 4 6 2 2" xfId="6983"/>
    <cellStyle name="Calculation 4 6 2 2 2" xfId="9825"/>
    <cellStyle name="Calculation 4 6 2 2 2 2" xfId="14703"/>
    <cellStyle name="Calculation 4 6 2 2 2 2 2" xfId="18774"/>
    <cellStyle name="Calculation 4 6 2 2 3" xfId="12667"/>
    <cellStyle name="Calculation 4 6 2 2 3 2" xfId="19626"/>
    <cellStyle name="Calculation 4 6 2 3" xfId="8236"/>
    <cellStyle name="Calculation 4 6 2 3 2" xfId="13501"/>
    <cellStyle name="Calculation 4 6 2 3 2 2" xfId="18874"/>
    <cellStyle name="Calculation 4 6 2 4" xfId="11125"/>
    <cellStyle name="Calculation 4 6 2 4 2" xfId="17412"/>
    <cellStyle name="Calculation 4 6 3" xfId="6008"/>
    <cellStyle name="Calculation 4 6 3 2" xfId="6513"/>
    <cellStyle name="Calculation 4 6 3 2 2" xfId="9479"/>
    <cellStyle name="Calculation 4 6 3 2 2 2" xfId="14381"/>
    <cellStyle name="Calculation 4 6 3 2 2 2 2" xfId="16127"/>
    <cellStyle name="Calculation 4 6 3 2 3" xfId="12198"/>
    <cellStyle name="Calculation 4 6 3 2 3 2" xfId="16991"/>
    <cellStyle name="Calculation 4 6 3 3" xfId="8501"/>
    <cellStyle name="Calculation 4 6 3 3 2" xfId="13766"/>
    <cellStyle name="Calculation 4 6 3 3 2 2" xfId="16478"/>
    <cellStyle name="Calculation 4 6 3 4" xfId="11471"/>
    <cellStyle name="Calculation 4 6 3 4 2" xfId="19772"/>
    <cellStyle name="Calculation 4 6 4" xfId="6871"/>
    <cellStyle name="Calculation 4 6 4 2" xfId="9745"/>
    <cellStyle name="Calculation 4 6 4 2 2" xfId="14633"/>
    <cellStyle name="Calculation 4 6 4 2 2 2" xfId="15962"/>
    <cellStyle name="Calculation 4 6 4 3" xfId="12555"/>
    <cellStyle name="Calculation 4 6 4 3 2" xfId="19063"/>
    <cellStyle name="Calculation 4 6 5" xfId="7867"/>
    <cellStyle name="Calculation 4 6 5 2" xfId="13136"/>
    <cellStyle name="Calculation 4 6 5 2 2" xfId="16818"/>
    <cellStyle name="Calculation 4 6 6" xfId="10684"/>
    <cellStyle name="Calculation 4 6 6 2" xfId="18028"/>
    <cellStyle name="Calculation 4 7" xfId="1727"/>
    <cellStyle name="Calculation 4 7 2" xfId="5298"/>
    <cellStyle name="Calculation 4 7 2 2" xfId="7686"/>
    <cellStyle name="Calculation 4 7 2 2 2" xfId="10080"/>
    <cellStyle name="Calculation 4 7 2 2 2 2" xfId="14924"/>
    <cellStyle name="Calculation 4 7 2 2 2 2 2" xfId="18786"/>
    <cellStyle name="Calculation 4 7 2 2 3" xfId="12963"/>
    <cellStyle name="Calculation 4 7 2 2 3 2" xfId="19052"/>
    <cellStyle name="Calculation 4 7 2 3" xfId="8241"/>
    <cellStyle name="Calculation 4 7 2 3 2" xfId="13506"/>
    <cellStyle name="Calculation 4 7 2 3 2 2" xfId="16629"/>
    <cellStyle name="Calculation 4 7 2 4" xfId="11130"/>
    <cellStyle name="Calculation 4 7 2 4 2" xfId="17407"/>
    <cellStyle name="Calculation 4 7 3" xfId="6016"/>
    <cellStyle name="Calculation 4 7 3 2" xfId="6907"/>
    <cellStyle name="Calculation 4 7 3 2 2" xfId="9767"/>
    <cellStyle name="Calculation 4 7 3 2 2 2" xfId="14654"/>
    <cellStyle name="Calculation 4 7 3 2 2 2 2" xfId="15946"/>
    <cellStyle name="Calculation 4 7 3 2 3" xfId="12591"/>
    <cellStyle name="Calculation 4 7 3 2 3 2" xfId="16855"/>
    <cellStyle name="Calculation 4 7 3 3" xfId="8505"/>
    <cellStyle name="Calculation 4 7 3 3 2" xfId="13770"/>
    <cellStyle name="Calculation 4 7 3 3 2 2" xfId="16483"/>
    <cellStyle name="Calculation 4 7 3 4" xfId="11479"/>
    <cellStyle name="Calculation 4 7 3 4 2" xfId="19738"/>
    <cellStyle name="Calculation 4 7 4" xfId="6527"/>
    <cellStyle name="Calculation 4 7 4 2" xfId="9493"/>
    <cellStyle name="Calculation 4 7 4 2 2" xfId="14395"/>
    <cellStyle name="Calculation 4 7 4 2 2 2" xfId="18147"/>
    <cellStyle name="Calculation 4 7 4 3" xfId="12212"/>
    <cellStyle name="Calculation 4 7 4 3 2" xfId="16982"/>
    <cellStyle name="Calculation 4 7 5" xfId="7868"/>
    <cellStyle name="Calculation 4 7 5 2" xfId="13137"/>
    <cellStyle name="Calculation 4 7 5 2 2" xfId="16817"/>
    <cellStyle name="Calculation 4 7 6" xfId="10685"/>
    <cellStyle name="Calculation 4 7 6 2" xfId="18027"/>
    <cellStyle name="Calculation 4 8" xfId="1728"/>
    <cellStyle name="Calculation 4 8 2" xfId="5281"/>
    <cellStyle name="Calculation 4 8 2 2" xfId="6650"/>
    <cellStyle name="Calculation 4 8 2 2 2" xfId="9599"/>
    <cellStyle name="Calculation 4 8 2 2 2 2" xfId="14499"/>
    <cellStyle name="Calculation 4 8 2 2 2 2 2" xfId="16052"/>
    <cellStyle name="Calculation 4 8 2 2 3" xfId="12335"/>
    <cellStyle name="Calculation 4 8 2 2 3 2" xfId="16917"/>
    <cellStyle name="Calculation 4 8 2 3" xfId="8225"/>
    <cellStyle name="Calculation 4 8 2 3 2" xfId="13490"/>
    <cellStyle name="Calculation 4 8 2 3 2 2" xfId="18979"/>
    <cellStyle name="Calculation 4 8 2 4" xfId="11114"/>
    <cellStyle name="Calculation 4 8 2 4 2" xfId="15395"/>
    <cellStyle name="Calculation 4 8 3" xfId="5928"/>
    <cellStyle name="Calculation 4 8 3 2" xfId="7707"/>
    <cellStyle name="Calculation 4 8 3 2 2" xfId="10099"/>
    <cellStyle name="Calculation 4 8 3 2 2 2" xfId="14941"/>
    <cellStyle name="Calculation 4 8 3 2 2 2 2" xfId="15447"/>
    <cellStyle name="Calculation 4 8 3 2 3" xfId="12984"/>
    <cellStyle name="Calculation 4 8 3 2 3 2" xfId="19715"/>
    <cellStyle name="Calculation 4 8 3 3" xfId="8430"/>
    <cellStyle name="Calculation 4 8 3 3 2" xfId="13695"/>
    <cellStyle name="Calculation 4 8 3 3 2 2" xfId="16527"/>
    <cellStyle name="Calculation 4 8 3 4" xfId="11391"/>
    <cellStyle name="Calculation 4 8 3 4 2" xfId="18989"/>
    <cellStyle name="Calculation 4 8 4" xfId="6697"/>
    <cellStyle name="Calculation 4 8 4 2" xfId="9635"/>
    <cellStyle name="Calculation 4 8 4 2 2" xfId="14532"/>
    <cellStyle name="Calculation 4 8 4 2 2 2" xfId="17820"/>
    <cellStyle name="Calculation 4 8 4 3" xfId="12381"/>
    <cellStyle name="Calculation 4 8 4 3 2" xfId="16894"/>
    <cellStyle name="Calculation 4 8 5" xfId="7869"/>
    <cellStyle name="Calculation 4 8 5 2" xfId="13138"/>
    <cellStyle name="Calculation 4 8 5 2 2" xfId="16816"/>
    <cellStyle name="Calculation 4 8 6" xfId="10686"/>
    <cellStyle name="Calculation 4 8 6 2" xfId="18630"/>
    <cellStyle name="Calculation 4 9" xfId="1729"/>
    <cellStyle name="Calculation 4 9 2" xfId="5284"/>
    <cellStyle name="Calculation 4 9 2 2" xfId="7701"/>
    <cellStyle name="Calculation 4 9 2 2 2" xfId="10093"/>
    <cellStyle name="Calculation 4 9 2 2 2 2" xfId="14935"/>
    <cellStyle name="Calculation 4 9 2 2 2 2 2" xfId="15803"/>
    <cellStyle name="Calculation 4 9 2 2 3" xfId="12978"/>
    <cellStyle name="Calculation 4 9 2 2 3 2" xfId="19968"/>
    <cellStyle name="Calculation 4 9 2 3" xfId="8227"/>
    <cellStyle name="Calculation 4 9 2 3 2" xfId="13492"/>
    <cellStyle name="Calculation 4 9 2 3 2 2" xfId="18367"/>
    <cellStyle name="Calculation 4 9 2 4" xfId="11116"/>
    <cellStyle name="Calculation 4 9 2 4 2" xfId="18595"/>
    <cellStyle name="Calculation 4 9 3" xfId="6017"/>
    <cellStyle name="Calculation 4 9 3 2" xfId="6512"/>
    <cellStyle name="Calculation 4 9 3 2 2" xfId="9478"/>
    <cellStyle name="Calculation 4 9 3 2 2 2" xfId="14380"/>
    <cellStyle name="Calculation 4 9 3 2 2 2 2" xfId="16128"/>
    <cellStyle name="Calculation 4 9 3 2 3" xfId="12197"/>
    <cellStyle name="Calculation 4 9 3 2 3 2" xfId="16992"/>
    <cellStyle name="Calculation 4 9 3 3" xfId="8506"/>
    <cellStyle name="Calculation 4 9 3 3 2" xfId="13771"/>
    <cellStyle name="Calculation 4 9 3 3 2 2" xfId="16482"/>
    <cellStyle name="Calculation 4 9 3 4" xfId="11480"/>
    <cellStyle name="Calculation 4 9 3 4 2" xfId="20040"/>
    <cellStyle name="Calculation 4 9 4" xfId="6626"/>
    <cellStyle name="Calculation 4 9 4 2" xfId="9575"/>
    <cellStyle name="Calculation 4 9 4 2 2" xfId="14475"/>
    <cellStyle name="Calculation 4 9 4 2 2 2" xfId="15468"/>
    <cellStyle name="Calculation 4 9 4 3" xfId="12311"/>
    <cellStyle name="Calculation 4 9 4 3 2" xfId="17967"/>
    <cellStyle name="Calculation 4 9 5" xfId="7870"/>
    <cellStyle name="Calculation 4 9 5 2" xfId="13139"/>
    <cellStyle name="Calculation 4 9 5 2 2" xfId="15363"/>
    <cellStyle name="Calculation 4 9 6" xfId="10687"/>
    <cellStyle name="Calculation 4 9 6 2" xfId="18607"/>
    <cellStyle name="Calculation 5" xfId="4631"/>
    <cellStyle name="Calculation 5 2" xfId="5375"/>
    <cellStyle name="Calculation 5 2 2" xfId="7521"/>
    <cellStyle name="Calculation 5 2 2 2" xfId="7782"/>
    <cellStyle name="Calculation 5 2 2 2 2" xfId="10147"/>
    <cellStyle name="Calculation 5 2 2 2 2 2" xfId="13021"/>
    <cellStyle name="Calculation 5 2 2 2 2 2 2" xfId="16835"/>
    <cellStyle name="Calculation 5 2 2 2 3" xfId="9282"/>
    <cellStyle name="Calculation 5 2 2 2 3 2" xfId="14279"/>
    <cellStyle name="Calculation 5 2 2 2 3 2 2" xfId="17797"/>
    <cellStyle name="Calculation 5 2 2 2 4" xfId="12060"/>
    <cellStyle name="Calculation 5 2 2 2 4 2" xfId="17088"/>
    <cellStyle name="Calculation 5 2 2 3" xfId="8918"/>
    <cellStyle name="Calculation 5 2 2 3 2" xfId="14157"/>
    <cellStyle name="Calculation 5 2 2 3 2 2" xfId="18765"/>
    <cellStyle name="Calculation 5 2 2 4" xfId="11918"/>
    <cellStyle name="Calculation 5 2 2 4 2" xfId="17182"/>
    <cellStyle name="Calculation 5 2 3" xfId="6968"/>
    <cellStyle name="Calculation 5 2 3 2" xfId="9813"/>
    <cellStyle name="Calculation 5 2 3 2 2" xfId="14693"/>
    <cellStyle name="Calculation 5 2 3 2 2 2" xfId="15923"/>
    <cellStyle name="Calculation 5 2 3 3" xfId="12652"/>
    <cellStyle name="Calculation 5 2 3 3 2" xfId="19637"/>
    <cellStyle name="Calculation 5 2 4" xfId="8290"/>
    <cellStyle name="Calculation 5 2 4 2" xfId="13555"/>
    <cellStyle name="Calculation 5 2 4 2 2" xfId="18688"/>
    <cellStyle name="Calculation 5 2 5" xfId="11207"/>
    <cellStyle name="Calculation 5 2 5 2" xfId="18613"/>
    <cellStyle name="Calculation 5 3" xfId="5793"/>
    <cellStyle name="Calculation 5 3 2" xfId="7608"/>
    <cellStyle name="Calculation 5 3 2 2" xfId="7790"/>
    <cellStyle name="Calculation 5 3 2 2 2" xfId="10155"/>
    <cellStyle name="Calculation 5 3 2 2 2 2" xfId="13029"/>
    <cellStyle name="Calculation 5 3 2 2 2 2 2" xfId="19057"/>
    <cellStyle name="Calculation 5 3 2 2 3" xfId="9369"/>
    <cellStyle name="Calculation 5 3 2 2 3 2" xfId="14293"/>
    <cellStyle name="Calculation 5 3 2 2 3 2 2" xfId="16178"/>
    <cellStyle name="Calculation 5 3 2 2 4" xfId="12075"/>
    <cellStyle name="Calculation 5 3 2 2 4 2" xfId="17082"/>
    <cellStyle name="Calculation 5 3 2 3" xfId="8932"/>
    <cellStyle name="Calculation 5 3 2 3 2" xfId="14171"/>
    <cellStyle name="Calculation 5 3 2 3 2 2" xfId="16240"/>
    <cellStyle name="Calculation 5 3 2 4" xfId="11933"/>
    <cellStyle name="Calculation 5 3 2 4 2" xfId="17747"/>
    <cellStyle name="Calculation 5 3 3" xfId="7663"/>
    <cellStyle name="Calculation 5 3 3 2" xfId="10061"/>
    <cellStyle name="Calculation 5 3 3 2 2" xfId="14905"/>
    <cellStyle name="Calculation 5 3 3 2 2 2" xfId="18820"/>
    <cellStyle name="Calculation 5 3 3 3" xfId="12940"/>
    <cellStyle name="Calculation 5 3 3 3 2" xfId="19041"/>
    <cellStyle name="Calculation 5 3 4" xfId="8330"/>
    <cellStyle name="Calculation 5 3 4 2" xfId="13595"/>
    <cellStyle name="Calculation 5 3 4 2 2" xfId="16586"/>
    <cellStyle name="Calculation 5 3 5" xfId="11256"/>
    <cellStyle name="Calculation 5 3 5 2" xfId="17310"/>
    <cellStyle name="Calculation 5 4" xfId="7433"/>
    <cellStyle name="Calculation 5 4 2" xfId="7768"/>
    <cellStyle name="Calculation 5 4 2 2" xfId="10133"/>
    <cellStyle name="Calculation 5 4 2 2 2" xfId="13007"/>
    <cellStyle name="Calculation 5 4 2 2 2 2" xfId="19260"/>
    <cellStyle name="Calculation 5 4 2 3" xfId="9189"/>
    <cellStyle name="Calculation 5 4 2 3 2" xfId="14252"/>
    <cellStyle name="Calculation 5 4 2 3 2 2" xfId="16199"/>
    <cellStyle name="Calculation 5 4 2 4" xfId="12023"/>
    <cellStyle name="Calculation 5 4 2 4 2" xfId="17869"/>
    <cellStyle name="Calculation 5 4 3" xfId="8887"/>
    <cellStyle name="Calculation 5 4 3 2" xfId="14126"/>
    <cellStyle name="Calculation 5 4 3 2 2" xfId="16261"/>
    <cellStyle name="Calculation 5 4 4" xfId="11886"/>
    <cellStyle name="Calculation 5 4 4 2" xfId="17933"/>
    <cellStyle name="Calculation 5 5" xfId="6669"/>
    <cellStyle name="Calculation 5 5 2" xfId="9618"/>
    <cellStyle name="Calculation 5 5 2 2" xfId="14517"/>
    <cellStyle name="Calculation 5 5 2 2 2" xfId="16047"/>
    <cellStyle name="Calculation 5 5 3" xfId="12354"/>
    <cellStyle name="Calculation 5 5 3 2" xfId="16907"/>
    <cellStyle name="Calculation 5 6" xfId="8062"/>
    <cellStyle name="Calculation 5 6 2" xfId="13327"/>
    <cellStyle name="Calculation 5 6 2 2" xfId="16720"/>
    <cellStyle name="Calculation 5 7" xfId="10925"/>
    <cellStyle name="Calculation 5 7 2" xfId="17567"/>
    <cellStyle name="Calculation 6" xfId="4679"/>
    <cellStyle name="Calculation 6 2" xfId="5379"/>
    <cellStyle name="Calculation 6 2 2" xfId="7028"/>
    <cellStyle name="Calculation 6 2 2 2" xfId="9853"/>
    <cellStyle name="Calculation 6 2 2 2 2" xfId="14729"/>
    <cellStyle name="Calculation 6 2 2 2 2 2" xfId="18772"/>
    <cellStyle name="Calculation 6 2 2 3" xfId="12712"/>
    <cellStyle name="Calculation 6 2 2 3 2" xfId="19270"/>
    <cellStyle name="Calculation 6 2 3" xfId="8294"/>
    <cellStyle name="Calculation 6 2 3 2" xfId="13559"/>
    <cellStyle name="Calculation 6 2 3 2 2" xfId="18868"/>
    <cellStyle name="Calculation 6 2 4" xfId="11211"/>
    <cellStyle name="Calculation 6 2 4 2" xfId="17346"/>
    <cellStyle name="Calculation 6 3" xfId="5790"/>
    <cellStyle name="Calculation 6 3 2" xfId="7713"/>
    <cellStyle name="Calculation 6 3 2 2" xfId="10103"/>
    <cellStyle name="Calculation 6 3 2 2 2" xfId="14945"/>
    <cellStyle name="Calculation 6 3 2 2 2 2" xfId="18132"/>
    <cellStyle name="Calculation 6 3 2 3" xfId="12990"/>
    <cellStyle name="Calculation 6 3 2 3 2" xfId="19849"/>
    <cellStyle name="Calculation 6 3 3" xfId="8327"/>
    <cellStyle name="Calculation 6 3 3 2" xfId="13592"/>
    <cellStyle name="Calculation 6 3 3 2 2" xfId="18187"/>
    <cellStyle name="Calculation 6 3 4" xfId="11253"/>
    <cellStyle name="Calculation 6 3 4 2" xfId="17313"/>
    <cellStyle name="Calculation 6 4" xfId="6531"/>
    <cellStyle name="Calculation 6 4 2" xfId="9497"/>
    <cellStyle name="Calculation 6 4 2 2" xfId="14398"/>
    <cellStyle name="Calculation 6 4 2 2 2" xfId="16118"/>
    <cellStyle name="Calculation 6 4 3" xfId="12216"/>
    <cellStyle name="Calculation 6 4 3 2" xfId="16978"/>
    <cellStyle name="Calculation 6 5" xfId="8066"/>
    <cellStyle name="Calculation 6 5 2" xfId="13331"/>
    <cellStyle name="Calculation 6 5 2 2" xfId="18806"/>
    <cellStyle name="Calculation 6 6" xfId="10929"/>
    <cellStyle name="Calculation 6 6 2" xfId="17563"/>
    <cellStyle name="Check Cell" xfId="13" builtinId="23" customBuiltin="1"/>
    <cellStyle name="Check Cell 2" xfId="1730"/>
    <cellStyle name="Check Cell 3" xfId="1731"/>
    <cellStyle name="Check Cell 4" xfId="1732"/>
    <cellStyle name="Check Cell 4 10" xfId="1733"/>
    <cellStyle name="Check Cell 4 11" xfId="1734"/>
    <cellStyle name="Check Cell 4 12" xfId="1735"/>
    <cellStyle name="Check Cell 4 2" xfId="1736"/>
    <cellStyle name="Check Cell 4 3" xfId="1737"/>
    <cellStyle name="Check Cell 4 3 2" xfId="1738"/>
    <cellStyle name="Check Cell 4 4" xfId="1739"/>
    <cellStyle name="Check Cell 4 5" xfId="1740"/>
    <cellStyle name="Check Cell 4 6" xfId="1741"/>
    <cellStyle name="Check Cell 4 7" xfId="1742"/>
    <cellStyle name="Check Cell 4 8" xfId="1743"/>
    <cellStyle name="Check Cell 4 9" xfId="1744"/>
    <cellStyle name="Check Cell 5" xfId="4615"/>
    <cellStyle name="Check Cell 5 2" xfId="7418"/>
    <cellStyle name="Check Cell 5 2 2" xfId="9174"/>
    <cellStyle name="Check Cell 6" xfId="4714"/>
    <cellStyle name="Eingabe" xfId="1745"/>
    <cellStyle name="Eingabe 2" xfId="5242"/>
    <cellStyle name="Eingabe 2 2" xfId="6218"/>
    <cellStyle name="Eingabe 2 2 2" xfId="6628"/>
    <cellStyle name="Eingabe 2 2 2 2" xfId="9577"/>
    <cellStyle name="Eingabe 2 2 2 2 2" xfId="14477"/>
    <cellStyle name="Eingabe 2 2 2 2 2 2" xfId="15466"/>
    <cellStyle name="Eingabe 2 2 2 3" xfId="12313"/>
    <cellStyle name="Eingabe 2 2 2 3 2" xfId="17947"/>
    <cellStyle name="Eingabe 2 2 3" xfId="8683"/>
    <cellStyle name="Eingabe 2 2 3 2" xfId="13948"/>
    <cellStyle name="Eingabe 2 2 3 2 2" xfId="16368"/>
    <cellStyle name="Eingabe 2 2 4" xfId="11681"/>
    <cellStyle name="Eingabe 2 2 4 2" xfId="19018"/>
    <cellStyle name="Eingabe 2 3" xfId="7682"/>
    <cellStyle name="Eingabe 2 3 2" xfId="10076"/>
    <cellStyle name="Eingabe 2 3 2 2" xfId="14920"/>
    <cellStyle name="Eingabe 2 3 2 2 2" xfId="15807"/>
    <cellStyle name="Eingabe 2 3 3" xfId="12959"/>
    <cellStyle name="Eingabe 2 3 3 2" xfId="19269"/>
    <cellStyle name="Eingabe 2 4" xfId="8211"/>
    <cellStyle name="Eingabe 2 4 2" xfId="13476"/>
    <cellStyle name="Eingabe 2 4 2 2" xfId="18695"/>
    <cellStyle name="Eingabe 2 5" xfId="11100"/>
    <cellStyle name="Eingabe 2 5 2" xfId="17432"/>
    <cellStyle name="Eingabe 3" xfId="5877"/>
    <cellStyle name="Eingabe 3 2" xfId="7709"/>
    <cellStyle name="Eingabe 3 2 2" xfId="10101"/>
    <cellStyle name="Eingabe 3 2 2 2" xfId="14943"/>
    <cellStyle name="Eingabe 3 2 2 2 2" xfId="15801"/>
    <cellStyle name="Eingabe 3 2 3" xfId="12986"/>
    <cellStyle name="Eingabe 3 2 3 2" xfId="19396"/>
    <cellStyle name="Eingabe 3 3" xfId="8393"/>
    <cellStyle name="Eingabe 3 3 2" xfId="13658"/>
    <cellStyle name="Eingabe 3 3 2 2" xfId="16549"/>
    <cellStyle name="Eingabe 3 4" xfId="11340"/>
    <cellStyle name="Eingabe 3 4 2" xfId="19386"/>
    <cellStyle name="Eingabe 4" xfId="6878"/>
    <cellStyle name="Eingabe 4 2" xfId="9749"/>
    <cellStyle name="Eingabe 4 2 2" xfId="14637"/>
    <cellStyle name="Eingabe 4 2 2 2" xfId="18916"/>
    <cellStyle name="Eingabe 4 3" xfId="12562"/>
    <cellStyle name="Eingabe 4 3 2" xfId="19117"/>
    <cellStyle name="Eingabe 5" xfId="7871"/>
    <cellStyle name="Eingabe 5 2" xfId="13140"/>
    <cellStyle name="Eingabe 5 2 2" xfId="19474"/>
    <cellStyle name="Eingabe 6" xfId="10688"/>
    <cellStyle name="Eingabe 6 2" xfId="18337"/>
    <cellStyle name="Ergebnis" xfId="1746"/>
    <cellStyle name="Ergebnis 2" xfId="5241"/>
    <cellStyle name="Ergebnis 2 2" xfId="6217"/>
    <cellStyle name="Ergebnis 2 2 2" xfId="6939"/>
    <cellStyle name="Ergebnis 2 2 2 2" xfId="9792"/>
    <cellStyle name="Ergebnis 2 2 2 2 2" xfId="14677"/>
    <cellStyle name="Ergebnis 2 2 2 2 2 2" xfId="18776"/>
    <cellStyle name="Ergebnis 2 2 2 3" xfId="12623"/>
    <cellStyle name="Ergebnis 2 2 2 3 2" xfId="18314"/>
    <cellStyle name="Ergebnis 2 2 3" xfId="8682"/>
    <cellStyle name="Ergebnis 2 2 3 2" xfId="13947"/>
    <cellStyle name="Ergebnis 2 2 3 2 2" xfId="16369"/>
    <cellStyle name="Ergebnis 2 2 4" xfId="11680"/>
    <cellStyle name="Ergebnis 2 2 4 2" xfId="19348"/>
    <cellStyle name="Ergebnis 2 3" xfId="6738"/>
    <cellStyle name="Ergebnis 2 3 2" xfId="9666"/>
    <cellStyle name="Ergebnis 2 3 2 2" xfId="14563"/>
    <cellStyle name="Ergebnis 2 3 2 2 2" xfId="16017"/>
    <cellStyle name="Ergebnis 2 3 3" xfId="12422"/>
    <cellStyle name="Ergebnis 2 3 3 2" xfId="16873"/>
    <cellStyle name="Ergebnis 2 4" xfId="8210"/>
    <cellStyle name="Ergebnis 2 4 2" xfId="13475"/>
    <cellStyle name="Ergebnis 2 4 2 2" xfId="18876"/>
    <cellStyle name="Ergebnis 2 5" xfId="11099"/>
    <cellStyle name="Ergebnis 2 5 2" xfId="18279"/>
    <cellStyle name="Ergebnis 3" xfId="5820"/>
    <cellStyle name="Ergebnis 3 2" xfId="6485"/>
    <cellStyle name="Ergebnis 3 2 2" xfId="9455"/>
    <cellStyle name="Ergebnis 3 2 2 2" xfId="14359"/>
    <cellStyle name="Ergebnis 3 2 2 2 2" xfId="16141"/>
    <cellStyle name="Ergebnis 3 2 3" xfId="12170"/>
    <cellStyle name="Ergebnis 3 2 3 2" xfId="18722"/>
    <cellStyle name="Ergebnis 3 3" xfId="8355"/>
    <cellStyle name="Ergebnis 3 3 2" xfId="13620"/>
    <cellStyle name="Ergebnis 3 3 2 2" xfId="16564"/>
    <cellStyle name="Ergebnis 3 4" xfId="11283"/>
    <cellStyle name="Ergebnis 3 4 2" xfId="17299"/>
    <cellStyle name="Ergebnis 4" xfId="6620"/>
    <cellStyle name="Ergebnis 4 2" xfId="9569"/>
    <cellStyle name="Ergebnis 4 2 2" xfId="14469"/>
    <cellStyle name="Ergebnis 4 2 2 2" xfId="16074"/>
    <cellStyle name="Ergebnis 4 3" xfId="12305"/>
    <cellStyle name="Ergebnis 4 3 2" xfId="16931"/>
    <cellStyle name="Ergebnis 5" xfId="7872"/>
    <cellStyle name="Ergebnis 5 2" xfId="13141"/>
    <cellStyle name="Ergebnis 5 2 2" xfId="19779"/>
    <cellStyle name="Ergebnis 6" xfId="10689"/>
    <cellStyle name="Ergebnis 6 2" xfId="18290"/>
    <cellStyle name="Erklärender Text" xfId="1747"/>
    <cellStyle name="Euro" xfId="53"/>
    <cellStyle name="Euro 2" xfId="78"/>
    <cellStyle name="Euro 2 2" xfId="378"/>
    <cellStyle name="Excel Built-in 20% - Accent1" xfId="5465"/>
    <cellStyle name="Excel Built-in 20% - Accent2" xfId="5466"/>
    <cellStyle name="Excel Built-in 20% - Accent3" xfId="5467"/>
    <cellStyle name="Excel Built-in 20% - Accent4" xfId="5468"/>
    <cellStyle name="Excel Built-in 20% - Accent5" xfId="5469"/>
    <cellStyle name="Excel Built-in 20% - Accent6" xfId="5493"/>
    <cellStyle name="Excel Built-in 40% - Accent1" xfId="5470"/>
    <cellStyle name="Excel Built-in 40% - Accent2" xfId="5484"/>
    <cellStyle name="Excel Built-in 40% - Accent3" xfId="5485"/>
    <cellStyle name="Excel Built-in 40% - Accent4" xfId="5482"/>
    <cellStyle name="Excel Built-in 40% - Accent5" xfId="5480"/>
    <cellStyle name="Excel Built-in 40% - Accent6" xfId="5446"/>
    <cellStyle name="Excel Built-in 60% - Accent1" xfId="5483"/>
    <cellStyle name="Excel Built-in 60% - Accent2" xfId="5481"/>
    <cellStyle name="Excel Built-in 60% - Accent3" xfId="5487"/>
    <cellStyle name="Excel Built-in 60% - Accent4" xfId="5488"/>
    <cellStyle name="Excel Built-in 60% - Accent5" xfId="5489"/>
    <cellStyle name="Excel Built-in 60% - Accent6" xfId="5490"/>
    <cellStyle name="Excel Built-in Accent1" xfId="5491"/>
    <cellStyle name="Excel Built-in Accent2" xfId="5492"/>
    <cellStyle name="Excel Built-in Accent3" xfId="5471"/>
    <cellStyle name="Excel Built-in Accent4" xfId="5472"/>
    <cellStyle name="Excel Built-in Accent5" xfId="5473"/>
    <cellStyle name="Excel Built-in Accent6" xfId="5474"/>
    <cellStyle name="Excel Built-in Bad" xfId="5475"/>
    <cellStyle name="Excel Built-in Calculation" xfId="5486"/>
    <cellStyle name="Excel Built-in Calculation 2" xfId="6611"/>
    <cellStyle name="Excel Built-in Calculation 2 2" xfId="9563"/>
    <cellStyle name="Excel Built-in Calculation 2 2 2" xfId="14464"/>
    <cellStyle name="Excel Built-in Calculation 2 2 2 2" xfId="18140"/>
    <cellStyle name="Excel Built-in Calculation 2 3" xfId="12296"/>
    <cellStyle name="Excel Built-in Calculation 2 3 2" xfId="18196"/>
    <cellStyle name="Excel Built-in Calculation 3" xfId="8310"/>
    <cellStyle name="Excel Built-in Calculation 3 2" xfId="13575"/>
    <cellStyle name="Excel Built-in Calculation 3 2 2" xfId="19147"/>
    <cellStyle name="Excel Built-in Calculation 4" xfId="11235"/>
    <cellStyle name="Excel Built-in Calculation 4 2" xfId="17326"/>
    <cellStyle name="Excel Built-in Check Cell" xfId="5476"/>
    <cellStyle name="Excel Built-in Explanatory Text" xfId="5477"/>
    <cellStyle name="Excel Built-in Good" xfId="5478"/>
    <cellStyle name="Excel Built-in Heading 1" xfId="5479"/>
    <cellStyle name="Excel Built-in Heading 2" xfId="5494"/>
    <cellStyle name="Excel Built-in Heading 3" xfId="5495"/>
    <cellStyle name="Excel Built-in Heading 4" xfId="5496"/>
    <cellStyle name="Excel Built-in Input" xfId="5497"/>
    <cellStyle name="Excel Built-in Input 2" xfId="7001"/>
    <cellStyle name="Excel Built-in Input 2 2" xfId="9835"/>
    <cellStyle name="Excel Built-in Input 2 2 2" xfId="14712"/>
    <cellStyle name="Excel Built-in Input 2 2 2 2" xfId="15912"/>
    <cellStyle name="Excel Built-in Input 2 3" xfId="12685"/>
    <cellStyle name="Excel Built-in Input 2 3 2" xfId="19026"/>
    <cellStyle name="Excel Built-in Input 3" xfId="8311"/>
    <cellStyle name="Excel Built-in Input 3 2" xfId="13576"/>
    <cellStyle name="Excel Built-in Input 3 2 2" xfId="16593"/>
    <cellStyle name="Excel Built-in Input 4" xfId="11236"/>
    <cellStyle name="Excel Built-in Input 4 2" xfId="17325"/>
    <cellStyle name="Excel Built-in Linked Cell" xfId="5498"/>
    <cellStyle name="Excel Built-in Neutral" xfId="5499"/>
    <cellStyle name="Excel Built-in Normal" xfId="5500"/>
    <cellStyle name="Excel Built-in Note" xfId="5501"/>
    <cellStyle name="Excel Built-in Note 2" xfId="8312"/>
    <cellStyle name="Excel Built-in Note 2 2" xfId="13577"/>
    <cellStyle name="Excel Built-in Note 2 2 2" xfId="18976"/>
    <cellStyle name="Excel Built-in Note 3" xfId="11237"/>
    <cellStyle name="Excel Built-in Note 3 2" xfId="17324"/>
    <cellStyle name="Excel Built-in Output" xfId="5502"/>
    <cellStyle name="Excel Built-in Output 2" xfId="6378"/>
    <cellStyle name="Excel Built-in Output 2 2" xfId="7181"/>
    <cellStyle name="Excel Built-in Output 2 2 2" xfId="9986"/>
    <cellStyle name="Excel Built-in Output 2 2 2 2" xfId="14846"/>
    <cellStyle name="Excel Built-in Output 2 2 2 2 2" xfId="15843"/>
    <cellStyle name="Excel Built-in Output 2 2 3" xfId="10304"/>
    <cellStyle name="Excel Built-in Output 2 2 3 2" xfId="10554"/>
    <cellStyle name="Excel Built-in Output 2 2 3 2 2" xfId="15281"/>
    <cellStyle name="Excel Built-in Output 2 2 3 2 2 2" xfId="15585"/>
    <cellStyle name="Excel Built-in Output 2 2 3 3" xfId="15081"/>
    <cellStyle name="Excel Built-in Output 2 2 3 3 2" xfId="15717"/>
    <cellStyle name="Excel Built-in Output 2 2 4" xfId="12865"/>
    <cellStyle name="Excel Built-in Output 2 2 4 2" xfId="19966"/>
    <cellStyle name="Excel Built-in Output 2 3" xfId="8793"/>
    <cellStyle name="Excel Built-in Output 2 3 2" xfId="14046"/>
    <cellStyle name="Excel Built-in Output 2 3 2 2" xfId="18791"/>
    <cellStyle name="Excel Built-in Output 2 4" xfId="11791"/>
    <cellStyle name="Excel Built-in Output 2 4 2" xfId="19177"/>
    <cellStyle name="Excel Built-in Output 3" xfId="8313"/>
    <cellStyle name="Excel Built-in Output 3 2" xfId="13578"/>
    <cellStyle name="Excel Built-in Output 3 2 2" xfId="18795"/>
    <cellStyle name="Excel Built-in Output 4" xfId="11238"/>
    <cellStyle name="Excel Built-in Output 4 2" xfId="17323"/>
    <cellStyle name="Excel Built-in Title" xfId="5503"/>
    <cellStyle name="Excel Built-in Total" xfId="5504"/>
    <cellStyle name="Excel Built-in Total 2" xfId="6897"/>
    <cellStyle name="Excel Built-in Total 2 2" xfId="9758"/>
    <cellStyle name="Excel Built-in Total 2 2 2" xfId="14646"/>
    <cellStyle name="Excel Built-in Total 2 2 2 2" xfId="15954"/>
    <cellStyle name="Excel Built-in Total 2 3" xfId="12581"/>
    <cellStyle name="Excel Built-in Total 2 3 2" xfId="18064"/>
    <cellStyle name="Excel Built-in Total 3" xfId="8314"/>
    <cellStyle name="Excel Built-in Total 3 2" xfId="13579"/>
    <cellStyle name="Excel Built-in Total 3 2 2" xfId="18364"/>
    <cellStyle name="Excel Built-in Total 4" xfId="11239"/>
    <cellStyle name="Excel Built-in Total 4 2" xfId="17322"/>
    <cellStyle name="Excel Built-in Warning Text" xfId="5505"/>
    <cellStyle name="Explanatory Text" xfId="15" builtinId="53" customBuiltin="1"/>
    <cellStyle name="Explanatory Text 2" xfId="1748"/>
    <cellStyle name="Explanatory Text 3" xfId="1749"/>
    <cellStyle name="Explanatory Text 3 10" xfId="1750"/>
    <cellStyle name="Explanatory Text 3 11" xfId="1751"/>
    <cellStyle name="Explanatory Text 3 12" xfId="1752"/>
    <cellStyle name="Explanatory Text 3 2" xfId="1753"/>
    <cellStyle name="Explanatory Text 3 3" xfId="1754"/>
    <cellStyle name="Explanatory Text 3 3 2" xfId="1755"/>
    <cellStyle name="Explanatory Text 3 4" xfId="1756"/>
    <cellStyle name="Explanatory Text 3 5" xfId="1757"/>
    <cellStyle name="Explanatory Text 3 6" xfId="1758"/>
    <cellStyle name="Explanatory Text 3 7" xfId="1759"/>
    <cellStyle name="Explanatory Text 3 8" xfId="1760"/>
    <cellStyle name="Explanatory Text 3 9" xfId="1761"/>
    <cellStyle name="Explanatory Text 4" xfId="4611"/>
    <cellStyle name="Explanatory Text 4 2" xfId="7414"/>
    <cellStyle name="Explanatory Text 4 2 2" xfId="9170"/>
    <cellStyle name="Explanatory Text 5" xfId="4687"/>
    <cellStyle name="Followed Hyperlink 2" xfId="1762"/>
    <cellStyle name="Followed Hyperlink 2 2" xfId="1763"/>
    <cellStyle name="Followed Hyperlink 2 2 2" xfId="1764"/>
    <cellStyle name="Followed Hyperlink 2 2 2 2" xfId="1765"/>
    <cellStyle name="Followed Hyperlink 2 2 2 2 2" xfId="4424"/>
    <cellStyle name="Followed Hyperlink 2 2 2 3" xfId="1766"/>
    <cellStyle name="Followed Hyperlink 2 2 2 3 2" xfId="4385"/>
    <cellStyle name="Followed Hyperlink 2 2 2 4" xfId="1767"/>
    <cellStyle name="Followed Hyperlink 2 2 2 4 2" xfId="4423"/>
    <cellStyle name="Followed Hyperlink 2 2 2 5" xfId="4223"/>
    <cellStyle name="Followed Hyperlink 2 2 2 6" xfId="4334"/>
    <cellStyle name="Followed Hyperlink 2 2 2 7" xfId="4857"/>
    <cellStyle name="Followed Hyperlink 2 2 2 8" xfId="5636"/>
    <cellStyle name="Followed Hyperlink 2 2 3" xfId="1768"/>
    <cellStyle name="Followed Hyperlink 2 3" xfId="1769"/>
    <cellStyle name="Followed Hyperlink 2 4" xfId="1770"/>
    <cellStyle name="Followed Hyperlink 2 4 2" xfId="1771"/>
    <cellStyle name="Followed Hyperlink 2 4 2 2" xfId="4421"/>
    <cellStyle name="Followed Hyperlink 2 4 3" xfId="1772"/>
    <cellStyle name="Followed Hyperlink 2 4 3 2" xfId="4384"/>
    <cellStyle name="Followed Hyperlink 2 4 4" xfId="1773"/>
    <cellStyle name="Followed Hyperlink 2 4 5" xfId="4222"/>
    <cellStyle name="Followed Hyperlink 2 4 6" xfId="4422"/>
    <cellStyle name="Followed Hyperlink 2 4 7" xfId="4858"/>
    <cellStyle name="Followed Hyperlink 2 4 8" xfId="5637"/>
    <cellStyle name="Followed Hyperlink 2 5" xfId="1774"/>
    <cellStyle name="Followed Hyperlink 2 5 2" xfId="4361"/>
    <cellStyle name="Followed Hyperlink 2 6" xfId="1775"/>
    <cellStyle name="Followed Hyperlink 2 6 2" xfId="4358"/>
    <cellStyle name="Followed Hyperlink 2 7" xfId="1776"/>
    <cellStyle name="Followed Hyperlink 2 8" xfId="4318"/>
    <cellStyle name="Followed Hyperlink 3" xfId="1777"/>
    <cellStyle name="Followed Hyperlink 3 2" xfId="1778"/>
    <cellStyle name="Followed Hyperlink 3 2 2" xfId="1779"/>
    <cellStyle name="Followed Hyperlink 3 2 2 2" xfId="1780"/>
    <cellStyle name="Followed Hyperlink 3 2 2 2 2" xfId="4419"/>
    <cellStyle name="Followed Hyperlink 3 2 2 3" xfId="1781"/>
    <cellStyle name="Followed Hyperlink 3 2 2 3 2" xfId="4418"/>
    <cellStyle name="Followed Hyperlink 3 2 2 4" xfId="1782"/>
    <cellStyle name="Followed Hyperlink 3 2 2 4 2" xfId="4389"/>
    <cellStyle name="Followed Hyperlink 3 2 2 5" xfId="4221"/>
    <cellStyle name="Followed Hyperlink 3 2 2 6" xfId="4420"/>
    <cellStyle name="Followed Hyperlink 3 2 2 7" xfId="4859"/>
    <cellStyle name="Followed Hyperlink 3 2 2 8" xfId="5638"/>
    <cellStyle name="Followed Hyperlink 3 2 3" xfId="1783"/>
    <cellStyle name="Followed Hyperlink 3 3" xfId="1784"/>
    <cellStyle name="Followed Hyperlink 3 4" xfId="1785"/>
    <cellStyle name="Followed Hyperlink 3 4 2" xfId="1786"/>
    <cellStyle name="Followed Hyperlink 3 4 2 2" xfId="4417"/>
    <cellStyle name="Followed Hyperlink 3 4 3" xfId="1787"/>
    <cellStyle name="Followed Hyperlink 3 4 3 2" xfId="4383"/>
    <cellStyle name="Followed Hyperlink 3 4 4" xfId="1788"/>
    <cellStyle name="Followed Hyperlink 3 4 5" xfId="4220"/>
    <cellStyle name="Followed Hyperlink 3 4 6" xfId="4375"/>
    <cellStyle name="Followed Hyperlink 3 4 7" xfId="4860"/>
    <cellStyle name="Followed Hyperlink 3 4 8" xfId="5639"/>
    <cellStyle name="Followed Hyperlink 3 5" xfId="1789"/>
    <cellStyle name="Followed Hyperlink 3 5 2" xfId="4416"/>
    <cellStyle name="Followed Hyperlink 3 6" xfId="1790"/>
    <cellStyle name="Followed Hyperlink 3 6 2" xfId="4415"/>
    <cellStyle name="Followed Hyperlink 3 7" xfId="1791"/>
    <cellStyle name="Followed Hyperlink 3 8" xfId="4317"/>
    <cellStyle name="Followed Hyperlink 4" xfId="1792"/>
    <cellStyle name="Followed Hyperlink 4 2" xfId="1793"/>
    <cellStyle name="Followed Hyperlink 4 2 2" xfId="1794"/>
    <cellStyle name="Followed Hyperlink 4 2 2 2" xfId="1795"/>
    <cellStyle name="Followed Hyperlink 4 2 2 2 2" xfId="4414"/>
    <cellStyle name="Followed Hyperlink 4 2 2 3" xfId="1796"/>
    <cellStyle name="Followed Hyperlink 4 2 2 3 2" xfId="4413"/>
    <cellStyle name="Followed Hyperlink 4 2 2 4" xfId="1797"/>
    <cellStyle name="Followed Hyperlink 4 2 2 4 2" xfId="4412"/>
    <cellStyle name="Followed Hyperlink 4 2 2 5" xfId="4219"/>
    <cellStyle name="Followed Hyperlink 4 2 2 6" xfId="4360"/>
    <cellStyle name="Followed Hyperlink 4 2 2 7" xfId="4861"/>
    <cellStyle name="Followed Hyperlink 4 2 2 8" xfId="5640"/>
    <cellStyle name="Followed Hyperlink 4 2 3" xfId="1798"/>
    <cellStyle name="Followed Hyperlink 4 3" xfId="1799"/>
    <cellStyle name="Followed Hyperlink 4 4" xfId="1800"/>
    <cellStyle name="Followed Hyperlink 4 4 2" xfId="1801"/>
    <cellStyle name="Followed Hyperlink 4 4 2 2" xfId="4410"/>
    <cellStyle name="Followed Hyperlink 4 4 3" xfId="1802"/>
    <cellStyle name="Followed Hyperlink 4 4 3 2" xfId="4409"/>
    <cellStyle name="Followed Hyperlink 4 4 4" xfId="1803"/>
    <cellStyle name="Followed Hyperlink 4 4 5" xfId="4218"/>
    <cellStyle name="Followed Hyperlink 4 4 6" xfId="4411"/>
    <cellStyle name="Followed Hyperlink 4 4 7" xfId="4862"/>
    <cellStyle name="Followed Hyperlink 4 4 8" xfId="5641"/>
    <cellStyle name="Followed Hyperlink 4 5" xfId="1804"/>
    <cellStyle name="Followed Hyperlink 4 5 2" xfId="4408"/>
    <cellStyle name="Followed Hyperlink 4 6" xfId="1805"/>
    <cellStyle name="Followed Hyperlink 4 6 2" xfId="4388"/>
    <cellStyle name="Followed Hyperlink 4 7" xfId="1806"/>
    <cellStyle name="Followed Hyperlink 4 8" xfId="4316"/>
    <cellStyle name="Followed Hyperlink 5" xfId="1807"/>
    <cellStyle name="Followed Hyperlink 5 2" xfId="1808"/>
    <cellStyle name="Followed Hyperlink 5 2 2" xfId="1809"/>
    <cellStyle name="Followed Hyperlink 5 2 2 2" xfId="1810"/>
    <cellStyle name="Followed Hyperlink 5 2 2 2 2" xfId="4381"/>
    <cellStyle name="Followed Hyperlink 5 2 2 3" xfId="1811"/>
    <cellStyle name="Followed Hyperlink 5 2 2 3 2" xfId="4407"/>
    <cellStyle name="Followed Hyperlink 5 2 2 4" xfId="1812"/>
    <cellStyle name="Followed Hyperlink 5 2 2 4 2" xfId="4427"/>
    <cellStyle name="Followed Hyperlink 5 2 2 5" xfId="4217"/>
    <cellStyle name="Followed Hyperlink 5 2 2 6" xfId="4387"/>
    <cellStyle name="Followed Hyperlink 5 2 2 7" xfId="4863"/>
    <cellStyle name="Followed Hyperlink 5 2 2 8" xfId="5642"/>
    <cellStyle name="Followed Hyperlink 5 2 3" xfId="1813"/>
    <cellStyle name="Followed Hyperlink 5 3" xfId="1814"/>
    <cellStyle name="Followed Hyperlink 5 4" xfId="1815"/>
    <cellStyle name="Followed Hyperlink 5 4 2" xfId="1816"/>
    <cellStyle name="Followed Hyperlink 5 4 2 2" xfId="4379"/>
    <cellStyle name="Followed Hyperlink 5 4 3" xfId="1817"/>
    <cellStyle name="Followed Hyperlink 5 4 3 2" xfId="4426"/>
    <cellStyle name="Followed Hyperlink 5 4 4" xfId="1818"/>
    <cellStyle name="Followed Hyperlink 5 4 5" xfId="4216"/>
    <cellStyle name="Followed Hyperlink 5 4 6" xfId="4380"/>
    <cellStyle name="Followed Hyperlink 5 4 7" xfId="4864"/>
    <cellStyle name="Followed Hyperlink 5 4 8" xfId="5643"/>
    <cellStyle name="Followed Hyperlink 5 5" xfId="1819"/>
    <cellStyle name="Followed Hyperlink 5 5 2" xfId="4357"/>
    <cellStyle name="Followed Hyperlink 5 6" xfId="1820"/>
    <cellStyle name="Followed Hyperlink 5 6 2" xfId="4404"/>
    <cellStyle name="Followed Hyperlink 5 7" xfId="1821"/>
    <cellStyle name="Followed Hyperlink 5 8" xfId="4315"/>
    <cellStyle name="Followed Hyperlink 6" xfId="1822"/>
    <cellStyle name="Followed Hyperlink 6 2" xfId="1823"/>
    <cellStyle name="Followed Hyperlink 6 2 2" xfId="1824"/>
    <cellStyle name="Followed Hyperlink 6 2 2 2" xfId="1825"/>
    <cellStyle name="Followed Hyperlink 6 2 2 2 2" xfId="4355"/>
    <cellStyle name="Followed Hyperlink 6 2 2 3" xfId="1826"/>
    <cellStyle name="Followed Hyperlink 6 2 2 3 2" xfId="4382"/>
    <cellStyle name="Followed Hyperlink 6 2 2 4" xfId="1827"/>
    <cellStyle name="Followed Hyperlink 6 2 2 4 2" xfId="4324"/>
    <cellStyle name="Followed Hyperlink 6 2 2 5" xfId="4215"/>
    <cellStyle name="Followed Hyperlink 6 2 2 6" xfId="4356"/>
    <cellStyle name="Followed Hyperlink 6 2 2 7" xfId="4865"/>
    <cellStyle name="Followed Hyperlink 6 2 2 8" xfId="5644"/>
    <cellStyle name="Followed Hyperlink 6 2 3" xfId="1828"/>
    <cellStyle name="Followed Hyperlink 6 3" xfId="1829"/>
    <cellStyle name="Followed Hyperlink 6 4" xfId="1830"/>
    <cellStyle name="Followed Hyperlink 6 4 2" xfId="1831"/>
    <cellStyle name="Followed Hyperlink 6 4 2 2" xfId="4353"/>
    <cellStyle name="Followed Hyperlink 6 4 3" xfId="1832"/>
    <cellStyle name="Followed Hyperlink 6 4 3 2" xfId="4352"/>
    <cellStyle name="Followed Hyperlink 6 4 4" xfId="1833"/>
    <cellStyle name="Followed Hyperlink 6 4 5" xfId="4214"/>
    <cellStyle name="Followed Hyperlink 6 4 6" xfId="4354"/>
    <cellStyle name="Followed Hyperlink 6 4 7" xfId="4866"/>
    <cellStyle name="Followed Hyperlink 6 4 8" xfId="5645"/>
    <cellStyle name="Followed Hyperlink 6 5" xfId="1834"/>
    <cellStyle name="Followed Hyperlink 6 5 2" xfId="4386"/>
    <cellStyle name="Followed Hyperlink 6 6" xfId="1835"/>
    <cellStyle name="Followed Hyperlink 6 6 2" xfId="4374"/>
    <cellStyle name="Followed Hyperlink 6 7" xfId="1836"/>
    <cellStyle name="Followed Hyperlink 6 8" xfId="4314"/>
    <cellStyle name="Followed Hyperlink 7" xfId="1837"/>
    <cellStyle name="Followed Hyperlink 7 2" xfId="1838"/>
    <cellStyle name="Followed Hyperlink 7 2 2" xfId="1839"/>
    <cellStyle name="Followed Hyperlink 7 2 2 2" xfId="1840"/>
    <cellStyle name="Followed Hyperlink 7 2 2 2 2" xfId="4337"/>
    <cellStyle name="Followed Hyperlink 7 2 2 3" xfId="1841"/>
    <cellStyle name="Followed Hyperlink 7 2 2 3 2" xfId="4425"/>
    <cellStyle name="Followed Hyperlink 7 2 2 4" xfId="1842"/>
    <cellStyle name="Followed Hyperlink 7 2 2 4 2" xfId="4403"/>
    <cellStyle name="Followed Hyperlink 7 2 2 5" xfId="4213"/>
    <cellStyle name="Followed Hyperlink 7 2 2 6" xfId="4373"/>
    <cellStyle name="Followed Hyperlink 7 2 2 7" xfId="4867"/>
    <cellStyle name="Followed Hyperlink 7 2 2 8" xfId="5646"/>
    <cellStyle name="Followed Hyperlink 7 2 3" xfId="1843"/>
    <cellStyle name="Followed Hyperlink 7 3" xfId="1844"/>
    <cellStyle name="Followed Hyperlink 7 4" xfId="1845"/>
    <cellStyle name="Followed Hyperlink 7 4 2" xfId="1846"/>
    <cellStyle name="Followed Hyperlink 7 4 2 2" xfId="4371"/>
    <cellStyle name="Followed Hyperlink 7 4 3" xfId="1847"/>
    <cellStyle name="Followed Hyperlink 7 4 3 2" xfId="4336"/>
    <cellStyle name="Followed Hyperlink 7 4 4" xfId="1848"/>
    <cellStyle name="Followed Hyperlink 7 4 5" xfId="4212"/>
    <cellStyle name="Followed Hyperlink 7 4 6" xfId="4372"/>
    <cellStyle name="Followed Hyperlink 7 4 7" xfId="4868"/>
    <cellStyle name="Followed Hyperlink 7 4 8" xfId="5647"/>
    <cellStyle name="Followed Hyperlink 7 5" xfId="1849"/>
    <cellStyle name="Followed Hyperlink 7 5 2" xfId="4351"/>
    <cellStyle name="Followed Hyperlink 7 6" xfId="1850"/>
    <cellStyle name="Followed Hyperlink 7 6 2" xfId="4370"/>
    <cellStyle name="Followed Hyperlink 7 7" xfId="1851"/>
    <cellStyle name="Followed Hyperlink 7 8" xfId="4313"/>
    <cellStyle name="Good" xfId="6" builtinId="26" customBuiltin="1"/>
    <cellStyle name="Good 2" xfId="1852"/>
    <cellStyle name="Good 3" xfId="1853"/>
    <cellStyle name="Good 4" xfId="1854"/>
    <cellStyle name="Good 4 10" xfId="1855"/>
    <cellStyle name="Good 4 11" xfId="1856"/>
    <cellStyle name="Good 4 12" xfId="1857"/>
    <cellStyle name="Good 4 2" xfId="1858"/>
    <cellStyle name="Good 4 3" xfId="1859"/>
    <cellStyle name="Good 4 3 2" xfId="1860"/>
    <cellStyle name="Good 4 4" xfId="1861"/>
    <cellStyle name="Good 4 5" xfId="1862"/>
    <cellStyle name="Good 4 6" xfId="1863"/>
    <cellStyle name="Good 4 7" xfId="1864"/>
    <cellStyle name="Good 4 8" xfId="1865"/>
    <cellStyle name="Good 4 9" xfId="1866"/>
    <cellStyle name="Good 5" xfId="4648"/>
    <cellStyle name="Good 5 2" xfId="7449"/>
    <cellStyle name="Good 5 2 2" xfId="9205"/>
    <cellStyle name="Good 6" xfId="4677"/>
    <cellStyle name="Gut" xfId="1867"/>
    <cellStyle name="Heading 1" xfId="2" builtinId="16" customBuiltin="1"/>
    <cellStyle name="Heading 1 2" xfId="1868"/>
    <cellStyle name="Heading 1 3" xfId="1869"/>
    <cellStyle name="Heading 1 3 10" xfId="1870"/>
    <cellStyle name="Heading 1 3 11" xfId="1871"/>
    <cellStyle name="Heading 1 3 12" xfId="1872"/>
    <cellStyle name="Heading 1 3 2" xfId="1873"/>
    <cellStyle name="Heading 1 3 3" xfId="1874"/>
    <cellStyle name="Heading 1 3 3 2" xfId="1875"/>
    <cellStyle name="Heading 1 3 4" xfId="1876"/>
    <cellStyle name="Heading 1 3 5" xfId="1877"/>
    <cellStyle name="Heading 1 3 6" xfId="1878"/>
    <cellStyle name="Heading 1 3 7" xfId="1879"/>
    <cellStyle name="Heading 1 3 8" xfId="1880"/>
    <cellStyle name="Heading 1 3 9" xfId="1881"/>
    <cellStyle name="Heading 1 4" xfId="4633"/>
    <cellStyle name="Heading 1 4 2" xfId="7435"/>
    <cellStyle name="Heading 1 4 2 2" xfId="9191"/>
    <cellStyle name="Heading 1 5" xfId="4737"/>
    <cellStyle name="Heading 2" xfId="3" builtinId="17" customBuiltin="1"/>
    <cellStyle name="Heading 2 2" xfId="1882"/>
    <cellStyle name="Heading 2 3" xfId="1883"/>
    <cellStyle name="Heading 2 3 10" xfId="1884"/>
    <cellStyle name="Heading 2 3 11" xfId="1885"/>
    <cellStyle name="Heading 2 3 12" xfId="1886"/>
    <cellStyle name="Heading 2 3 2" xfId="1887"/>
    <cellStyle name="Heading 2 3 3" xfId="1888"/>
    <cellStyle name="Heading 2 3 3 2" xfId="1889"/>
    <cellStyle name="Heading 2 3 4" xfId="1890"/>
    <cellStyle name="Heading 2 3 5" xfId="1891"/>
    <cellStyle name="Heading 2 3 6" xfId="1892"/>
    <cellStyle name="Heading 2 3 7" xfId="1893"/>
    <cellStyle name="Heading 2 3 8" xfId="1894"/>
    <cellStyle name="Heading 2 3 9" xfId="1895"/>
    <cellStyle name="Heading 2 4" xfId="4623"/>
    <cellStyle name="Heading 2 4 2" xfId="7425"/>
    <cellStyle name="Heading 2 4 2 2" xfId="9181"/>
    <cellStyle name="Heading 2 5" xfId="4736"/>
    <cellStyle name="Heading 3" xfId="4" builtinId="18" customBuiltin="1"/>
    <cellStyle name="Heading 3 2" xfId="1896"/>
    <cellStyle name="Heading 3 3" xfId="1897"/>
    <cellStyle name="Heading 3 3 10" xfId="1898"/>
    <cellStyle name="Heading 3 3 11" xfId="1899"/>
    <cellStyle name="Heading 3 3 12" xfId="1900"/>
    <cellStyle name="Heading 3 3 2" xfId="1901"/>
    <cellStyle name="Heading 3 3 3" xfId="1902"/>
    <cellStyle name="Heading 3 3 3 2" xfId="1903"/>
    <cellStyle name="Heading 3 3 4" xfId="1904"/>
    <cellStyle name="Heading 3 3 5" xfId="1905"/>
    <cellStyle name="Heading 3 3 6" xfId="1906"/>
    <cellStyle name="Heading 3 3 7" xfId="1907"/>
    <cellStyle name="Heading 3 3 8" xfId="1908"/>
    <cellStyle name="Heading 3 3 9" xfId="1909"/>
    <cellStyle name="Heading 3 4" xfId="4627"/>
    <cellStyle name="Heading 3 4 2" xfId="7429"/>
    <cellStyle name="Heading 3 4 2 2" xfId="9185"/>
    <cellStyle name="Heading 3 5" xfId="4735"/>
    <cellStyle name="Heading 4" xfId="5" builtinId="19" customBuiltin="1"/>
    <cellStyle name="Heading 4 2" xfId="1910"/>
    <cellStyle name="Heading 4 3" xfId="1911"/>
    <cellStyle name="Heading 4 3 10" xfId="1912"/>
    <cellStyle name="Heading 4 3 11" xfId="1913"/>
    <cellStyle name="Heading 4 3 12" xfId="1914"/>
    <cellStyle name="Heading 4 3 2" xfId="1915"/>
    <cellStyle name="Heading 4 3 3" xfId="1916"/>
    <cellStyle name="Heading 4 3 3 2" xfId="1917"/>
    <cellStyle name="Heading 4 3 4" xfId="1918"/>
    <cellStyle name="Heading 4 3 5" xfId="1919"/>
    <cellStyle name="Heading 4 3 6" xfId="1920"/>
    <cellStyle name="Heading 4 3 7" xfId="1921"/>
    <cellStyle name="Heading 4 3 8" xfId="1922"/>
    <cellStyle name="Heading 4 3 9" xfId="1923"/>
    <cellStyle name="Heading 4 4" xfId="4646"/>
    <cellStyle name="Heading 4 4 2" xfId="7447"/>
    <cellStyle name="Heading 4 4 2 2" xfId="9203"/>
    <cellStyle name="Heading 4 5" xfId="4732"/>
    <cellStyle name="Hyperlink" xfId="41" builtinId="8"/>
    <cellStyle name="Hyperlink 10" xfId="1924"/>
    <cellStyle name="Hyperlink 10 10" xfId="1925"/>
    <cellStyle name="Hyperlink 10 11" xfId="1926"/>
    <cellStyle name="Hyperlink 10 2" xfId="1927"/>
    <cellStyle name="Hyperlink 10 3" xfId="1928"/>
    <cellStyle name="Hyperlink 10 4" xfId="1929"/>
    <cellStyle name="Hyperlink 10 5" xfId="1930"/>
    <cellStyle name="Hyperlink 10 6" xfId="1931"/>
    <cellStyle name="Hyperlink 10 7" xfId="1932"/>
    <cellStyle name="Hyperlink 10 8" xfId="1933"/>
    <cellStyle name="Hyperlink 10 9" xfId="1934"/>
    <cellStyle name="Hyperlink 11" xfId="1935"/>
    <cellStyle name="Hyperlink 11 10" xfId="1936"/>
    <cellStyle name="Hyperlink 11 11" xfId="1937"/>
    <cellStyle name="Hyperlink 11 12" xfId="1938"/>
    <cellStyle name="Hyperlink 11 2" xfId="1939"/>
    <cellStyle name="Hyperlink 11 3" xfId="1940"/>
    <cellStyle name="Hyperlink 11 3 2" xfId="1941"/>
    <cellStyle name="Hyperlink 11 4" xfId="1942"/>
    <cellStyle name="Hyperlink 11 5" xfId="1943"/>
    <cellStyle name="Hyperlink 11 6" xfId="1944"/>
    <cellStyle name="Hyperlink 11 7" xfId="1945"/>
    <cellStyle name="Hyperlink 11 8" xfId="1946"/>
    <cellStyle name="Hyperlink 11 9" xfId="1947"/>
    <cellStyle name="Hyperlink 12" xfId="1948"/>
    <cellStyle name="Hyperlink 13" xfId="1949"/>
    <cellStyle name="Hyperlink 13 2" xfId="1950"/>
    <cellStyle name="Hyperlink 13 3" xfId="4672"/>
    <cellStyle name="Hyperlink 13 3 2" xfId="4766"/>
    <cellStyle name="Hyperlink 14" xfId="4763"/>
    <cellStyle name="Hyperlink 14 2" xfId="5010"/>
    <cellStyle name="Hyperlink 15" xfId="5280"/>
    <cellStyle name="Hyperlink 15 2" xfId="5427"/>
    <cellStyle name="Hyperlink 2" xfId="1951"/>
    <cellStyle name="Hyperlink 2 10" xfId="1952"/>
    <cellStyle name="Hyperlink 2 11" xfId="1953"/>
    <cellStyle name="Hyperlink 2 12" xfId="1954"/>
    <cellStyle name="Hyperlink 2 2" xfId="1955"/>
    <cellStyle name="Hyperlink 2 3" xfId="1956"/>
    <cellStyle name="Hyperlink 2 3 2" xfId="1957"/>
    <cellStyle name="Hyperlink 2 3 2 2" xfId="1958"/>
    <cellStyle name="Hyperlink 2 3 2 2 2" xfId="1959"/>
    <cellStyle name="Hyperlink 2 3 2 2 2 2" xfId="4333"/>
    <cellStyle name="Hyperlink 2 3 2 2 3" xfId="1960"/>
    <cellStyle name="Hyperlink 2 3 2 2 3 2" xfId="4378"/>
    <cellStyle name="Hyperlink 2 3 2 2 4" xfId="1961"/>
    <cellStyle name="Hyperlink 2 3 2 2 4 2" xfId="4369"/>
    <cellStyle name="Hyperlink 2 3 2 2 5" xfId="4211"/>
    <cellStyle name="Hyperlink 2 3 2 2 6" xfId="4428"/>
    <cellStyle name="Hyperlink 2 3 2 2 7" xfId="4869"/>
    <cellStyle name="Hyperlink 2 3 2 2 8" xfId="5648"/>
    <cellStyle name="Hyperlink 2 3 2 3" xfId="1962"/>
    <cellStyle name="Hyperlink 2 3 3" xfId="1963"/>
    <cellStyle name="Hyperlink 2 3 4" xfId="1964"/>
    <cellStyle name="Hyperlink 2 3 4 2" xfId="1965"/>
    <cellStyle name="Hyperlink 2 3 4 2 2" xfId="4332"/>
    <cellStyle name="Hyperlink 2 3 4 3" xfId="1966"/>
    <cellStyle name="Hyperlink 2 3 4 3 2" xfId="4331"/>
    <cellStyle name="Hyperlink 2 3 4 4" xfId="1967"/>
    <cellStyle name="Hyperlink 2 3 4 5" xfId="4210"/>
    <cellStyle name="Hyperlink 2 3 4 6" xfId="4429"/>
    <cellStyle name="Hyperlink 2 3 4 7" xfId="4870"/>
    <cellStyle name="Hyperlink 2 3 4 8" xfId="5649"/>
    <cellStyle name="Hyperlink 2 3 5" xfId="1968"/>
    <cellStyle name="Hyperlink 2 3 5 2" xfId="4368"/>
    <cellStyle name="Hyperlink 2 3 6" xfId="1969"/>
    <cellStyle name="Hyperlink 2 3 6 2" xfId="4330"/>
    <cellStyle name="Hyperlink 2 3 7" xfId="1970"/>
    <cellStyle name="Hyperlink 2 3 8" xfId="4312"/>
    <cellStyle name="Hyperlink 2 4" xfId="1971"/>
    <cellStyle name="Hyperlink 2 5" xfId="1972"/>
    <cellStyle name="Hyperlink 2 6" xfId="1973"/>
    <cellStyle name="Hyperlink 2 7" xfId="1974"/>
    <cellStyle name="Hyperlink 2 8" xfId="1975"/>
    <cellStyle name="Hyperlink 2 9" xfId="1976"/>
    <cellStyle name="Hyperlink 3" xfId="1977"/>
    <cellStyle name="Hyperlink 3 10" xfId="1978"/>
    <cellStyle name="Hyperlink 3 11" xfId="1979"/>
    <cellStyle name="Hyperlink 3 12" xfId="1980"/>
    <cellStyle name="Hyperlink 3 2" xfId="1981"/>
    <cellStyle name="Hyperlink 3 3" xfId="1982"/>
    <cellStyle name="Hyperlink 3 3 2" xfId="1983"/>
    <cellStyle name="Hyperlink 3 3 2 2" xfId="1984"/>
    <cellStyle name="Hyperlink 3 3 2 2 2" xfId="1985"/>
    <cellStyle name="Hyperlink 3 3 2 2 2 2" xfId="4390"/>
    <cellStyle name="Hyperlink 3 3 2 2 3" xfId="1986"/>
    <cellStyle name="Hyperlink 3 3 2 2 3 2" xfId="4367"/>
    <cellStyle name="Hyperlink 3 3 2 2 4" xfId="1987"/>
    <cellStyle name="Hyperlink 3 3 2 2 4 2" xfId="4430"/>
    <cellStyle name="Hyperlink 3 3 2 2 5" xfId="4209"/>
    <cellStyle name="Hyperlink 3 3 2 2 6" xfId="4350"/>
    <cellStyle name="Hyperlink 3 3 2 2 7" xfId="4871"/>
    <cellStyle name="Hyperlink 3 3 2 2 8" xfId="5650"/>
    <cellStyle name="Hyperlink 3 3 2 3" xfId="1988"/>
    <cellStyle name="Hyperlink 3 3 3" xfId="1989"/>
    <cellStyle name="Hyperlink 3 3 4" xfId="1990"/>
    <cellStyle name="Hyperlink 3 3 4 2" xfId="1991"/>
    <cellStyle name="Hyperlink 3 3 4 2 2" xfId="4335"/>
    <cellStyle name="Hyperlink 3 3 4 3" xfId="1992"/>
    <cellStyle name="Hyperlink 3 3 4 3 2" xfId="4431"/>
    <cellStyle name="Hyperlink 3 3 4 4" xfId="1993"/>
    <cellStyle name="Hyperlink 3 3 4 5" xfId="4208"/>
    <cellStyle name="Hyperlink 3 3 4 6" xfId="4366"/>
    <cellStyle name="Hyperlink 3 3 4 7" xfId="4872"/>
    <cellStyle name="Hyperlink 3 3 4 8" xfId="5651"/>
    <cellStyle name="Hyperlink 3 3 5" xfId="1994"/>
    <cellStyle name="Hyperlink 3 3 5 2" xfId="4329"/>
    <cellStyle name="Hyperlink 3 3 6" xfId="1995"/>
    <cellStyle name="Hyperlink 3 3 6 2" xfId="4365"/>
    <cellStyle name="Hyperlink 3 3 7" xfId="1996"/>
    <cellStyle name="Hyperlink 3 3 8" xfId="4311"/>
    <cellStyle name="Hyperlink 3 4" xfId="1997"/>
    <cellStyle name="Hyperlink 3 5" xfId="1998"/>
    <cellStyle name="Hyperlink 3 6" xfId="1999"/>
    <cellStyle name="Hyperlink 3 7" xfId="2000"/>
    <cellStyle name="Hyperlink 3 8" xfId="2001"/>
    <cellStyle name="Hyperlink 3 9" xfId="2002"/>
    <cellStyle name="Hyperlink 4" xfId="2003"/>
    <cellStyle name="Hyperlink 4 10" xfId="2004"/>
    <cellStyle name="Hyperlink 4 11" xfId="2005"/>
    <cellStyle name="Hyperlink 4 12" xfId="2006"/>
    <cellStyle name="Hyperlink 4 13" xfId="2007"/>
    <cellStyle name="Hyperlink 4 2" xfId="2008"/>
    <cellStyle name="Hyperlink 4 3" xfId="2009"/>
    <cellStyle name="Hyperlink 4 3 10" xfId="2010"/>
    <cellStyle name="Hyperlink 4 3 11" xfId="2011"/>
    <cellStyle name="Hyperlink 4 3 2" xfId="2012"/>
    <cellStyle name="Hyperlink 4 3 3" xfId="2013"/>
    <cellStyle name="Hyperlink 4 3 4" xfId="2014"/>
    <cellStyle name="Hyperlink 4 3 5" xfId="2015"/>
    <cellStyle name="Hyperlink 4 3 6" xfId="2016"/>
    <cellStyle name="Hyperlink 4 3 7" xfId="2017"/>
    <cellStyle name="Hyperlink 4 3 8" xfId="2018"/>
    <cellStyle name="Hyperlink 4 3 9" xfId="2019"/>
    <cellStyle name="Hyperlink 4 4" xfId="2020"/>
    <cellStyle name="Hyperlink 4 4 2" xfId="2021"/>
    <cellStyle name="Hyperlink 4 4 2 2" xfId="2022"/>
    <cellStyle name="Hyperlink 4 4 2 2 2" xfId="2023"/>
    <cellStyle name="Hyperlink 4 4 2 2 2 2" xfId="4348"/>
    <cellStyle name="Hyperlink 4 4 2 2 3" xfId="2024"/>
    <cellStyle name="Hyperlink 4 4 2 2 3 2" xfId="4364"/>
    <cellStyle name="Hyperlink 4 4 2 2 4" xfId="2025"/>
    <cellStyle name="Hyperlink 4 4 2 2 4 2" xfId="4377"/>
    <cellStyle name="Hyperlink 4 4 2 2 5" xfId="4207"/>
    <cellStyle name="Hyperlink 4 4 2 2 6" xfId="4349"/>
    <cellStyle name="Hyperlink 4 4 2 2 7" xfId="4873"/>
    <cellStyle name="Hyperlink 4 4 2 2 8" xfId="5652"/>
    <cellStyle name="Hyperlink 4 4 2 3" xfId="2026"/>
    <cellStyle name="Hyperlink 4 4 3" xfId="2027"/>
    <cellStyle name="Hyperlink 4 4 4" xfId="2028"/>
    <cellStyle name="Hyperlink 4 4 4 2" xfId="2029"/>
    <cellStyle name="Hyperlink 4 4 4 2 2" xfId="4401"/>
    <cellStyle name="Hyperlink 4 4 4 3" xfId="2030"/>
    <cellStyle name="Hyperlink 4 4 4 3 2" xfId="4400"/>
    <cellStyle name="Hyperlink 4 4 4 4" xfId="2031"/>
    <cellStyle name="Hyperlink 4 4 4 5" xfId="4206"/>
    <cellStyle name="Hyperlink 4 4 4 6" xfId="4402"/>
    <cellStyle name="Hyperlink 4 4 4 7" xfId="4874"/>
    <cellStyle name="Hyperlink 4 4 4 8" xfId="5653"/>
    <cellStyle name="Hyperlink 4 4 5" xfId="2032"/>
    <cellStyle name="Hyperlink 4 4 5 2" xfId="4328"/>
    <cellStyle name="Hyperlink 4 4 6" xfId="2033"/>
    <cellStyle name="Hyperlink 4 4 6 2" xfId="4347"/>
    <cellStyle name="Hyperlink 4 4 7" xfId="2034"/>
    <cellStyle name="Hyperlink 4 4 8" xfId="4310"/>
    <cellStyle name="Hyperlink 4 5" xfId="2035"/>
    <cellStyle name="Hyperlink 4 6" xfId="2036"/>
    <cellStyle name="Hyperlink 4 7" xfId="2037"/>
    <cellStyle name="Hyperlink 4 8" xfId="2038"/>
    <cellStyle name="Hyperlink 4 9" xfId="2039"/>
    <cellStyle name="Hyperlink 5" xfId="2040"/>
    <cellStyle name="Hyperlink 5 10" xfId="2041"/>
    <cellStyle name="Hyperlink 5 11" xfId="2042"/>
    <cellStyle name="Hyperlink 5 12" xfId="2043"/>
    <cellStyle name="Hyperlink 5 2" xfId="2044"/>
    <cellStyle name="Hyperlink 5 3" xfId="2045"/>
    <cellStyle name="Hyperlink 5 3 2" xfId="2046"/>
    <cellStyle name="Hyperlink 5 3 2 2" xfId="2047"/>
    <cellStyle name="Hyperlink 5 3 2 2 2" xfId="2048"/>
    <cellStyle name="Hyperlink 5 3 2 2 2 2" xfId="4398"/>
    <cellStyle name="Hyperlink 5 3 2 2 3" xfId="2049"/>
    <cellStyle name="Hyperlink 5 3 2 2 3 2" xfId="4397"/>
    <cellStyle name="Hyperlink 5 3 2 2 4" xfId="2050"/>
    <cellStyle name="Hyperlink 5 3 2 2 4 2" xfId="4376"/>
    <cellStyle name="Hyperlink 5 3 2 2 5" xfId="4205"/>
    <cellStyle name="Hyperlink 5 3 2 2 6" xfId="4399"/>
    <cellStyle name="Hyperlink 5 3 2 2 7" xfId="4875"/>
    <cellStyle name="Hyperlink 5 3 2 2 8" xfId="5654"/>
    <cellStyle name="Hyperlink 5 3 2 3" xfId="2051"/>
    <cellStyle name="Hyperlink 5 3 3" xfId="2052"/>
    <cellStyle name="Hyperlink 5 3 4" xfId="2053"/>
    <cellStyle name="Hyperlink 5 3 4 2" xfId="2054"/>
    <cellStyle name="Hyperlink 5 3 4 2 2" xfId="4346"/>
    <cellStyle name="Hyperlink 5 3 4 3" xfId="2055"/>
    <cellStyle name="Hyperlink 5 3 4 3 2" xfId="4345"/>
    <cellStyle name="Hyperlink 5 3 4 4" xfId="2056"/>
    <cellStyle name="Hyperlink 5 3 4 5" xfId="4204"/>
    <cellStyle name="Hyperlink 5 3 4 6" xfId="4363"/>
    <cellStyle name="Hyperlink 5 3 4 7" xfId="4876"/>
    <cellStyle name="Hyperlink 5 3 4 8" xfId="5655"/>
    <cellStyle name="Hyperlink 5 3 5" xfId="2057"/>
    <cellStyle name="Hyperlink 5 3 5 2" xfId="4396"/>
    <cellStyle name="Hyperlink 5 3 6" xfId="2058"/>
    <cellStyle name="Hyperlink 5 3 6 2" xfId="4395"/>
    <cellStyle name="Hyperlink 5 3 7" xfId="2059"/>
    <cellStyle name="Hyperlink 5 3 8" xfId="4309"/>
    <cellStyle name="Hyperlink 5 4" xfId="2060"/>
    <cellStyle name="Hyperlink 5 5" xfId="2061"/>
    <cellStyle name="Hyperlink 5 6" xfId="2062"/>
    <cellStyle name="Hyperlink 5 7" xfId="2063"/>
    <cellStyle name="Hyperlink 5 8" xfId="2064"/>
    <cellStyle name="Hyperlink 5 9" xfId="2065"/>
    <cellStyle name="Hyperlink 6" xfId="2066"/>
    <cellStyle name="Hyperlink 6 10" xfId="2067"/>
    <cellStyle name="Hyperlink 6 11" xfId="2068"/>
    <cellStyle name="Hyperlink 6 12" xfId="2069"/>
    <cellStyle name="Hyperlink 6 2" xfId="2070"/>
    <cellStyle name="Hyperlink 6 3" xfId="2071"/>
    <cellStyle name="Hyperlink 6 3 2" xfId="2072"/>
    <cellStyle name="Hyperlink 6 3 2 2" xfId="2073"/>
    <cellStyle name="Hyperlink 6 3 2 2 2" xfId="2074"/>
    <cellStyle name="Hyperlink 6 3 2 2 2 2" xfId="4362"/>
    <cellStyle name="Hyperlink 6 3 2 2 3" xfId="2075"/>
    <cellStyle name="Hyperlink 6 3 2 2 3 2" xfId="4359"/>
    <cellStyle name="Hyperlink 6 3 2 2 4" xfId="2076"/>
    <cellStyle name="Hyperlink 6 3 2 2 4 2" xfId="4343"/>
    <cellStyle name="Hyperlink 6 3 2 2 5" xfId="4203"/>
    <cellStyle name="Hyperlink 6 3 2 2 6" xfId="4344"/>
    <cellStyle name="Hyperlink 6 3 2 2 7" xfId="4877"/>
    <cellStyle name="Hyperlink 6 3 2 2 8" xfId="5656"/>
    <cellStyle name="Hyperlink 6 3 2 3" xfId="2077"/>
    <cellStyle name="Hyperlink 6 3 3" xfId="2078"/>
    <cellStyle name="Hyperlink 6 3 4" xfId="2079"/>
    <cellStyle name="Hyperlink 6 3 4 2" xfId="2080"/>
    <cellStyle name="Hyperlink 6 3 4 2 2" xfId="4406"/>
    <cellStyle name="Hyperlink 6 3 4 3" xfId="2081"/>
    <cellStyle name="Hyperlink 6 3 4 3 2" xfId="4405"/>
    <cellStyle name="Hyperlink 6 3 4 4" xfId="2082"/>
    <cellStyle name="Hyperlink 6 3 4 5" xfId="4202"/>
    <cellStyle name="Hyperlink 6 3 4 6" xfId="4394"/>
    <cellStyle name="Hyperlink 6 3 4 7" xfId="4878"/>
    <cellStyle name="Hyperlink 6 3 4 8" xfId="5657"/>
    <cellStyle name="Hyperlink 6 3 5" xfId="2083"/>
    <cellStyle name="Hyperlink 6 3 5 2" xfId="4393"/>
    <cellStyle name="Hyperlink 6 3 6" xfId="2084"/>
    <cellStyle name="Hyperlink 6 3 6 2" xfId="4342"/>
    <cellStyle name="Hyperlink 6 3 7" xfId="2085"/>
    <cellStyle name="Hyperlink 6 3 8" xfId="4308"/>
    <cellStyle name="Hyperlink 6 4" xfId="2086"/>
    <cellStyle name="Hyperlink 6 5" xfId="2087"/>
    <cellStyle name="Hyperlink 6 6" xfId="2088"/>
    <cellStyle name="Hyperlink 6 7" xfId="2089"/>
    <cellStyle name="Hyperlink 6 8" xfId="2090"/>
    <cellStyle name="Hyperlink 6 9" xfId="2091"/>
    <cellStyle name="Hyperlink 7" xfId="2092"/>
    <cellStyle name="Hyperlink 7 2" xfId="2093"/>
    <cellStyle name="Hyperlink 7 2 2" xfId="2094"/>
    <cellStyle name="Hyperlink 7 2 2 2" xfId="2095"/>
    <cellStyle name="Hyperlink 7 2 2 2 2" xfId="2096"/>
    <cellStyle name="Hyperlink 7 2 2 2 2 2" xfId="4340"/>
    <cellStyle name="Hyperlink 7 2 2 2 3" xfId="2097"/>
    <cellStyle name="Hyperlink 7 2 2 2 3 2" xfId="4392"/>
    <cellStyle name="Hyperlink 7 2 2 2 4" xfId="2098"/>
    <cellStyle name="Hyperlink 7 2 2 2 4 2" xfId="4391"/>
    <cellStyle name="Hyperlink 7 2 2 2 5" xfId="4201"/>
    <cellStyle name="Hyperlink 7 2 2 2 6" xfId="4341"/>
    <cellStyle name="Hyperlink 7 2 2 2 7" xfId="4879"/>
    <cellStyle name="Hyperlink 7 2 2 2 8" xfId="5658"/>
    <cellStyle name="Hyperlink 7 2 2 3" xfId="2099"/>
    <cellStyle name="Hyperlink 7 2 3" xfId="2100"/>
    <cellStyle name="Hyperlink 7 2 4" xfId="2101"/>
    <cellStyle name="Hyperlink 7 2 4 2" xfId="2102"/>
    <cellStyle name="Hyperlink 7 2 4 2 2" xfId="4338"/>
    <cellStyle name="Hyperlink 7 2 4 3" xfId="2103"/>
    <cellStyle name="Hyperlink 7 2 4 3 2" xfId="4327"/>
    <cellStyle name="Hyperlink 7 2 4 4" xfId="2104"/>
    <cellStyle name="Hyperlink 7 2 4 5" xfId="4200"/>
    <cellStyle name="Hyperlink 7 2 4 6" xfId="4339"/>
    <cellStyle name="Hyperlink 7 2 4 7" xfId="4880"/>
    <cellStyle name="Hyperlink 7 2 4 8" xfId="5659"/>
    <cellStyle name="Hyperlink 7 2 5" xfId="2105"/>
    <cellStyle name="Hyperlink 7 2 5 2" xfId="4326"/>
    <cellStyle name="Hyperlink 7 2 6" xfId="2106"/>
    <cellStyle name="Hyperlink 7 2 6 2" xfId="4325"/>
    <cellStyle name="Hyperlink 7 2 7" xfId="2107"/>
    <cellStyle name="Hyperlink 7 2 8" xfId="4307"/>
    <cellStyle name="Hyperlink 8" xfId="2108"/>
    <cellStyle name="Hyperlink 8 10" xfId="2109"/>
    <cellStyle name="Hyperlink 8 11" xfId="2110"/>
    <cellStyle name="Hyperlink 8 2" xfId="2111"/>
    <cellStyle name="Hyperlink 8 3" xfId="2112"/>
    <cellStyle name="Hyperlink 8 4" xfId="2113"/>
    <cellStyle name="Hyperlink 8 5" xfId="2114"/>
    <cellStyle name="Hyperlink 8 6" xfId="2115"/>
    <cellStyle name="Hyperlink 8 7" xfId="2116"/>
    <cellStyle name="Hyperlink 8 8" xfId="2117"/>
    <cellStyle name="Hyperlink 8 9" xfId="2118"/>
    <cellStyle name="Hyperlink 9" xfId="2119"/>
    <cellStyle name="Hyperlink 9 10" xfId="2120"/>
    <cellStyle name="Hyperlink 9 11" xfId="2121"/>
    <cellStyle name="Hyperlink 9 2" xfId="2122"/>
    <cellStyle name="Hyperlink 9 3" xfId="2123"/>
    <cellStyle name="Hyperlink 9 4" xfId="2124"/>
    <cellStyle name="Hyperlink 9 5" xfId="2125"/>
    <cellStyle name="Hyperlink 9 6" xfId="2126"/>
    <cellStyle name="Hyperlink 9 7" xfId="2127"/>
    <cellStyle name="Hyperlink 9 8" xfId="2128"/>
    <cellStyle name="Hyperlink 9 9" xfId="2129"/>
    <cellStyle name="Input" xfId="9" builtinId="20" customBuiltin="1"/>
    <cellStyle name="Input 2" xfId="2130"/>
    <cellStyle name="Input 2 2" xfId="5240"/>
    <cellStyle name="Input 2 2 2" xfId="6216"/>
    <cellStyle name="Input 2 2 2 2" xfId="6992"/>
    <cellStyle name="Input 2 2 2 2 2" xfId="9832"/>
    <cellStyle name="Input 2 2 2 2 2 2" xfId="14709"/>
    <cellStyle name="Input 2 2 2 2 2 2 2" xfId="15915"/>
    <cellStyle name="Input 2 2 2 2 3" xfId="12676"/>
    <cellStyle name="Input 2 2 2 2 3 2" xfId="18769"/>
    <cellStyle name="Input 2 2 2 3" xfId="8681"/>
    <cellStyle name="Input 2 2 2 3 2" xfId="13946"/>
    <cellStyle name="Input 2 2 2 3 2 2" xfId="17978"/>
    <cellStyle name="Input 2 2 2 4" xfId="11679"/>
    <cellStyle name="Input 2 2 2 4 2" xfId="19969"/>
    <cellStyle name="Input 2 2 3" xfId="7681"/>
    <cellStyle name="Input 2 2 3 2" xfId="10075"/>
    <cellStyle name="Input 2 2 3 2 2" xfId="14919"/>
    <cellStyle name="Input 2 2 3 2 2 2" xfId="15808"/>
    <cellStyle name="Input 2 2 3 3" xfId="12958"/>
    <cellStyle name="Input 2 2 3 3 2" xfId="19890"/>
    <cellStyle name="Input 2 2 4" xfId="8209"/>
    <cellStyle name="Input 2 2 4 2" xfId="13474"/>
    <cellStyle name="Input 2 2 4 2 2" xfId="16644"/>
    <cellStyle name="Input 2 2 5" xfId="11098"/>
    <cellStyle name="Input 2 2 5 2" xfId="18326"/>
    <cellStyle name="Input 2 3" xfId="5819"/>
    <cellStyle name="Input 2 3 2" xfId="7688"/>
    <cellStyle name="Input 2 3 2 2" xfId="10082"/>
    <cellStyle name="Input 2 3 2 2 2" xfId="14926"/>
    <cellStyle name="Input 2 3 2 2 2 2" xfId="15806"/>
    <cellStyle name="Input 2 3 2 3" xfId="12965"/>
    <cellStyle name="Input 2 3 2 3 2" xfId="19542"/>
    <cellStyle name="Input 2 3 3" xfId="8354"/>
    <cellStyle name="Input 2 3 3 2" xfId="13619"/>
    <cellStyle name="Input 2 3 3 2 2" xfId="15527"/>
    <cellStyle name="Input 2 3 4" xfId="11282"/>
    <cellStyle name="Input 2 3 4 2" xfId="17300"/>
    <cellStyle name="Input 2 4" xfId="6686"/>
    <cellStyle name="Input 2 4 2" xfId="9633"/>
    <cellStyle name="Input 2 4 2 2" xfId="14530"/>
    <cellStyle name="Input 2 4 2 2 2" xfId="18446"/>
    <cellStyle name="Input 2 4 3" xfId="12370"/>
    <cellStyle name="Input 2 4 3 2" xfId="18191"/>
    <cellStyle name="Input 2 5" xfId="7873"/>
    <cellStyle name="Input 2 5 2" xfId="13142"/>
    <cellStyle name="Input 2 5 2 2" xfId="19158"/>
    <cellStyle name="Input 2 6" xfId="10690"/>
    <cellStyle name="Input 2 6 2" xfId="17737"/>
    <cellStyle name="Input 3" xfId="2131"/>
    <cellStyle name="Input 3 2" xfId="5239"/>
    <cellStyle name="Input 3 2 2" xfId="6215"/>
    <cellStyle name="Input 3 2 2 2" xfId="6719"/>
    <cellStyle name="Input 3 2 2 2 2" xfId="9655"/>
    <cellStyle name="Input 3 2 2 2 2 2" xfId="14552"/>
    <cellStyle name="Input 3 2 2 2 2 2 2" xfId="16024"/>
    <cellStyle name="Input 3 2 2 2 3" xfId="12403"/>
    <cellStyle name="Input 3 2 2 2 3 2" xfId="17766"/>
    <cellStyle name="Input 3 2 2 3" xfId="8680"/>
    <cellStyle name="Input 3 2 2 3 2" xfId="13945"/>
    <cellStyle name="Input 3 2 2 3 2 2" xfId="18718"/>
    <cellStyle name="Input 3 2 2 4" xfId="11678"/>
    <cellStyle name="Input 3 2 2 4 2" xfId="19667"/>
    <cellStyle name="Input 3 2 3" xfId="6656"/>
    <cellStyle name="Input 3 2 3 2" xfId="9605"/>
    <cellStyle name="Input 3 2 3 2 2" xfId="14505"/>
    <cellStyle name="Input 3 2 3 2 2 2" xfId="16055"/>
    <cellStyle name="Input 3 2 3 3" xfId="12341"/>
    <cellStyle name="Input 3 2 3 3 2" xfId="17762"/>
    <cellStyle name="Input 3 2 4" xfId="8208"/>
    <cellStyle name="Input 3 2 4 2" xfId="13473"/>
    <cellStyle name="Input 3 2 4 2 2" xfId="18696"/>
    <cellStyle name="Input 3 2 5" xfId="11097"/>
    <cellStyle name="Input 3 2 5 2" xfId="18608"/>
    <cellStyle name="Input 3 3" xfId="5818"/>
    <cellStyle name="Input 3 3 2" xfId="6643"/>
    <cellStyle name="Input 3 3 2 2" xfId="9592"/>
    <cellStyle name="Input 3 3 2 2 2" xfId="14492"/>
    <cellStyle name="Input 3 3 2 2 2 2" xfId="17816"/>
    <cellStyle name="Input 3 3 2 3" xfId="12328"/>
    <cellStyle name="Input 3 3 2 3 2" xfId="17951"/>
    <cellStyle name="Input 3 3 3" xfId="8353"/>
    <cellStyle name="Input 3 3 3 2" xfId="13618"/>
    <cellStyle name="Input 3 3 3 2 2" xfId="16571"/>
    <cellStyle name="Input 3 3 4" xfId="11281"/>
    <cellStyle name="Input 3 3 4 2" xfId="17301"/>
    <cellStyle name="Input 3 4" xfId="7004"/>
    <cellStyle name="Input 3 4 2" xfId="9838"/>
    <cellStyle name="Input 3 4 2 2" xfId="14714"/>
    <cellStyle name="Input 3 4 2 2 2" xfId="15910"/>
    <cellStyle name="Input 3 4 3" xfId="12688"/>
    <cellStyle name="Input 3 4 3 2" xfId="19277"/>
    <cellStyle name="Input 3 5" xfId="7874"/>
    <cellStyle name="Input 3 5 2" xfId="13143"/>
    <cellStyle name="Input 3 5 2 2" xfId="19619"/>
    <cellStyle name="Input 3 6" xfId="10691"/>
    <cellStyle name="Input 3 6 2" xfId="17736"/>
    <cellStyle name="Input 4" xfId="2132"/>
    <cellStyle name="Input 4 10" xfId="2133"/>
    <cellStyle name="Input 4 10 2" xfId="5288"/>
    <cellStyle name="Input 4 10 2 2" xfId="7684"/>
    <cellStyle name="Input 4 10 2 2 2" xfId="10078"/>
    <cellStyle name="Input 4 10 2 2 2 2" xfId="14922"/>
    <cellStyle name="Input 4 10 2 2 2 2 2" xfId="15805"/>
    <cellStyle name="Input 4 10 2 2 3" xfId="12961"/>
    <cellStyle name="Input 4 10 2 2 3 2" xfId="20003"/>
    <cellStyle name="Input 4 10 2 3" xfId="8231"/>
    <cellStyle name="Input 4 10 2 3 2" xfId="13496"/>
    <cellStyle name="Input 4 10 2 3 2 2" xfId="18875"/>
    <cellStyle name="Input 4 10 2 4" xfId="11120"/>
    <cellStyle name="Input 4 10 2 4 2" xfId="17417"/>
    <cellStyle name="Input 4 10 3" xfId="5926"/>
    <cellStyle name="Input 4 10 3 2" xfId="7050"/>
    <cellStyle name="Input 4 10 3 2 2" xfId="9870"/>
    <cellStyle name="Input 4 10 3 2 2 2" xfId="14744"/>
    <cellStyle name="Input 4 10 3 2 2 2 2" xfId="18063"/>
    <cellStyle name="Input 4 10 3 2 3" xfId="12734"/>
    <cellStyle name="Input 4 10 3 2 3 2" xfId="19592"/>
    <cellStyle name="Input 4 10 3 3" xfId="8428"/>
    <cellStyle name="Input 4 10 3 3 2" xfId="13693"/>
    <cellStyle name="Input 4 10 3 3 2 2" xfId="16529"/>
    <cellStyle name="Input 4 10 3 4" xfId="11389"/>
    <cellStyle name="Input 4 10 3 4 2" xfId="19778"/>
    <cellStyle name="Input 4 10 4" xfId="7664"/>
    <cellStyle name="Input 4 10 4 2" xfId="10062"/>
    <cellStyle name="Input 4 10 4 2 2" xfId="14906"/>
    <cellStyle name="Input 4 10 4 2 2 2" xfId="18639"/>
    <cellStyle name="Input 4 10 4 3" xfId="12941"/>
    <cellStyle name="Input 4 10 4 3 2" xfId="19615"/>
    <cellStyle name="Input 4 10 5" xfId="7876"/>
    <cellStyle name="Input 4 10 5 2" xfId="13145"/>
    <cellStyle name="Input 4 10 5 2 2" xfId="19303"/>
    <cellStyle name="Input 4 10 6" xfId="10693"/>
    <cellStyle name="Input 4 10 6 2" xfId="17734"/>
    <cellStyle name="Input 4 11" xfId="2134"/>
    <cellStyle name="Input 4 11 2" xfId="5297"/>
    <cellStyle name="Input 4 11 2 2" xfId="6982"/>
    <cellStyle name="Input 4 11 2 2 2" xfId="9824"/>
    <cellStyle name="Input 4 11 2 2 2 2" xfId="14702"/>
    <cellStyle name="Input 4 11 2 2 2 2 2" xfId="18955"/>
    <cellStyle name="Input 4 11 2 2 3" xfId="12666"/>
    <cellStyle name="Input 4 11 2 2 3 2" xfId="19076"/>
    <cellStyle name="Input 4 11 2 3" xfId="8240"/>
    <cellStyle name="Input 4 11 2 3 2" xfId="13505"/>
    <cellStyle name="Input 4 11 2 3 2 2" xfId="18692"/>
    <cellStyle name="Input 4 11 2 4" xfId="11129"/>
    <cellStyle name="Input 4 11 2 4 2" xfId="17408"/>
    <cellStyle name="Input 4 11 3" xfId="5925"/>
    <cellStyle name="Input 4 11 3 2" xfId="6913"/>
    <cellStyle name="Input 4 11 3 2 2" xfId="9773"/>
    <cellStyle name="Input 4 11 3 2 2 2" xfId="14660"/>
    <cellStyle name="Input 4 11 3 2 2 2 2" xfId="15945"/>
    <cellStyle name="Input 4 11 3 2 3" xfId="12597"/>
    <cellStyle name="Input 4 11 3 2 3 2" xfId="16849"/>
    <cellStyle name="Input 4 11 3 3" xfId="8427"/>
    <cellStyle name="Input 4 11 3 3 2" xfId="13692"/>
    <cellStyle name="Input 4 11 3 3 2 2" xfId="16530"/>
    <cellStyle name="Input 4 11 3 4" xfId="11388"/>
    <cellStyle name="Input 4 11 3 4 2" xfId="19319"/>
    <cellStyle name="Input 4 11 4" xfId="6564"/>
    <cellStyle name="Input 4 11 4 2" xfId="9523"/>
    <cellStyle name="Input 4 11 4 2 2" xfId="14424"/>
    <cellStyle name="Input 4 11 4 2 2 2" xfId="18144"/>
    <cellStyle name="Input 4 11 4 3" xfId="12249"/>
    <cellStyle name="Input 4 11 4 3 2" xfId="17943"/>
    <cellStyle name="Input 4 11 5" xfId="7877"/>
    <cellStyle name="Input 4 11 5 2" xfId="13146"/>
    <cellStyle name="Input 4 11 5 2 2" xfId="19744"/>
    <cellStyle name="Input 4 11 6" xfId="10694"/>
    <cellStyle name="Input 4 11 6 2" xfId="17733"/>
    <cellStyle name="Input 4 12" xfId="2135"/>
    <cellStyle name="Input 4 12 2" xfId="5286"/>
    <cellStyle name="Input 4 12 2 2" xfId="6456"/>
    <cellStyle name="Input 4 12 2 2 2" xfId="9435"/>
    <cellStyle name="Input 4 12 2 2 2 2" xfId="14340"/>
    <cellStyle name="Input 4 12 2 2 2 2 2" xfId="16152"/>
    <cellStyle name="Input 4 12 2 2 3" xfId="12141"/>
    <cellStyle name="Input 4 12 2 2 3 2" xfId="17033"/>
    <cellStyle name="Input 4 12 2 3" xfId="8229"/>
    <cellStyle name="Input 4 12 2 3 2" xfId="13494"/>
    <cellStyle name="Input 4 12 2 3 2 2" xfId="15416"/>
    <cellStyle name="Input 4 12 2 4" xfId="11118"/>
    <cellStyle name="Input 4 12 2 4 2" xfId="18277"/>
    <cellStyle name="Input 4 12 3" xfId="5846"/>
    <cellStyle name="Input 4 12 3 2" xfId="7719"/>
    <cellStyle name="Input 4 12 3 2 2" xfId="10109"/>
    <cellStyle name="Input 4 12 3 2 2 2" xfId="14951"/>
    <cellStyle name="Input 4 12 3 2 2 2 2" xfId="15796"/>
    <cellStyle name="Input 4 12 3 2 3" xfId="12996"/>
    <cellStyle name="Input 4 12 3 2 3 2" xfId="18305"/>
    <cellStyle name="Input 4 12 3 3" xfId="8368"/>
    <cellStyle name="Input 4 12 3 3 2" xfId="13633"/>
    <cellStyle name="Input 4 12 3 3 2 2" xfId="17772"/>
    <cellStyle name="Input 4 12 3 4" xfId="11309"/>
    <cellStyle name="Input 4 12 3 4 2" xfId="17278"/>
    <cellStyle name="Input 4 12 4" xfId="6859"/>
    <cellStyle name="Input 4 12 4 2" xfId="9735"/>
    <cellStyle name="Input 4 12 4 2 2" xfId="14625"/>
    <cellStyle name="Input 4 12 4 2 2 2" xfId="15970"/>
    <cellStyle name="Input 4 12 4 3" xfId="12543"/>
    <cellStyle name="Input 4 12 4 3 2" xfId="20023"/>
    <cellStyle name="Input 4 12 5" xfId="7878"/>
    <cellStyle name="Input 4 12 5 2" xfId="13147"/>
    <cellStyle name="Input 4 12 5 2 2" xfId="20075"/>
    <cellStyle name="Input 4 12 6" xfId="10695"/>
    <cellStyle name="Input 4 12 6 2" xfId="17732"/>
    <cellStyle name="Input 4 13" xfId="5238"/>
    <cellStyle name="Input 4 13 2" xfId="6214"/>
    <cellStyle name="Input 4 13 2 2" xfId="6595"/>
    <cellStyle name="Input 4 13 2 2 2" xfId="9549"/>
    <cellStyle name="Input 4 13 2 2 2 2" xfId="14450"/>
    <cellStyle name="Input 4 13 2 2 2 2 2" xfId="16085"/>
    <cellStyle name="Input 4 13 2 2 3" xfId="12280"/>
    <cellStyle name="Input 4 13 2 2 3 2" xfId="17864"/>
    <cellStyle name="Input 4 13 2 3" xfId="8679"/>
    <cellStyle name="Input 4 13 2 3 2" xfId="13944"/>
    <cellStyle name="Input 4 13 2 3 2 2" xfId="18899"/>
    <cellStyle name="Input 4 13 2 4" xfId="11677"/>
    <cellStyle name="Input 4 13 2 4 2" xfId="19293"/>
    <cellStyle name="Input 4 13 3" xfId="6657"/>
    <cellStyle name="Input 4 13 3 2" xfId="9606"/>
    <cellStyle name="Input 4 13 3 2 2" xfId="14506"/>
    <cellStyle name="Input 4 13 3 2 2 2" xfId="16054"/>
    <cellStyle name="Input 4 13 3 3" xfId="12342"/>
    <cellStyle name="Input 4 13 3 3 2" xfId="17952"/>
    <cellStyle name="Input 4 13 4" xfId="8207"/>
    <cellStyle name="Input 4 13 4 2" xfId="13472"/>
    <cellStyle name="Input 4 13 4 2 2" xfId="18877"/>
    <cellStyle name="Input 4 13 5" xfId="11096"/>
    <cellStyle name="Input 4 13 5 2" xfId="18631"/>
    <cellStyle name="Input 4 14" xfId="5817"/>
    <cellStyle name="Input 4 14 2" xfId="6644"/>
    <cellStyle name="Input 4 14 2 2" xfId="9593"/>
    <cellStyle name="Input 4 14 2 2 2" xfId="14493"/>
    <cellStyle name="Input 4 14 2 2 2 2" xfId="16063"/>
    <cellStyle name="Input 4 14 2 3" xfId="12329"/>
    <cellStyle name="Input 4 14 2 3 2" xfId="17761"/>
    <cellStyle name="Input 4 14 3" xfId="8352"/>
    <cellStyle name="Input 4 14 3 2" xfId="13617"/>
    <cellStyle name="Input 4 14 3 2 2" xfId="16572"/>
    <cellStyle name="Input 4 14 4" xfId="11280"/>
    <cellStyle name="Input 4 14 4 2" xfId="17302"/>
    <cellStyle name="Input 4 15" xfId="7670"/>
    <cellStyle name="Input 4 15 2" xfId="10068"/>
    <cellStyle name="Input 4 15 2 2" xfId="14912"/>
    <cellStyle name="Input 4 15 2 2 2" xfId="15811"/>
    <cellStyle name="Input 4 15 3" xfId="12947"/>
    <cellStyle name="Input 4 15 3 2" xfId="19059"/>
    <cellStyle name="Input 4 16" xfId="7875"/>
    <cellStyle name="Input 4 16 2" xfId="13144"/>
    <cellStyle name="Input 4 16 2 2" xfId="19924"/>
    <cellStyle name="Input 4 17" xfId="10692"/>
    <cellStyle name="Input 4 17 2" xfId="17735"/>
    <cellStyle name="Input 4 2" xfId="2136"/>
    <cellStyle name="Input 4 2 2" xfId="5237"/>
    <cellStyle name="Input 4 2 2 2" xfId="6213"/>
    <cellStyle name="Input 4 2 2 2 2" xfId="7691"/>
    <cellStyle name="Input 4 2 2 2 2 2" xfId="10085"/>
    <cellStyle name="Input 4 2 2 2 2 2 2" xfId="14929"/>
    <cellStyle name="Input 4 2 2 2 2 2 2 2" xfId="15457"/>
    <cellStyle name="Input 4 2 2 2 2 3" xfId="12968"/>
    <cellStyle name="Input 4 2 2 2 2 3 2" xfId="19732"/>
    <cellStyle name="Input 4 2 2 2 3" xfId="8678"/>
    <cellStyle name="Input 4 2 2 2 3 2" xfId="13943"/>
    <cellStyle name="Input 4 2 2 2 3 2 2" xfId="18068"/>
    <cellStyle name="Input 4 2 2 2 4" xfId="11676"/>
    <cellStyle name="Input 4 2 2 2 4 2" xfId="19914"/>
    <cellStyle name="Input 4 2 2 3" xfId="6658"/>
    <cellStyle name="Input 4 2 2 3 2" xfId="9607"/>
    <cellStyle name="Input 4 2 2 3 2 2" xfId="14507"/>
    <cellStyle name="Input 4 2 2 3 2 2 2" xfId="16053"/>
    <cellStyle name="Input 4 2 2 3 3" xfId="12343"/>
    <cellStyle name="Input 4 2 2 3 3 2" xfId="16914"/>
    <cellStyle name="Input 4 2 2 4" xfId="8206"/>
    <cellStyle name="Input 4 2 2 4 2" xfId="13471"/>
    <cellStyle name="Input 4 2 2 4 2 2" xfId="16645"/>
    <cellStyle name="Input 4 2 2 5" xfId="11095"/>
    <cellStyle name="Input 4 2 2 5 2" xfId="17433"/>
    <cellStyle name="Input 4 2 3" xfId="5816"/>
    <cellStyle name="Input 4 2 3 2" xfId="6645"/>
    <cellStyle name="Input 4 2 3 2 2" xfId="9594"/>
    <cellStyle name="Input 4 2 3 2 2 2" xfId="14494"/>
    <cellStyle name="Input 4 2 3 2 2 2 2" xfId="16062"/>
    <cellStyle name="Input 4 2 3 2 3" xfId="12330"/>
    <cellStyle name="Input 4 2 3 2 3 2" xfId="16920"/>
    <cellStyle name="Input 4 2 3 3" xfId="8351"/>
    <cellStyle name="Input 4 2 3 3 2" xfId="13616"/>
    <cellStyle name="Input 4 2 3 3 2 2" xfId="16573"/>
    <cellStyle name="Input 4 2 3 4" xfId="11279"/>
    <cellStyle name="Input 4 2 3 4 2" xfId="17303"/>
    <cellStyle name="Input 4 2 4" xfId="7672"/>
    <cellStyle name="Input 4 2 4 2" xfId="10070"/>
    <cellStyle name="Input 4 2 4 2 2" xfId="14914"/>
    <cellStyle name="Input 4 2 4 2 2 2" xfId="18752"/>
    <cellStyle name="Input 4 2 4 3" xfId="12949"/>
    <cellStyle name="Input 4 2 4 3 2" xfId="18265"/>
    <cellStyle name="Input 4 2 5" xfId="7879"/>
    <cellStyle name="Input 4 2 5 2" xfId="13148"/>
    <cellStyle name="Input 4 2 5 2 2" xfId="20080"/>
    <cellStyle name="Input 4 2 6" xfId="10696"/>
    <cellStyle name="Input 4 2 6 2" xfId="17731"/>
    <cellStyle name="Input 4 3" xfId="2137"/>
    <cellStyle name="Input 4 3 2" xfId="2138"/>
    <cellStyle name="Input 4 3 2 2" xfId="5117"/>
    <cellStyle name="Input 4 3 2 2 2" xfId="6093"/>
    <cellStyle name="Input 4 3 2 2 2 2" xfId="7705"/>
    <cellStyle name="Input 4 3 2 2 2 2 2" xfId="10097"/>
    <cellStyle name="Input 4 3 2 2 2 2 2 2" xfId="14939"/>
    <cellStyle name="Input 4 3 2 2 2 2 2 2 2" xfId="15449"/>
    <cellStyle name="Input 4 3 2 2 2 2 3" xfId="12982"/>
    <cellStyle name="Input 4 3 2 2 2 2 3 2" xfId="19892"/>
    <cellStyle name="Input 4 3 2 2 2 3" xfId="8564"/>
    <cellStyle name="Input 4 3 2 2 2 3 2" xfId="13829"/>
    <cellStyle name="Input 4 3 2 2 2 3 2 2" xfId="16449"/>
    <cellStyle name="Input 4 3 2 2 2 4" xfId="11556"/>
    <cellStyle name="Input 4 3 2 2 2 4 2" xfId="17256"/>
    <cellStyle name="Input 4 3 2 2 3" xfId="7716"/>
    <cellStyle name="Input 4 3 2 2 3 2" xfId="10106"/>
    <cellStyle name="Input 4 3 2 2 3 2 2" xfId="14948"/>
    <cellStyle name="Input 4 3 2 2 3 2 2 2" xfId="15799"/>
    <cellStyle name="Input 4 3 2 2 3 3" xfId="12993"/>
    <cellStyle name="Input 4 3 2 2 3 3 2" xfId="20061"/>
    <cellStyle name="Input 4 3 2 2 4" xfId="8092"/>
    <cellStyle name="Input 4 3 2 2 4 2" xfId="13357"/>
    <cellStyle name="Input 4 3 2 2 4 2 2" xfId="18804"/>
    <cellStyle name="Input 4 3 2 2 5" xfId="10975"/>
    <cellStyle name="Input 4 3 2 2 5 2" xfId="17529"/>
    <cellStyle name="Input 4 3 2 3" xfId="6056"/>
    <cellStyle name="Input 4 3 2 3 2" xfId="7047"/>
    <cellStyle name="Input 4 3 2 3 2 2" xfId="9868"/>
    <cellStyle name="Input 4 3 2 3 2 2 2" xfId="14742"/>
    <cellStyle name="Input 4 3 2 3 2 2 2 2" xfId="18771"/>
    <cellStyle name="Input 4 3 2 3 2 3" xfId="12731"/>
    <cellStyle name="Input 4 3 2 3 2 3 2" xfId="19959"/>
    <cellStyle name="Input 4 3 2 3 3" xfId="8539"/>
    <cellStyle name="Input 4 3 2 3 3 2" xfId="13804"/>
    <cellStyle name="Input 4 3 2 3 3 2 2" xfId="16463"/>
    <cellStyle name="Input 4 3 2 3 4" xfId="11519"/>
    <cellStyle name="Input 4 3 2 3 4 2" xfId="19643"/>
    <cellStyle name="Input 4 3 2 4" xfId="6477"/>
    <cellStyle name="Input 4 3 2 4 2" xfId="9451"/>
    <cellStyle name="Input 4 3 2 4 2 2" xfId="14356"/>
    <cellStyle name="Input 4 3 2 4 2 2 2" xfId="17803"/>
    <cellStyle name="Input 4 3 2 4 3" xfId="12162"/>
    <cellStyle name="Input 4 3 2 4 3 2" xfId="17017"/>
    <cellStyle name="Input 4 3 2 5" xfId="7881"/>
    <cellStyle name="Input 4 3 2 5 2" xfId="13150"/>
    <cellStyle name="Input 4 3 2 5 2 2" xfId="19454"/>
    <cellStyle name="Input 4 3 2 6" xfId="10698"/>
    <cellStyle name="Input 4 3 2 6 2" xfId="17729"/>
    <cellStyle name="Input 4 3 3" xfId="5118"/>
    <cellStyle name="Input 4 3 3 2" xfId="6094"/>
    <cellStyle name="Input 4 3 3 2 2" xfId="7081"/>
    <cellStyle name="Input 4 3 3 2 2 2" xfId="9890"/>
    <cellStyle name="Input 4 3 3 2 2 2 2" xfId="14763"/>
    <cellStyle name="Input 4 3 3 2 2 2 2 2" xfId="18834"/>
    <cellStyle name="Input 4 3 3 2 2 3" xfId="12765"/>
    <cellStyle name="Input 4 3 3 2 2 3 2" xfId="18557"/>
    <cellStyle name="Input 4 3 3 2 3" xfId="8565"/>
    <cellStyle name="Input 4 3 3 2 3 2" xfId="13830"/>
    <cellStyle name="Input 4 3 3 2 3 2 2" xfId="16448"/>
    <cellStyle name="Input 4 3 3 2 4" xfId="11557"/>
    <cellStyle name="Input 4 3 3 2 4 2" xfId="19500"/>
    <cellStyle name="Input 4 3 3 3" xfId="6524"/>
    <cellStyle name="Input 4 3 3 3 2" xfId="9490"/>
    <cellStyle name="Input 4 3 3 3 2 2" xfId="14392"/>
    <cellStyle name="Input 4 3 3 3 2 2 2" xfId="15477"/>
    <cellStyle name="Input 4 3 3 3 3" xfId="12209"/>
    <cellStyle name="Input 4 3 3 3 3 2" xfId="18745"/>
    <cellStyle name="Input 4 3 3 4" xfId="8093"/>
    <cellStyle name="Input 4 3 3 4 2" xfId="13358"/>
    <cellStyle name="Input 4 3 3 4 2 2" xfId="18373"/>
    <cellStyle name="Input 4 3 3 5" xfId="10976"/>
    <cellStyle name="Input 4 3 3 5 2" xfId="17528"/>
    <cellStyle name="Input 4 3 4" xfId="5950"/>
    <cellStyle name="Input 4 3 4 2" xfId="6563"/>
    <cellStyle name="Input 4 3 4 2 2" xfId="9522"/>
    <cellStyle name="Input 4 3 4 2 2 2" xfId="14423"/>
    <cellStyle name="Input 4 3 4 2 2 2 2" xfId="18456"/>
    <cellStyle name="Input 4 3 4 2 3" xfId="12248"/>
    <cellStyle name="Input 4 3 4 2 3 2" xfId="17756"/>
    <cellStyle name="Input 4 3 4 3" xfId="8446"/>
    <cellStyle name="Input 4 3 4 3 2" xfId="13711"/>
    <cellStyle name="Input 4 3 4 3 2 2" xfId="16519"/>
    <cellStyle name="Input 4 3 4 4" xfId="11413"/>
    <cellStyle name="Input 4 3 4 4 2" xfId="19507"/>
    <cellStyle name="Input 4 3 5" xfId="6685"/>
    <cellStyle name="Input 4 3 5 2" xfId="9632"/>
    <cellStyle name="Input 4 3 5 2 2" xfId="14529"/>
    <cellStyle name="Input 4 3 5 2 2 2" xfId="16034"/>
    <cellStyle name="Input 4 3 5 3" xfId="12369"/>
    <cellStyle name="Input 4 3 5 3 2" xfId="18503"/>
    <cellStyle name="Input 4 3 6" xfId="7880"/>
    <cellStyle name="Input 4 3 6 2" xfId="13149"/>
    <cellStyle name="Input 4 3 6 2 2" xfId="19459"/>
    <cellStyle name="Input 4 3 7" xfId="10697"/>
    <cellStyle name="Input 4 3 7 2" xfId="17730"/>
    <cellStyle name="Input 4 4" xfId="2139"/>
    <cellStyle name="Input 4 4 2" xfId="5296"/>
    <cellStyle name="Input 4 4 2 2" xfId="7059"/>
    <cellStyle name="Input 4 4 2 2 2" xfId="9876"/>
    <cellStyle name="Input 4 4 2 2 2 2" xfId="14750"/>
    <cellStyle name="Input 4 4 2 2 2 2 2" xfId="15892"/>
    <cellStyle name="Input 4 4 2 2 3" xfId="12743"/>
    <cellStyle name="Input 4 4 2 2 3 2" xfId="19853"/>
    <cellStyle name="Input 4 4 2 3" xfId="8239"/>
    <cellStyle name="Input 4 4 2 3 2" xfId="13504"/>
    <cellStyle name="Input 4 4 2 3 2 2" xfId="18873"/>
    <cellStyle name="Input 4 4 2 4" xfId="11128"/>
    <cellStyle name="Input 4 4 2 4 2" xfId="17409"/>
    <cellStyle name="Input 4 4 3" xfId="5845"/>
    <cellStyle name="Input 4 4 3 2" xfId="6523"/>
    <cellStyle name="Input 4 4 3 2 2" xfId="9489"/>
    <cellStyle name="Input 4 4 3 2 2 2" xfId="14391"/>
    <cellStyle name="Input 4 4 3 2 2 2 2" xfId="16121"/>
    <cellStyle name="Input 4 4 3 2 3" xfId="12208"/>
    <cellStyle name="Input 4 4 3 2 3 2" xfId="18926"/>
    <cellStyle name="Input 4 4 3 3" xfId="8367"/>
    <cellStyle name="Input 4 4 3 3 2" xfId="13632"/>
    <cellStyle name="Input 4 4 3 3 2 2" xfId="18183"/>
    <cellStyle name="Input 4 4 3 4" xfId="11308"/>
    <cellStyle name="Input 4 4 3 4 2" xfId="17279"/>
    <cellStyle name="Input 4 4 4" xfId="7667"/>
    <cellStyle name="Input 4 4 4 2" xfId="10065"/>
    <cellStyle name="Input 4 4 4 2 2" xfId="14909"/>
    <cellStyle name="Input 4 4 4 2 2 2" xfId="18638"/>
    <cellStyle name="Input 4 4 4 3" xfId="12944"/>
    <cellStyle name="Input 4 4 4 3 2" xfId="19708"/>
    <cellStyle name="Input 4 4 5" xfId="7882"/>
    <cellStyle name="Input 4 4 5 2" xfId="13151"/>
    <cellStyle name="Input 4 4 5 2 2" xfId="20046"/>
    <cellStyle name="Input 4 4 6" xfId="10699"/>
    <cellStyle name="Input 4 4 6 2" xfId="17728"/>
    <cellStyle name="Input 4 5" xfId="2140"/>
    <cellStyle name="Input 4 5 2" xfId="5289"/>
    <cellStyle name="Input 4 5 2 2" xfId="6622"/>
    <cellStyle name="Input 4 5 2 2 2" xfId="9571"/>
    <cellStyle name="Input 4 5 2 2 2 2" xfId="14471"/>
    <cellStyle name="Input 4 5 2 2 2 2 2" xfId="15470"/>
    <cellStyle name="Input 4 5 2 2 3" xfId="12307"/>
    <cellStyle name="Input 4 5 2 2 3 2" xfId="18507"/>
    <cellStyle name="Input 4 5 2 3" xfId="8232"/>
    <cellStyle name="Input 4 5 2 3 2" xfId="13497"/>
    <cellStyle name="Input 4 5 2 3 2 2" xfId="18694"/>
    <cellStyle name="Input 4 5 2 4" xfId="11121"/>
    <cellStyle name="Input 4 5 2 4 2" xfId="17416"/>
    <cellStyle name="Input 4 5 3" xfId="5811"/>
    <cellStyle name="Input 4 5 3 2" xfId="6481"/>
    <cellStyle name="Input 4 5 3 2 2" xfId="9453"/>
    <cellStyle name="Input 4 5 3 2 2 2" xfId="14357"/>
    <cellStyle name="Input 4 5 3 2 2 2 2" xfId="16143"/>
    <cellStyle name="Input 4 5 3 2 3" xfId="12166"/>
    <cellStyle name="Input 4 5 3 2 3 2" xfId="17013"/>
    <cellStyle name="Input 4 5 3 3" xfId="8347"/>
    <cellStyle name="Input 4 5 3 3 2" xfId="13612"/>
    <cellStyle name="Input 4 5 3 3 2 2" xfId="18185"/>
    <cellStyle name="Input 4 5 3 4" xfId="11274"/>
    <cellStyle name="Input 4 5 3 4 2" xfId="18610"/>
    <cellStyle name="Input 4 5 4" xfId="7064"/>
    <cellStyle name="Input 4 5 4 2" xfId="9879"/>
    <cellStyle name="Input 4 5 4 2 2" xfId="14752"/>
    <cellStyle name="Input 4 5 4 2 2 2" xfId="15890"/>
    <cellStyle name="Input 4 5 4 3" xfId="12748"/>
    <cellStyle name="Input 4 5 4 3 2" xfId="19111"/>
    <cellStyle name="Input 4 5 5" xfId="7883"/>
    <cellStyle name="Input 4 5 5 2" xfId="13152"/>
    <cellStyle name="Input 4 5 5 2 2" xfId="19425"/>
    <cellStyle name="Input 4 5 6" xfId="10700"/>
    <cellStyle name="Input 4 5 6 2" xfId="17727"/>
    <cellStyle name="Input 4 6" xfId="2141"/>
    <cellStyle name="Input 4 6 2" xfId="5295"/>
    <cellStyle name="Input 4 6 2 2" xfId="6908"/>
    <cellStyle name="Input 4 6 2 2 2" xfId="9768"/>
    <cellStyle name="Input 4 6 2 2 2 2" xfId="14655"/>
    <cellStyle name="Input 4 6 2 2 2 2 2" xfId="15376"/>
    <cellStyle name="Input 4 6 2 2 3" xfId="12592"/>
    <cellStyle name="Input 4 6 2 2 3 2" xfId="16854"/>
    <cellStyle name="Input 4 6 2 3" xfId="8238"/>
    <cellStyle name="Input 4 6 2 3 2" xfId="13503"/>
    <cellStyle name="Input 4 6 2 3 2 2" xfId="16630"/>
    <cellStyle name="Input 4 6 2 4" xfId="11127"/>
    <cellStyle name="Input 4 6 2 4 2" xfId="17410"/>
    <cellStyle name="Input 4 6 3" xfId="5924"/>
    <cellStyle name="Input 4 6 3 2" xfId="7006"/>
    <cellStyle name="Input 4 6 3 2 2" xfId="9840"/>
    <cellStyle name="Input 4 6 3 2 2 2" xfId="14716"/>
    <cellStyle name="Input 4 6 3 2 2 2 2" xfId="18773"/>
    <cellStyle name="Input 4 6 3 2 3" xfId="12690"/>
    <cellStyle name="Input 4 6 3 2 3 2" xfId="19950"/>
    <cellStyle name="Input 4 6 3 3" xfId="8426"/>
    <cellStyle name="Input 4 6 3 3 2" xfId="13691"/>
    <cellStyle name="Input 4 6 3 3 2 2" xfId="16531"/>
    <cellStyle name="Input 4 6 3 4" xfId="11387"/>
    <cellStyle name="Input 4 6 3 4 2" xfId="19940"/>
    <cellStyle name="Input 4 6 4" xfId="6625"/>
    <cellStyle name="Input 4 6 4 2" xfId="9574"/>
    <cellStyle name="Input 4 6 4 2 2" xfId="14474"/>
    <cellStyle name="Input 4 6 4 2 2 2" xfId="15469"/>
    <cellStyle name="Input 4 6 4 3" xfId="12310"/>
    <cellStyle name="Input 4 6 4 3 2" xfId="17760"/>
    <cellStyle name="Input 4 6 5" xfId="7884"/>
    <cellStyle name="Input 4 6 5 2" xfId="13153"/>
    <cellStyle name="Input 4 6 5 2 2" xfId="19095"/>
    <cellStyle name="Input 4 6 6" xfId="10701"/>
    <cellStyle name="Input 4 6 6 2" xfId="17726"/>
    <cellStyle name="Input 4 7" xfId="2142"/>
    <cellStyle name="Input 4 7 2" xfId="5287"/>
    <cellStyle name="Input 4 7 2 2" xfId="7037"/>
    <cellStyle name="Input 4 7 2 2 2" xfId="9861"/>
    <cellStyle name="Input 4 7 2 2 2 2" xfId="14736"/>
    <cellStyle name="Input 4 7 2 2 2 2 2" xfId="15900"/>
    <cellStyle name="Input 4 7 2 2 3" xfId="12721"/>
    <cellStyle name="Input 4 7 2 2 3 2" xfId="19687"/>
    <cellStyle name="Input 4 7 2 3" xfId="8230"/>
    <cellStyle name="Input 4 7 2 3 2" xfId="13495"/>
    <cellStyle name="Input 4 7 2 3 2 2" xfId="16634"/>
    <cellStyle name="Input 4 7 2 4" xfId="11119"/>
    <cellStyle name="Input 4 7 2 4 2" xfId="17418"/>
    <cellStyle name="Input 4 7 3" xfId="5923"/>
    <cellStyle name="Input 4 7 3 2" xfId="7721"/>
    <cellStyle name="Input 4 7 3 2 2" xfId="10111"/>
    <cellStyle name="Input 4 7 3 2 2 2" xfId="14953"/>
    <cellStyle name="Input 4 7 3 2 2 2 2" xfId="18443"/>
    <cellStyle name="Input 4 7 3 2 3" xfId="12998"/>
    <cellStyle name="Input 4 7 3 2 3 2" xfId="19479"/>
    <cellStyle name="Input 4 7 3 3" xfId="8425"/>
    <cellStyle name="Input 4 7 3 3 2" xfId="13690"/>
    <cellStyle name="Input 4 7 3 3 2 2" xfId="17777"/>
    <cellStyle name="Input 4 7 3 4" xfId="11386"/>
    <cellStyle name="Input 4 7 3 4 2" xfId="19638"/>
    <cellStyle name="Input 4 7 4" xfId="6988"/>
    <cellStyle name="Input 4 7 4 2" xfId="9828"/>
    <cellStyle name="Input 4 7 4 2 2" xfId="14705"/>
    <cellStyle name="Input 4 7 4 2 2 2" xfId="18055"/>
    <cellStyle name="Input 4 7 4 3" xfId="12672"/>
    <cellStyle name="Input 4 7 4 3 2" xfId="19316"/>
    <cellStyle name="Input 4 7 5" xfId="7885"/>
    <cellStyle name="Input 4 7 5 2" xfId="13154"/>
    <cellStyle name="Input 4 7 5 2 2" xfId="18632"/>
    <cellStyle name="Input 4 7 6" xfId="10702"/>
    <cellStyle name="Input 4 7 6 2" xfId="17725"/>
    <cellStyle name="Input 4 8" xfId="2143"/>
    <cellStyle name="Input 4 8 2" xfId="5285"/>
    <cellStyle name="Input 4 8 2 2" xfId="6648"/>
    <cellStyle name="Input 4 8 2 2 2" xfId="9597"/>
    <cellStyle name="Input 4 8 2 2 2 2" xfId="14497"/>
    <cellStyle name="Input 4 8 2 2 2 2 2" xfId="16059"/>
    <cellStyle name="Input 4 8 2 2 3" xfId="12333"/>
    <cellStyle name="Input 4 8 2 2 3 2" xfId="17950"/>
    <cellStyle name="Input 4 8 2 3" xfId="8228"/>
    <cellStyle name="Input 4 8 2 3 2" xfId="13493"/>
    <cellStyle name="Input 4 8 2 3 2 2" xfId="16636"/>
    <cellStyle name="Input 4 8 2 4" xfId="11117"/>
    <cellStyle name="Input 4 8 2 4 2" xfId="18324"/>
    <cellStyle name="Input 4 8 3" xfId="5922"/>
    <cellStyle name="Input 4 8 3 2" xfId="6501"/>
    <cellStyle name="Input 4 8 3 2 2" xfId="9467"/>
    <cellStyle name="Input 4 8 3 2 2 2" xfId="14369"/>
    <cellStyle name="Input 4 8 3 2 2 2 2" xfId="16135"/>
    <cellStyle name="Input 4 8 3 2 3" xfId="12186"/>
    <cellStyle name="Input 4 8 3 2 3 2" xfId="15359"/>
    <cellStyle name="Input 4 8 3 3" xfId="8424"/>
    <cellStyle name="Input 4 8 3 3 2" xfId="13689"/>
    <cellStyle name="Input 4 8 3 3 2 2" xfId="18178"/>
    <cellStyle name="Input 4 8 3 4" xfId="11385"/>
    <cellStyle name="Input 4 8 3 4 2" xfId="19313"/>
    <cellStyle name="Input 4 8 4" xfId="6457"/>
    <cellStyle name="Input 4 8 4 2" xfId="9436"/>
    <cellStyle name="Input 4 8 4 2 2" xfId="14341"/>
    <cellStyle name="Input 4 8 4 2 2 2" xfId="16151"/>
    <cellStyle name="Input 4 8 4 3" xfId="12142"/>
    <cellStyle name="Input 4 8 4 3 2" xfId="17032"/>
    <cellStyle name="Input 4 8 5" xfId="7886"/>
    <cellStyle name="Input 4 8 5 2" xfId="13155"/>
    <cellStyle name="Input 4 8 5 2 2" xfId="19572"/>
    <cellStyle name="Input 4 8 6" xfId="10703"/>
    <cellStyle name="Input 4 8 6 2" xfId="17724"/>
    <cellStyle name="Input 4 9" xfId="2144"/>
    <cellStyle name="Input 4 9 2" xfId="5290"/>
    <cellStyle name="Input 4 9 2 2" xfId="6551"/>
    <cellStyle name="Input 4 9 2 2 2" xfId="9512"/>
    <cellStyle name="Input 4 9 2 2 2 2" xfId="14413"/>
    <cellStyle name="Input 4 9 2 2 2 2 2" xfId="18457"/>
    <cellStyle name="Input 4 9 2 2 3" xfId="12236"/>
    <cellStyle name="Input 4 9 2 2 3 2" xfId="17755"/>
    <cellStyle name="Input 4 9 2 3" xfId="8233"/>
    <cellStyle name="Input 4 9 2 3 2" xfId="13498"/>
    <cellStyle name="Input 4 9 2 3 2 2" xfId="16633"/>
    <cellStyle name="Input 4 9 2 4" xfId="11122"/>
    <cellStyle name="Input 4 9 2 4 2" xfId="17415"/>
    <cellStyle name="Input 4 9 3" xfId="5810"/>
    <cellStyle name="Input 4 9 3 2" xfId="6598"/>
    <cellStyle name="Input 4 9 3 2 2" xfId="9551"/>
    <cellStyle name="Input 4 9 3 2 2 2" xfId="14452"/>
    <cellStyle name="Input 4 9 3 2 2 2 2" xfId="16078"/>
    <cellStyle name="Input 4 9 3 2 3" xfId="12283"/>
    <cellStyle name="Input 4 9 3 2 3 2" xfId="16943"/>
    <cellStyle name="Input 4 9 3 3" xfId="8346"/>
    <cellStyle name="Input 4 9 3 3 2" xfId="13611"/>
    <cellStyle name="Input 4 9 3 3 2 2" xfId="18497"/>
    <cellStyle name="Input 4 9 3 4" xfId="11273"/>
    <cellStyle name="Input 4 9 3 4 2" xfId="18104"/>
    <cellStyle name="Input 4 9 4" xfId="6911"/>
    <cellStyle name="Input 4 9 4 2" xfId="9771"/>
    <cellStyle name="Input 4 9 4 2 2" xfId="14658"/>
    <cellStyle name="Input 4 9 4 2 2 2" xfId="18715"/>
    <cellStyle name="Input 4 9 4 3" xfId="12595"/>
    <cellStyle name="Input 4 9 4 3 2" xfId="16851"/>
    <cellStyle name="Input 4 9 5" xfId="7887"/>
    <cellStyle name="Input 4 9 5 2" xfId="13156"/>
    <cellStyle name="Input 4 9 5 2 2" xfId="19877"/>
    <cellStyle name="Input 4 9 6" xfId="10704"/>
    <cellStyle name="Input 4 9 6 2" xfId="18930"/>
    <cellStyle name="Input 5" xfId="4636"/>
    <cellStyle name="Input 5 2" xfId="5376"/>
    <cellStyle name="Input 5 2 2" xfId="7522"/>
    <cellStyle name="Input 5 2 2 2" xfId="7783"/>
    <cellStyle name="Input 5 2 2 2 2" xfId="10148"/>
    <cellStyle name="Input 5 2 2 2 2 2" xfId="13022"/>
    <cellStyle name="Input 5 2 2 2 2 2 2" xfId="16834"/>
    <cellStyle name="Input 5 2 2 2 3" xfId="9283"/>
    <cellStyle name="Input 5 2 2 2 3 2" xfId="14280"/>
    <cellStyle name="Input 5 2 2 2 3 2 2" xfId="16187"/>
    <cellStyle name="Input 5 2 2 2 4" xfId="12061"/>
    <cellStyle name="Input 5 2 2 2 4 2" xfId="17855"/>
    <cellStyle name="Input 5 2 2 3" xfId="8919"/>
    <cellStyle name="Input 5 2 2 3 2" xfId="14158"/>
    <cellStyle name="Input 5 2 2 3 2 2" xfId="18247"/>
    <cellStyle name="Input 5 2 2 4" xfId="11919"/>
    <cellStyle name="Input 5 2 2 4 2" xfId="17181"/>
    <cellStyle name="Input 5 2 3" xfId="6589"/>
    <cellStyle name="Input 5 2 3 2" xfId="9543"/>
    <cellStyle name="Input 5 2 3 2 2" xfId="14444"/>
    <cellStyle name="Input 5 2 3 2 2 2" xfId="18142"/>
    <cellStyle name="Input 5 2 3 3" xfId="12274"/>
    <cellStyle name="Input 5 2 3 3 2" xfId="16946"/>
    <cellStyle name="Input 5 2 4" xfId="8291"/>
    <cellStyle name="Input 5 2 4 2" xfId="13556"/>
    <cellStyle name="Input 5 2 4 2 2" xfId="16605"/>
    <cellStyle name="Input 5 2 5" xfId="11208"/>
    <cellStyle name="Input 5 2 5 2" xfId="18590"/>
    <cellStyle name="Input 5 3" xfId="6068"/>
    <cellStyle name="Input 5 3 2" xfId="7638"/>
    <cellStyle name="Input 5 3 2 2" xfId="7803"/>
    <cellStyle name="Input 5 3 2 2 2" xfId="10168"/>
    <cellStyle name="Input 5 3 2 2 2 2" xfId="13042"/>
    <cellStyle name="Input 5 3 2 2 2 2 2" xfId="19991"/>
    <cellStyle name="Input 5 3 2 2 3" xfId="9404"/>
    <cellStyle name="Input 5 3 2 2 3 2" xfId="14318"/>
    <cellStyle name="Input 5 3 2 2 3 2 2" xfId="18154"/>
    <cellStyle name="Input 5 3 2 2 4" xfId="12110"/>
    <cellStyle name="Input 5 3 2 2 4 2" xfId="17060"/>
    <cellStyle name="Input 5 3 2 3" xfId="8961"/>
    <cellStyle name="Input 5 3 2 3 2" xfId="14200"/>
    <cellStyle name="Input 5 3 2 3 2 2" xfId="16226"/>
    <cellStyle name="Input 5 3 2 4" xfId="11963"/>
    <cellStyle name="Input 5 3 2 4 2" xfId="17153"/>
    <cellStyle name="Input 5 3 3" xfId="6636"/>
    <cellStyle name="Input 5 3 3 2" xfId="9585"/>
    <cellStyle name="Input 5 3 3 2 2" xfId="14485"/>
    <cellStyle name="Input 5 3 3 2 2 2" xfId="16067"/>
    <cellStyle name="Input 5 3 3 3" xfId="12321"/>
    <cellStyle name="Input 5 3 3 3 2" xfId="16923"/>
    <cellStyle name="Input 5 3 4" xfId="8551"/>
    <cellStyle name="Input 5 3 4 2" xfId="13816"/>
    <cellStyle name="Input 5 3 4 2 2" xfId="17789"/>
    <cellStyle name="Input 5 3 5" xfId="11531"/>
    <cellStyle name="Input 5 3 5 2" xfId="18300"/>
    <cellStyle name="Input 5 4" xfId="7438"/>
    <cellStyle name="Input 5 4 2" xfId="7769"/>
    <cellStyle name="Input 5 4 2 2" xfId="10134"/>
    <cellStyle name="Input 5 4 2 2 2" xfId="13008"/>
    <cellStyle name="Input 5 4 2 2 2 2" xfId="19679"/>
    <cellStyle name="Input 5 4 2 3" xfId="9194"/>
    <cellStyle name="Input 5 4 2 3 2" xfId="14253"/>
    <cellStyle name="Input 5 4 2 3 2 2" xfId="18965"/>
    <cellStyle name="Input 5 4 2 4" xfId="12024"/>
    <cellStyle name="Input 5 4 2 4 2" xfId="17111"/>
    <cellStyle name="Input 5 4 3" xfId="8888"/>
    <cellStyle name="Input 5 4 3 2" xfId="14127"/>
    <cellStyle name="Input 5 4 3 2 2" xfId="18947"/>
    <cellStyle name="Input 5 4 4" xfId="11887"/>
    <cellStyle name="Input 5 4 4 2" xfId="17200"/>
    <cellStyle name="Input 5 5" xfId="6852"/>
    <cellStyle name="Input 5 5 2" xfId="9729"/>
    <cellStyle name="Input 5 5 2 2" xfId="14620"/>
    <cellStyle name="Input 5 5 2 2 2" xfId="15975"/>
    <cellStyle name="Input 5 5 3" xfId="12536"/>
    <cellStyle name="Input 5 5 3 2" xfId="20005"/>
    <cellStyle name="Input 5 6" xfId="8063"/>
    <cellStyle name="Input 5 6 2" xfId="13328"/>
    <cellStyle name="Input 5 6 2 2" xfId="16719"/>
    <cellStyle name="Input 5 7" xfId="10926"/>
    <cellStyle name="Input 5 7 2" xfId="17566"/>
    <cellStyle name="Input 6" xfId="4752"/>
    <cellStyle name="Input 6 2" xfId="5385"/>
    <cellStyle name="Input 6 2 2" xfId="7712"/>
    <cellStyle name="Input 6 2 2 2" xfId="10102"/>
    <cellStyle name="Input 6 2 2 2 2" xfId="14944"/>
    <cellStyle name="Input 6 2 2 2 2 2" xfId="18444"/>
    <cellStyle name="Input 6 2 2 3" xfId="12989"/>
    <cellStyle name="Input 6 2 2 3 2" xfId="19544"/>
    <cellStyle name="Input 6 2 3" xfId="8299"/>
    <cellStyle name="Input 6 2 3 2" xfId="13564"/>
    <cellStyle name="Input 6 2 3 2 2" xfId="16601"/>
    <cellStyle name="Input 6 2 4" xfId="11217"/>
    <cellStyle name="Input 6 2 4 2" xfId="17340"/>
    <cellStyle name="Input 6 3" xfId="5886"/>
    <cellStyle name="Input 6 3 2" xfId="6623"/>
    <cellStyle name="Input 6 3 2 2" xfId="9572"/>
    <cellStyle name="Input 6 3 2 2 2" xfId="14472"/>
    <cellStyle name="Input 6 3 2 2 2 2" xfId="16071"/>
    <cellStyle name="Input 6 3 2 3" xfId="12308"/>
    <cellStyle name="Input 6 3 2 3 2" xfId="18195"/>
    <cellStyle name="Input 6 3 3" xfId="8400"/>
    <cellStyle name="Input 6 3 3 2" xfId="13665"/>
    <cellStyle name="Input 6 3 3 2 2" xfId="16545"/>
    <cellStyle name="Input 6 3 4" xfId="11349"/>
    <cellStyle name="Input 6 3 4 2" xfId="18546"/>
    <cellStyle name="Input 6 4" xfId="6803"/>
    <cellStyle name="Input 6 4 2" xfId="9698"/>
    <cellStyle name="Input 6 4 2 2" xfId="14594"/>
    <cellStyle name="Input 6 4 2 2 2" xfId="15991"/>
    <cellStyle name="Input 6 4 3" xfId="12487"/>
    <cellStyle name="Input 6 4 3 2" xfId="18397"/>
    <cellStyle name="Input 6 5" xfId="8071"/>
    <cellStyle name="Input 6 5 2" xfId="13336"/>
    <cellStyle name="Input 6 5 2 2" xfId="18709"/>
    <cellStyle name="Input 6 6" xfId="10935"/>
    <cellStyle name="Input 6 6 2" xfId="18285"/>
    <cellStyle name="Linked Cell" xfId="12" builtinId="24" customBuiltin="1"/>
    <cellStyle name="Linked Cell 2" xfId="2145"/>
    <cellStyle name="Linked Cell 3" xfId="2146"/>
    <cellStyle name="Linked Cell 3 10" xfId="2147"/>
    <cellStyle name="Linked Cell 3 11" xfId="2148"/>
    <cellStyle name="Linked Cell 3 12" xfId="2149"/>
    <cellStyle name="Linked Cell 3 2" xfId="2150"/>
    <cellStyle name="Linked Cell 3 3" xfId="2151"/>
    <cellStyle name="Linked Cell 3 3 2" xfId="2152"/>
    <cellStyle name="Linked Cell 3 4" xfId="2153"/>
    <cellStyle name="Linked Cell 3 5" xfId="2154"/>
    <cellStyle name="Linked Cell 3 6" xfId="2155"/>
    <cellStyle name="Linked Cell 3 7" xfId="2156"/>
    <cellStyle name="Linked Cell 3 8" xfId="2157"/>
    <cellStyle name="Linked Cell 3 9" xfId="2158"/>
    <cellStyle name="Linked Cell 4" xfId="4644"/>
    <cellStyle name="Linked Cell 4 2" xfId="7445"/>
    <cellStyle name="Linked Cell 4 2 2" xfId="9201"/>
    <cellStyle name="Linked Cell 5" xfId="4746"/>
    <cellStyle name="Neutral" xfId="8" builtinId="28" customBuiltin="1"/>
    <cellStyle name="Neutral 2" xfId="79"/>
    <cellStyle name="Neutral 2 2" xfId="2159"/>
    <cellStyle name="Neutral 2 3" xfId="10402"/>
    <cellStyle name="Neutral 3" xfId="2160"/>
    <cellStyle name="Neutral 3 2" xfId="8986"/>
    <cellStyle name="Neutral 4" xfId="2161"/>
    <cellStyle name="Neutral 4 10" xfId="2162"/>
    <cellStyle name="Neutral 4 11" xfId="2163"/>
    <cellStyle name="Neutral 4 12" xfId="2164"/>
    <cellStyle name="Neutral 4 2" xfId="2165"/>
    <cellStyle name="Neutral 4 3" xfId="2166"/>
    <cellStyle name="Neutral 4 3 2" xfId="2167"/>
    <cellStyle name="Neutral 4 4" xfId="2168"/>
    <cellStyle name="Neutral 4 5" xfId="2169"/>
    <cellStyle name="Neutral 4 6" xfId="2170"/>
    <cellStyle name="Neutral 4 7" xfId="2171"/>
    <cellStyle name="Neutral 4 8" xfId="2172"/>
    <cellStyle name="Neutral 4 9" xfId="2173"/>
    <cellStyle name="Neutral 5" xfId="4620"/>
    <cellStyle name="Neutral 5 2" xfId="7422"/>
    <cellStyle name="Neutral 5 2 2" xfId="9178"/>
    <cellStyle name="Neutral 6" xfId="4681"/>
    <cellStyle name="Normal" xfId="0" builtinId="0"/>
    <cellStyle name="Normal 10" xfId="2174"/>
    <cellStyle name="Normal 10 2" xfId="2175"/>
    <cellStyle name="Normal 10 2 10" xfId="2176"/>
    <cellStyle name="Normal 10 2 11" xfId="2177"/>
    <cellStyle name="Normal 10 2 12" xfId="2178"/>
    <cellStyle name="Normal 10 2 2" xfId="2179"/>
    <cellStyle name="Normal 10 2 3" xfId="2180"/>
    <cellStyle name="Normal 10 2 3 2" xfId="2181"/>
    <cellStyle name="Normal 10 2 4" xfId="2182"/>
    <cellStyle name="Normal 10 2 5" xfId="2183"/>
    <cellStyle name="Normal 10 2 6" xfId="2184"/>
    <cellStyle name="Normal 10 2 7" xfId="2185"/>
    <cellStyle name="Normal 10 2 8" xfId="2186"/>
    <cellStyle name="Normal 10 2 9" xfId="2187"/>
    <cellStyle name="Normal 10 3" xfId="5256"/>
    <cellStyle name="Normal 10 3 2" xfId="5403"/>
    <cellStyle name="Normal 10 4" xfId="6234"/>
    <cellStyle name="Normal 10 4 2" xfId="6261"/>
    <cellStyle name="Normal 100" xfId="4772"/>
    <cellStyle name="Normal 101" xfId="5011"/>
    <cellStyle name="Normal 102" xfId="5283"/>
    <cellStyle name="Normal 103" xfId="5783"/>
    <cellStyle name="Normal 104" xfId="5784"/>
    <cellStyle name="Normal 105" xfId="6232"/>
    <cellStyle name="Normal 105 2" xfId="6259"/>
    <cellStyle name="Normal 106" xfId="7722"/>
    <cellStyle name="Normal 106 2" xfId="10112"/>
    <cellStyle name="Normal 107" xfId="10428"/>
    <cellStyle name="Normal 108" xfId="10629"/>
    <cellStyle name="Normal 108 2" xfId="19472"/>
    <cellStyle name="Normal 109" xfId="10630"/>
    <cellStyle name="Normal 109 2" xfId="19473"/>
    <cellStyle name="Normal 11" xfId="2188"/>
    <cellStyle name="Normal 11 2" xfId="2189"/>
    <cellStyle name="Normal 11 2 10" xfId="2190"/>
    <cellStyle name="Normal 11 2 11" xfId="2191"/>
    <cellStyle name="Normal 11 2 12" xfId="2192"/>
    <cellStyle name="Normal 11 2 2" xfId="2193"/>
    <cellStyle name="Normal 11 2 3" xfId="2194"/>
    <cellStyle name="Normal 11 2 3 2" xfId="2195"/>
    <cellStyle name="Normal 11 2 4" xfId="2196"/>
    <cellStyle name="Normal 11 2 5" xfId="2197"/>
    <cellStyle name="Normal 11 2 6" xfId="2198"/>
    <cellStyle name="Normal 11 2 7" xfId="2199"/>
    <cellStyle name="Normal 11 2 8" xfId="2200"/>
    <cellStyle name="Normal 11 2 9" xfId="2201"/>
    <cellStyle name="Normal 11 3" xfId="5257"/>
    <cellStyle name="Normal 11 3 2" xfId="5404"/>
    <cellStyle name="Normal 11 4" xfId="6235"/>
    <cellStyle name="Normal 11 4 2" xfId="6262"/>
    <cellStyle name="Normal 110" xfId="15356"/>
    <cellStyle name="Normal 110 2" xfId="20085"/>
    <cellStyle name="Normal 111" xfId="20096"/>
    <cellStyle name="Normal 112" xfId="20097"/>
    <cellStyle name="Normal 113" xfId="20098"/>
    <cellStyle name="Normal 12" xfId="2202"/>
    <cellStyle name="Normal 12 2" xfId="2203"/>
    <cellStyle name="Normal 12 2 10" xfId="2204"/>
    <cellStyle name="Normal 12 2 11" xfId="2205"/>
    <cellStyle name="Normal 12 2 12" xfId="2206"/>
    <cellStyle name="Normal 12 2 2" xfId="2207"/>
    <cellStyle name="Normal 12 2 3" xfId="2208"/>
    <cellStyle name="Normal 12 2 3 2" xfId="2209"/>
    <cellStyle name="Normal 12 2 4" xfId="2210"/>
    <cellStyle name="Normal 12 2 5" xfId="2211"/>
    <cellStyle name="Normal 12 2 6" xfId="2212"/>
    <cellStyle name="Normal 12 2 7" xfId="2213"/>
    <cellStyle name="Normal 12 2 8" xfId="2214"/>
    <cellStyle name="Normal 12 2 9" xfId="2215"/>
    <cellStyle name="Normal 12 3" xfId="5258"/>
    <cellStyle name="Normal 12 3 2" xfId="5405"/>
    <cellStyle name="Normal 12 4" xfId="6236"/>
    <cellStyle name="Normal 12 4 2" xfId="6263"/>
    <cellStyle name="Normal 13" xfId="2216"/>
    <cellStyle name="Normal 13 2" xfId="2217"/>
    <cellStyle name="Normal 13 2 10" xfId="2218"/>
    <cellStyle name="Normal 13 2 11" xfId="2219"/>
    <cellStyle name="Normal 13 2 12" xfId="2220"/>
    <cellStyle name="Normal 13 2 2" xfId="2221"/>
    <cellStyle name="Normal 13 2 3" xfId="2222"/>
    <cellStyle name="Normal 13 2 3 2" xfId="2223"/>
    <cellStyle name="Normal 13 2 4" xfId="2224"/>
    <cellStyle name="Normal 13 2 5" xfId="2225"/>
    <cellStyle name="Normal 13 2 6" xfId="2226"/>
    <cellStyle name="Normal 13 2 7" xfId="2227"/>
    <cellStyle name="Normal 13 2 8" xfId="2228"/>
    <cellStyle name="Normal 13 2 9" xfId="2229"/>
    <cellStyle name="Normal 13 3" xfId="5259"/>
    <cellStyle name="Normal 13 3 2" xfId="5406"/>
    <cellStyle name="Normal 13 4" xfId="6237"/>
    <cellStyle name="Normal 13 4 2" xfId="6264"/>
    <cellStyle name="Normal 14" xfId="2230"/>
    <cellStyle name="Normal 14 2" xfId="2231"/>
    <cellStyle name="Normal 14 2 10" xfId="2232"/>
    <cellStyle name="Normal 14 2 11" xfId="2233"/>
    <cellStyle name="Normal 14 2 12" xfId="2234"/>
    <cellStyle name="Normal 14 2 2" xfId="2235"/>
    <cellStyle name="Normal 14 2 3" xfId="2236"/>
    <cellStyle name="Normal 14 2 3 2" xfId="2237"/>
    <cellStyle name="Normal 14 2 4" xfId="2238"/>
    <cellStyle name="Normal 14 2 5" xfId="2239"/>
    <cellStyle name="Normal 14 2 6" xfId="2240"/>
    <cellStyle name="Normal 14 2 7" xfId="2241"/>
    <cellStyle name="Normal 14 2 8" xfId="2242"/>
    <cellStyle name="Normal 14 2 9" xfId="2243"/>
    <cellStyle name="Normal 14 3" xfId="5260"/>
    <cellStyle name="Normal 14 3 2" xfId="5407"/>
    <cellStyle name="Normal 14 4" xfId="6238"/>
    <cellStyle name="Normal 14 4 2" xfId="6265"/>
    <cellStyle name="Normal 15" xfId="2244"/>
    <cellStyle name="Normal 15 2" xfId="2245"/>
    <cellStyle name="Normal 15 2 10" xfId="2246"/>
    <cellStyle name="Normal 15 2 11" xfId="2247"/>
    <cellStyle name="Normal 15 2 12" xfId="2248"/>
    <cellStyle name="Normal 15 2 2" xfId="2249"/>
    <cellStyle name="Normal 15 2 3" xfId="2250"/>
    <cellStyle name="Normal 15 2 3 2" xfId="2251"/>
    <cellStyle name="Normal 15 2 4" xfId="2252"/>
    <cellStyle name="Normal 15 2 5" xfId="2253"/>
    <cellStyle name="Normal 15 2 6" xfId="2254"/>
    <cellStyle name="Normal 15 2 7" xfId="2255"/>
    <cellStyle name="Normal 15 2 8" xfId="2256"/>
    <cellStyle name="Normal 15 2 9" xfId="2257"/>
    <cellStyle name="Normal 15 3" xfId="5261"/>
    <cellStyle name="Normal 15 3 2" xfId="5408"/>
    <cellStyle name="Normal 15 4" xfId="6239"/>
    <cellStyle name="Normal 15 4 2" xfId="6266"/>
    <cellStyle name="Normal 16" xfId="2258"/>
    <cellStyle name="Normal 16 2" xfId="2259"/>
    <cellStyle name="Normal 16 2 10" xfId="2260"/>
    <cellStyle name="Normal 16 2 11" xfId="2261"/>
    <cellStyle name="Normal 16 2 12" xfId="2262"/>
    <cellStyle name="Normal 16 2 2" xfId="2263"/>
    <cellStyle name="Normal 16 2 3" xfId="2264"/>
    <cellStyle name="Normal 16 2 3 2" xfId="2265"/>
    <cellStyle name="Normal 16 2 4" xfId="2266"/>
    <cellStyle name="Normal 16 2 5" xfId="2267"/>
    <cellStyle name="Normal 16 2 6" xfId="2268"/>
    <cellStyle name="Normal 16 2 7" xfId="2269"/>
    <cellStyle name="Normal 16 2 8" xfId="2270"/>
    <cellStyle name="Normal 16 2 9" xfId="2271"/>
    <cellStyle name="Normal 16 3" xfId="5262"/>
    <cellStyle name="Normal 16 3 2" xfId="5409"/>
    <cellStyle name="Normal 16 4" xfId="6240"/>
    <cellStyle name="Normal 16 4 2" xfId="6267"/>
    <cellStyle name="Normal 17" xfId="2272"/>
    <cellStyle name="Normal 17 2" xfId="2273"/>
    <cellStyle name="Normal 18" xfId="2274"/>
    <cellStyle name="Normal 18 2" xfId="2275"/>
    <cellStyle name="Normal 18 2 10" xfId="2276"/>
    <cellStyle name="Normal 18 2 11" xfId="2277"/>
    <cellStyle name="Normal 18 2 12" xfId="2278"/>
    <cellStyle name="Normal 18 2 2" xfId="2279"/>
    <cellStyle name="Normal 18 2 3" xfId="2280"/>
    <cellStyle name="Normal 18 2 3 2" xfId="2281"/>
    <cellStyle name="Normal 18 2 4" xfId="2282"/>
    <cellStyle name="Normal 18 2 5" xfId="2283"/>
    <cellStyle name="Normal 18 2 6" xfId="2284"/>
    <cellStyle name="Normal 18 2 7" xfId="2285"/>
    <cellStyle name="Normal 18 2 8" xfId="2286"/>
    <cellStyle name="Normal 18 2 9" xfId="2287"/>
    <cellStyle name="Normal 18 3" xfId="5263"/>
    <cellStyle name="Normal 18 3 2" xfId="5410"/>
    <cellStyle name="Normal 18 4" xfId="6241"/>
    <cellStyle name="Normal 18 4 2" xfId="6268"/>
    <cellStyle name="Normal 19" xfId="2288"/>
    <cellStyle name="Normal 19 2" xfId="2289"/>
    <cellStyle name="Normal 19 2 10" xfId="2290"/>
    <cellStyle name="Normal 19 2 11" xfId="2291"/>
    <cellStyle name="Normal 19 2 12" xfId="2292"/>
    <cellStyle name="Normal 19 2 2" xfId="2293"/>
    <cellStyle name="Normal 19 2 3" xfId="2294"/>
    <cellStyle name="Normal 19 2 3 2" xfId="2295"/>
    <cellStyle name="Normal 19 2 4" xfId="2296"/>
    <cellStyle name="Normal 19 2 5" xfId="2297"/>
    <cellStyle name="Normal 19 2 6" xfId="2298"/>
    <cellStyle name="Normal 19 2 7" xfId="2299"/>
    <cellStyle name="Normal 19 2 8" xfId="2300"/>
    <cellStyle name="Normal 19 2 9" xfId="2301"/>
    <cellStyle name="Normal 19 3" xfId="5264"/>
    <cellStyle name="Normal 19 3 2" xfId="5411"/>
    <cellStyle name="Normal 19 4" xfId="6242"/>
    <cellStyle name="Normal 19 4 2" xfId="6269"/>
    <cellStyle name="Normal 2" xfId="42"/>
    <cellStyle name="Normal 2 10" xfId="2302"/>
    <cellStyle name="Normal 2 10 2" xfId="2303"/>
    <cellStyle name="Normal 2 10 2 10" xfId="2304"/>
    <cellStyle name="Normal 2 10 2 11" xfId="2305"/>
    <cellStyle name="Normal 2 10 2 12" xfId="2306"/>
    <cellStyle name="Normal 2 10 2 2" xfId="2307"/>
    <cellStyle name="Normal 2 10 2 3" xfId="2308"/>
    <cellStyle name="Normal 2 10 2 3 2" xfId="2309"/>
    <cellStyle name="Normal 2 10 2 4" xfId="2310"/>
    <cellStyle name="Normal 2 10 2 5" xfId="2311"/>
    <cellStyle name="Normal 2 10 2 6" xfId="2312"/>
    <cellStyle name="Normal 2 10 2 7" xfId="2313"/>
    <cellStyle name="Normal 2 10 2 8" xfId="2314"/>
    <cellStyle name="Normal 2 10 2 9" xfId="2315"/>
    <cellStyle name="Normal 2 10 3" xfId="5266"/>
    <cellStyle name="Normal 2 10 3 2" xfId="5413"/>
    <cellStyle name="Normal 2 10 4" xfId="6257"/>
    <cellStyle name="Normal 2 10 4 2" xfId="6284"/>
    <cellStyle name="Normal 2 11" xfId="2316"/>
    <cellStyle name="Normal 2 11 2" xfId="2317"/>
    <cellStyle name="Normal 2 12" xfId="2318"/>
    <cellStyle name="Normal 2 13" xfId="2319"/>
    <cellStyle name="Normal 2 13 10" xfId="2320"/>
    <cellStyle name="Normal 2 13 11" xfId="2321"/>
    <cellStyle name="Normal 2 13 12" xfId="2322"/>
    <cellStyle name="Normal 2 13 13" xfId="2323"/>
    <cellStyle name="Normal 2 13 2" xfId="2324"/>
    <cellStyle name="Normal 2 13 2 2" xfId="2325"/>
    <cellStyle name="Normal 2 13 2 3" xfId="2326"/>
    <cellStyle name="Normal 2 13 2 4" xfId="2327"/>
    <cellStyle name="Normal 2 13 2 4 10" xfId="2328"/>
    <cellStyle name="Normal 2 13 2 4 11" xfId="2329"/>
    <cellStyle name="Normal 2 13 2 4 2" xfId="2330"/>
    <cellStyle name="Normal 2 13 2 4 3" xfId="2331"/>
    <cellStyle name="Normal 2 13 2 4 4" xfId="2332"/>
    <cellStyle name="Normal 2 13 2 4 5" xfId="2333"/>
    <cellStyle name="Normal 2 13 2 4 6" xfId="2334"/>
    <cellStyle name="Normal 2 13 2 4 7" xfId="2335"/>
    <cellStyle name="Normal 2 13 2 4 8" xfId="2336"/>
    <cellStyle name="Normal 2 13 2 4 9" xfId="2337"/>
    <cellStyle name="Normal 2 13 3" xfId="2338"/>
    <cellStyle name="Normal 2 13 3 2" xfId="2339"/>
    <cellStyle name="Normal 2 13 3 2 10" xfId="2340"/>
    <cellStyle name="Normal 2 13 3 2 11" xfId="2341"/>
    <cellStyle name="Normal 2 13 3 2 2" xfId="2342"/>
    <cellStyle name="Normal 2 13 3 2 3" xfId="2343"/>
    <cellStyle name="Normal 2 13 3 2 4" xfId="2344"/>
    <cellStyle name="Normal 2 13 3 2 5" xfId="2345"/>
    <cellStyle name="Normal 2 13 3 2 6" xfId="2346"/>
    <cellStyle name="Normal 2 13 3 2 7" xfId="2347"/>
    <cellStyle name="Normal 2 13 3 2 8" xfId="2348"/>
    <cellStyle name="Normal 2 13 3 2 9" xfId="2349"/>
    <cellStyle name="Normal 2 13 3 3" xfId="2350"/>
    <cellStyle name="Normal 2 13 3 4" xfId="2351"/>
    <cellStyle name="Normal 2 13 4" xfId="2352"/>
    <cellStyle name="Normal 2 13 4 2" xfId="2353"/>
    <cellStyle name="Normal 2 13 5" xfId="2354"/>
    <cellStyle name="Normal 2 13 6" xfId="2355"/>
    <cellStyle name="Normal 2 13 7" xfId="2356"/>
    <cellStyle name="Normal 2 13 8" xfId="2357"/>
    <cellStyle name="Normal 2 13 9" xfId="2358"/>
    <cellStyle name="Normal 2 14" xfId="2359"/>
    <cellStyle name="Normal 2 15" xfId="2360"/>
    <cellStyle name="Normal 2 15 2" xfId="2361"/>
    <cellStyle name="Normal 2 15 3" xfId="2362"/>
    <cellStyle name="Normal 2 16" xfId="5265"/>
    <cellStyle name="Normal 2 16 2" xfId="5412"/>
    <cellStyle name="Normal 2 17" xfId="6251"/>
    <cellStyle name="Normal 2 17 2" xfId="6278"/>
    <cellStyle name="Normal 2 2" xfId="44"/>
    <cellStyle name="Normal 2 2 2" xfId="399"/>
    <cellStyle name="Normal 2 2 2 10" xfId="2364"/>
    <cellStyle name="Normal 2 2 2 11" xfId="2365"/>
    <cellStyle name="Normal 2 2 2 12" xfId="2366"/>
    <cellStyle name="Normal 2 2 2 13" xfId="4323"/>
    <cellStyle name="Normal 2 2 2 14" xfId="2363"/>
    <cellStyle name="Normal 2 2 2 2" xfId="2367"/>
    <cellStyle name="Normal 2 2 2 3" xfId="2368"/>
    <cellStyle name="Normal 2 2 2 3 2" xfId="2369"/>
    <cellStyle name="Normal 2 2 2 4" xfId="2370"/>
    <cellStyle name="Normal 2 2 2 4 2" xfId="4668"/>
    <cellStyle name="Normal 2 2 2 5" xfId="2371"/>
    <cellStyle name="Normal 2 2 2 6" xfId="2372"/>
    <cellStyle name="Normal 2 2 2 7" xfId="2373"/>
    <cellStyle name="Normal 2 2 2 8" xfId="2374"/>
    <cellStyle name="Normal 2 2 2 9" xfId="2375"/>
    <cellStyle name="Normal 2 2 3" xfId="5267"/>
    <cellStyle name="Normal 2 2 3 2" xfId="5414"/>
    <cellStyle name="Normal 2 2 4" xfId="6244"/>
    <cellStyle name="Normal 2 2 4 2" xfId="6271"/>
    <cellStyle name="Normal 2 2 5" xfId="49"/>
    <cellStyle name="Normal 2 3" xfId="51"/>
    <cellStyle name="Normal 2 3 2" xfId="2377"/>
    <cellStyle name="Normal 2 3 2 10" xfId="2378"/>
    <cellStyle name="Normal 2 3 2 11" xfId="2379"/>
    <cellStyle name="Normal 2 3 2 12" xfId="2380"/>
    <cellStyle name="Normal 2 3 2 2" xfId="2381"/>
    <cellStyle name="Normal 2 3 2 3" xfId="2382"/>
    <cellStyle name="Normal 2 3 2 3 2" xfId="2383"/>
    <cellStyle name="Normal 2 3 2 4" xfId="2384"/>
    <cellStyle name="Normal 2 3 2 5" xfId="2385"/>
    <cellStyle name="Normal 2 3 2 6" xfId="2386"/>
    <cellStyle name="Normal 2 3 2 7" xfId="2387"/>
    <cellStyle name="Normal 2 3 2 8" xfId="2388"/>
    <cellStyle name="Normal 2 3 2 9" xfId="2389"/>
    <cellStyle name="Normal 2 3 3" xfId="5268"/>
    <cellStyle name="Normal 2 3 3 2" xfId="5415"/>
    <cellStyle name="Normal 2 3 4" xfId="6245"/>
    <cellStyle name="Normal 2 3 4 2" xfId="6272"/>
    <cellStyle name="Normal 2 3 5" xfId="2376"/>
    <cellStyle name="Normal 2 3 6" xfId="10381"/>
    <cellStyle name="Normal 2 4" xfId="80"/>
    <cellStyle name="Normal 2 4 2" xfId="379"/>
    <cellStyle name="Normal 2 4 2 10" xfId="2390"/>
    <cellStyle name="Normal 2 4 2 11" xfId="2391"/>
    <cellStyle name="Normal 2 4 2 12" xfId="2392"/>
    <cellStyle name="Normal 2 4 2 2" xfId="2393"/>
    <cellStyle name="Normal 2 4 2 3" xfId="2394"/>
    <cellStyle name="Normal 2 4 2 3 2" xfId="2395"/>
    <cellStyle name="Normal 2 4 2 4" xfId="2396"/>
    <cellStyle name="Normal 2 4 2 5" xfId="2397"/>
    <cellStyle name="Normal 2 4 2 6" xfId="2398"/>
    <cellStyle name="Normal 2 4 2 7" xfId="2399"/>
    <cellStyle name="Normal 2 4 2 8" xfId="2400"/>
    <cellStyle name="Normal 2 4 2 9" xfId="2401"/>
    <cellStyle name="Normal 2 4 3" xfId="5269"/>
    <cellStyle name="Normal 2 4 3 2" xfId="5416"/>
    <cellStyle name="Normal 2 4 4" xfId="6246"/>
    <cellStyle name="Normal 2 4 4 2" xfId="6273"/>
    <cellStyle name="Normal 2 5" xfId="2402"/>
    <cellStyle name="Normal 2 5 2" xfId="2403"/>
    <cellStyle name="Normal 2 5 2 10" xfId="2404"/>
    <cellStyle name="Normal 2 5 2 11" xfId="2405"/>
    <cellStyle name="Normal 2 5 2 12" xfId="2406"/>
    <cellStyle name="Normal 2 5 2 2" xfId="2407"/>
    <cellStyle name="Normal 2 5 2 3" xfId="2408"/>
    <cellStyle name="Normal 2 5 2 3 2" xfId="2409"/>
    <cellStyle name="Normal 2 5 2 4" xfId="2410"/>
    <cellStyle name="Normal 2 5 2 5" xfId="2411"/>
    <cellStyle name="Normal 2 5 2 6" xfId="2412"/>
    <cellStyle name="Normal 2 5 2 7" xfId="2413"/>
    <cellStyle name="Normal 2 5 2 8" xfId="2414"/>
    <cellStyle name="Normal 2 5 2 9" xfId="2415"/>
    <cellStyle name="Normal 2 5 3" xfId="5270"/>
    <cellStyle name="Normal 2 5 3 2" xfId="5417"/>
    <cellStyle name="Normal 2 5 4" xfId="6247"/>
    <cellStyle name="Normal 2 5 4 2" xfId="6274"/>
    <cellStyle name="Normal 2 6" xfId="2416"/>
    <cellStyle name="Normal 2 6 2" xfId="2417"/>
    <cellStyle name="Normal 2 6 2 10" xfId="2418"/>
    <cellStyle name="Normal 2 6 2 11" xfId="2419"/>
    <cellStyle name="Normal 2 6 2 12" xfId="2420"/>
    <cellStyle name="Normal 2 6 2 2" xfId="2421"/>
    <cellStyle name="Normal 2 6 2 3" xfId="2422"/>
    <cellStyle name="Normal 2 6 2 3 2" xfId="2423"/>
    <cellStyle name="Normal 2 6 2 4" xfId="2424"/>
    <cellStyle name="Normal 2 6 2 5" xfId="2425"/>
    <cellStyle name="Normal 2 6 2 6" xfId="2426"/>
    <cellStyle name="Normal 2 6 2 7" xfId="2427"/>
    <cellStyle name="Normal 2 6 2 8" xfId="2428"/>
    <cellStyle name="Normal 2 6 2 9" xfId="2429"/>
    <cellStyle name="Normal 2 6 3" xfId="5271"/>
    <cellStyle name="Normal 2 6 3 2" xfId="5418"/>
    <cellStyle name="Normal 2 6 4" xfId="6248"/>
    <cellStyle name="Normal 2 6 4 2" xfId="6275"/>
    <cellStyle name="Normal 2 7" xfId="2430"/>
    <cellStyle name="Normal 2 7 2" xfId="2431"/>
    <cellStyle name="Normal 2 7 2 10" xfId="2432"/>
    <cellStyle name="Normal 2 7 2 11" xfId="2433"/>
    <cellStyle name="Normal 2 7 2 12" xfId="2434"/>
    <cellStyle name="Normal 2 7 2 2" xfId="2435"/>
    <cellStyle name="Normal 2 7 2 3" xfId="2436"/>
    <cellStyle name="Normal 2 7 2 3 2" xfId="2437"/>
    <cellStyle name="Normal 2 7 2 4" xfId="2438"/>
    <cellStyle name="Normal 2 7 2 5" xfId="2439"/>
    <cellStyle name="Normal 2 7 2 6" xfId="2440"/>
    <cellStyle name="Normal 2 7 2 7" xfId="2441"/>
    <cellStyle name="Normal 2 7 2 8" xfId="2442"/>
    <cellStyle name="Normal 2 7 2 9" xfId="2443"/>
    <cellStyle name="Normal 2 7 3" xfId="5272"/>
    <cellStyle name="Normal 2 7 3 2" xfId="5419"/>
    <cellStyle name="Normal 2 7 4" xfId="6249"/>
    <cellStyle name="Normal 2 7 4 2" xfId="6276"/>
    <cellStyle name="Normal 2 8" xfId="2444"/>
    <cellStyle name="Normal 2 8 2" xfId="2445"/>
    <cellStyle name="Normal 2 8 2 10" xfId="2446"/>
    <cellStyle name="Normal 2 8 2 11" xfId="2447"/>
    <cellStyle name="Normal 2 8 2 12" xfId="2448"/>
    <cellStyle name="Normal 2 8 2 2" xfId="2449"/>
    <cellStyle name="Normal 2 8 2 3" xfId="2450"/>
    <cellStyle name="Normal 2 8 2 3 2" xfId="2451"/>
    <cellStyle name="Normal 2 8 2 4" xfId="2452"/>
    <cellStyle name="Normal 2 8 2 5" xfId="2453"/>
    <cellStyle name="Normal 2 8 2 6" xfId="2454"/>
    <cellStyle name="Normal 2 8 2 7" xfId="2455"/>
    <cellStyle name="Normal 2 8 2 8" xfId="2456"/>
    <cellStyle name="Normal 2 8 2 9" xfId="2457"/>
    <cellStyle name="Normal 2 8 3" xfId="5273"/>
    <cellStyle name="Normal 2 8 3 2" xfId="5420"/>
    <cellStyle name="Normal 2 8 4" xfId="6250"/>
    <cellStyle name="Normal 2 8 4 2" xfId="6277"/>
    <cellStyle name="Normal 2 9" xfId="2458"/>
    <cellStyle name="Normal 2 9 2" xfId="2459"/>
    <cellStyle name="Normal 2 9 2 10" xfId="2460"/>
    <cellStyle name="Normal 2 9 2 11" xfId="2461"/>
    <cellStyle name="Normal 2 9 2 12" xfId="2462"/>
    <cellStyle name="Normal 2 9 2 2" xfId="2463"/>
    <cellStyle name="Normal 2 9 2 3" xfId="2464"/>
    <cellStyle name="Normal 2 9 2 3 2" xfId="2465"/>
    <cellStyle name="Normal 2 9 2 4" xfId="2466"/>
    <cellStyle name="Normal 2 9 2 5" xfId="2467"/>
    <cellStyle name="Normal 2 9 2 6" xfId="2468"/>
    <cellStyle name="Normal 2 9 2 7" xfId="2469"/>
    <cellStyle name="Normal 2 9 2 8" xfId="2470"/>
    <cellStyle name="Normal 2 9 2 9" xfId="2471"/>
    <cellStyle name="Normal 2 9 3" xfId="5274"/>
    <cellStyle name="Normal 2 9 3 2" xfId="5421"/>
    <cellStyle name="Normal 2 9 4" xfId="6252"/>
    <cellStyle name="Normal 2 9 4 2" xfId="6279"/>
    <cellStyle name="Normal 2_master eligible PV modules 03August2010" xfId="2472"/>
    <cellStyle name="Normal 20" xfId="2473"/>
    <cellStyle name="Normal 21" xfId="2474"/>
    <cellStyle name="Normal 22" xfId="2475"/>
    <cellStyle name="Normal 23" xfId="2476"/>
    <cellStyle name="Normal 24" xfId="2477"/>
    <cellStyle name="Normal 25" xfId="2478"/>
    <cellStyle name="Normal 26" xfId="2479"/>
    <cellStyle name="Normal 27" xfId="2480"/>
    <cellStyle name="Normal 28" xfId="2481"/>
    <cellStyle name="Normal 29" xfId="2482"/>
    <cellStyle name="Normal 3" xfId="47"/>
    <cellStyle name="Normal 3 2" xfId="226"/>
    <cellStyle name="Normal 3 2 2" xfId="2484"/>
    <cellStyle name="Normal 3 2 3" xfId="10423"/>
    <cellStyle name="Normal 3 3" xfId="2483"/>
    <cellStyle name="Normal 3 3 2" xfId="8994"/>
    <cellStyle name="Normal 3 4" xfId="10379"/>
    <cellStyle name="Normal 30" xfId="2485"/>
    <cellStyle name="Normal 31" xfId="2486"/>
    <cellStyle name="Normal 32" xfId="2487"/>
    <cellStyle name="Normal 33" xfId="2488"/>
    <cellStyle name="Normal 34" xfId="2489"/>
    <cellStyle name="Normal 35" xfId="2490"/>
    <cellStyle name="Normal 36" xfId="2491"/>
    <cellStyle name="Normal 37" xfId="2492"/>
    <cellStyle name="Normal 38" xfId="2493"/>
    <cellStyle name="Normal 38 10" xfId="2494"/>
    <cellStyle name="Normal 38 11" xfId="2495"/>
    <cellStyle name="Normal 38 12" xfId="2496"/>
    <cellStyle name="Normal 38 2" xfId="2497"/>
    <cellStyle name="Normal 38 3" xfId="2498"/>
    <cellStyle name="Normal 38 3 2" xfId="2499"/>
    <cellStyle name="Normal 38 4" xfId="2500"/>
    <cellStyle name="Normal 38 5" xfId="2501"/>
    <cellStyle name="Normal 38 6" xfId="2502"/>
    <cellStyle name="Normal 38 7" xfId="2503"/>
    <cellStyle name="Normal 38 8" xfId="2504"/>
    <cellStyle name="Normal 38 9" xfId="2505"/>
    <cellStyle name="Normal 39" xfId="2506"/>
    <cellStyle name="Normal 39 10" xfId="2507"/>
    <cellStyle name="Normal 39 11" xfId="2508"/>
    <cellStyle name="Normal 39 12" xfId="2509"/>
    <cellStyle name="Normal 39 2" xfId="2510"/>
    <cellStyle name="Normal 39 3" xfId="2511"/>
    <cellStyle name="Normal 39 3 2" xfId="2512"/>
    <cellStyle name="Normal 39 4" xfId="2513"/>
    <cellStyle name="Normal 39 5" xfId="2514"/>
    <cellStyle name="Normal 39 6" xfId="2515"/>
    <cellStyle name="Normal 39 7" xfId="2516"/>
    <cellStyle name="Normal 39 8" xfId="2517"/>
    <cellStyle name="Normal 39 9" xfId="2518"/>
    <cellStyle name="Normal 4" xfId="54"/>
    <cellStyle name="Normal 4 2" xfId="375"/>
    <cellStyle name="Normal 4 2 2" xfId="2520"/>
    <cellStyle name="Normal 4 2 3" xfId="10425"/>
    <cellStyle name="Normal 4 3" xfId="2519"/>
    <cellStyle name="Normal 4 3 2" xfId="8993"/>
    <cellStyle name="Normal 4 4" xfId="10383"/>
    <cellStyle name="Normal 40" xfId="2521"/>
    <cellStyle name="Normal 41" xfId="2522"/>
    <cellStyle name="Normal 42" xfId="2523"/>
    <cellStyle name="Normal 42 2" xfId="2524"/>
    <cellStyle name="Normal 42 3" xfId="2525"/>
    <cellStyle name="Normal 42 3 2" xfId="2526"/>
    <cellStyle name="Normal 43" xfId="2527"/>
    <cellStyle name="Normal 43 2" xfId="2528"/>
    <cellStyle name="Normal 44" xfId="2529"/>
    <cellStyle name="Normal 44 2" xfId="2530"/>
    <cellStyle name="Normal 44 3" xfId="7328"/>
    <cellStyle name="Normal 44 3 2" xfId="9084"/>
    <cellStyle name="Normal 45" xfId="2531"/>
    <cellStyle name="Normal 45 2" xfId="2532"/>
    <cellStyle name="Normal 45 3" xfId="7329"/>
    <cellStyle name="Normal 45 3 2" xfId="9085"/>
    <cellStyle name="Normal 46" xfId="2533"/>
    <cellStyle name="Normal 46 10" xfId="2534"/>
    <cellStyle name="Normal 46 11" xfId="2535"/>
    <cellStyle name="Normal 46 12" xfId="2536"/>
    <cellStyle name="Normal 46 2" xfId="2537"/>
    <cellStyle name="Normal 46 3" xfId="2538"/>
    <cellStyle name="Normal 46 4" xfId="2539"/>
    <cellStyle name="Normal 46 5" xfId="2540"/>
    <cellStyle name="Normal 46 6" xfId="2541"/>
    <cellStyle name="Normal 46 7" xfId="2542"/>
    <cellStyle name="Normal 46 8" xfId="2543"/>
    <cellStyle name="Normal 46 9" xfId="2544"/>
    <cellStyle name="Normal 47" xfId="2545"/>
    <cellStyle name="Normal 47 2" xfId="7330"/>
    <cellStyle name="Normal 47 2 2" xfId="9086"/>
    <cellStyle name="Normal 48" xfId="2546"/>
    <cellStyle name="Normal 49" xfId="2547"/>
    <cellStyle name="Normal 5" xfId="2548"/>
    <cellStyle name="Normal 5 2" xfId="2549"/>
    <cellStyle name="Normal 5 2 10" xfId="2550"/>
    <cellStyle name="Normal 5 2 11" xfId="2551"/>
    <cellStyle name="Normal 5 2 12" xfId="2552"/>
    <cellStyle name="Normal 5 2 2" xfId="2553"/>
    <cellStyle name="Normal 5 2 3" xfId="2554"/>
    <cellStyle name="Normal 5 2 3 2" xfId="2555"/>
    <cellStyle name="Normal 5 2 4" xfId="2556"/>
    <cellStyle name="Normal 5 2 5" xfId="2557"/>
    <cellStyle name="Normal 5 2 6" xfId="2558"/>
    <cellStyle name="Normal 5 2 7" xfId="2559"/>
    <cellStyle name="Normal 5 2 8" xfId="2560"/>
    <cellStyle name="Normal 5 2 9" xfId="2561"/>
    <cellStyle name="Normal 5 3" xfId="5275"/>
    <cellStyle name="Normal 5 3 2" xfId="5422"/>
    <cellStyle name="Normal 5 4" xfId="6253"/>
    <cellStyle name="Normal 5 4 2" xfId="6280"/>
    <cellStyle name="Normal 5 5" xfId="6453"/>
    <cellStyle name="Normal 5 6" xfId="6681"/>
    <cellStyle name="Normal 5 7" xfId="10427"/>
    <cellStyle name="Normal 50" xfId="2562"/>
    <cellStyle name="Normal 51" xfId="2563"/>
    <cellStyle name="Normal 52" xfId="2564"/>
    <cellStyle name="Normal 53" xfId="2565"/>
    <cellStyle name="Normal 54" xfId="2566"/>
    <cellStyle name="Normal 54 2" xfId="2567"/>
    <cellStyle name="Normal 55" xfId="2568"/>
    <cellStyle name="Normal 56" xfId="2569"/>
    <cellStyle name="Normal 57" xfId="2570"/>
    <cellStyle name="Normal 58" xfId="2571"/>
    <cellStyle name="Normal 59" xfId="2572"/>
    <cellStyle name="Normal 6" xfId="2573"/>
    <cellStyle name="Normal 6 2" xfId="2574"/>
    <cellStyle name="Normal 6 2 10" xfId="2575"/>
    <cellStyle name="Normal 6 2 11" xfId="2576"/>
    <cellStyle name="Normal 6 2 12" xfId="2577"/>
    <cellStyle name="Normal 6 2 2" xfId="2578"/>
    <cellStyle name="Normal 6 2 3" xfId="2579"/>
    <cellStyle name="Normal 6 2 3 2" xfId="2580"/>
    <cellStyle name="Normal 6 2 4" xfId="2581"/>
    <cellStyle name="Normal 6 2 5" xfId="2582"/>
    <cellStyle name="Normal 6 2 6" xfId="2583"/>
    <cellStyle name="Normal 6 2 7" xfId="2584"/>
    <cellStyle name="Normal 6 2 8" xfId="2585"/>
    <cellStyle name="Normal 6 2 9" xfId="2586"/>
    <cellStyle name="Normal 6 3" xfId="5276"/>
    <cellStyle name="Normal 6 3 2" xfId="5423"/>
    <cellStyle name="Normal 6 4" xfId="6254"/>
    <cellStyle name="Normal 6 4 2" xfId="6281"/>
    <cellStyle name="Normal 60" xfId="2587"/>
    <cellStyle name="Normal 61" xfId="2588"/>
    <cellStyle name="Normal 62" xfId="2589"/>
    <cellStyle name="Normal 63" xfId="2590"/>
    <cellStyle name="Normal 63 2" xfId="2591"/>
    <cellStyle name="Normal 63 3" xfId="4673"/>
    <cellStyle name="Normal 63 3 2" xfId="4767"/>
    <cellStyle name="Normal 64" xfId="2592"/>
    <cellStyle name="Normal 64 2" xfId="2593"/>
    <cellStyle name="Normal 64 3" xfId="4674"/>
    <cellStyle name="Normal 64 3 2" xfId="4768"/>
    <cellStyle name="Normal 65" xfId="2594"/>
    <cellStyle name="Normal 66" xfId="2595"/>
    <cellStyle name="Normal 67" xfId="2596"/>
    <cellStyle name="Normal 68" xfId="2597"/>
    <cellStyle name="Normal 69" xfId="2598"/>
    <cellStyle name="Normal 69 2" xfId="2599"/>
    <cellStyle name="Normal 69 3" xfId="2600"/>
    <cellStyle name="Normal 69 4" xfId="4675"/>
    <cellStyle name="Normal 69 4 2" xfId="4769"/>
    <cellStyle name="Normal 69 5" xfId="5660"/>
    <cellStyle name="Normal 7" xfId="2601"/>
    <cellStyle name="Normal 7 2" xfId="2602"/>
    <cellStyle name="Normal 70" xfId="2603"/>
    <cellStyle name="Normal 70 2" xfId="4432"/>
    <cellStyle name="Normal 70 3" xfId="4676"/>
    <cellStyle name="Normal 70 3 2" xfId="4770"/>
    <cellStyle name="Normal 71" xfId="2604"/>
    <cellStyle name="Normal 72" xfId="4320"/>
    <cellStyle name="Normal 73" xfId="4619"/>
    <cellStyle name="Normal 74" xfId="4654"/>
    <cellStyle name="Normal 75" xfId="4652"/>
    <cellStyle name="Normal 76" xfId="4653"/>
    <cellStyle name="Normal 77" xfId="4655"/>
    <cellStyle name="Normal 78" xfId="4656"/>
    <cellStyle name="Normal 79" xfId="4658"/>
    <cellStyle name="Normal 8" xfId="2605"/>
    <cellStyle name="Normal 8 2" xfId="2606"/>
    <cellStyle name="Normal 80" xfId="4662"/>
    <cellStyle name="Normal 81" xfId="4657"/>
    <cellStyle name="Normal 82" xfId="4660"/>
    <cellStyle name="Normal 83" xfId="4661"/>
    <cellStyle name="Normal 84" xfId="4659"/>
    <cellStyle name="Normal 85" xfId="4663"/>
    <cellStyle name="Normal 86" xfId="4664"/>
    <cellStyle name="Normal 87" xfId="4665"/>
    <cellStyle name="Normal 88" xfId="4666"/>
    <cellStyle name="Normal 89" xfId="4667"/>
    <cellStyle name="Normal 89 2" xfId="7453"/>
    <cellStyle name="Normal 89 2 2" xfId="9209"/>
    <cellStyle name="Normal 9" xfId="2607"/>
    <cellStyle name="Normal 9 2" xfId="2608"/>
    <cellStyle name="Normal 9 2 10" xfId="2609"/>
    <cellStyle name="Normal 9 2 11" xfId="2610"/>
    <cellStyle name="Normal 9 2 12" xfId="2611"/>
    <cellStyle name="Normal 9 2 2" xfId="2612"/>
    <cellStyle name="Normal 9 2 3" xfId="2613"/>
    <cellStyle name="Normal 9 2 3 2" xfId="2614"/>
    <cellStyle name="Normal 9 2 4" xfId="2615"/>
    <cellStyle name="Normal 9 2 5" xfId="2616"/>
    <cellStyle name="Normal 9 2 6" xfId="2617"/>
    <cellStyle name="Normal 9 2 7" xfId="2618"/>
    <cellStyle name="Normal 9 2 8" xfId="2619"/>
    <cellStyle name="Normal 9 2 9" xfId="2620"/>
    <cellStyle name="Normal 9 3" xfId="5277"/>
    <cellStyle name="Normal 9 3 2" xfId="5424"/>
    <cellStyle name="Normal 9 4" xfId="6255"/>
    <cellStyle name="Normal 9 4 2" xfId="6282"/>
    <cellStyle name="Normal 90" xfId="4669"/>
    <cellStyle name="Normal 91" xfId="4670"/>
    <cellStyle name="Normal 92" xfId="4757"/>
    <cellStyle name="Normal 92 2" xfId="4771"/>
    <cellStyle name="Normal 93" xfId="4671"/>
    <cellStyle name="Normal 93 2" xfId="4765"/>
    <cellStyle name="Normal 94" xfId="4758"/>
    <cellStyle name="Normal 95" xfId="4759"/>
    <cellStyle name="Normal 96" xfId="4761"/>
    <cellStyle name="Normal 97" xfId="4760"/>
    <cellStyle name="Normal 98" xfId="4764"/>
    <cellStyle name="Normal 99" xfId="4762"/>
    <cellStyle name="Normal 99 2" xfId="7454"/>
    <cellStyle name="Normal 99 2 2" xfId="9210"/>
    <cellStyle name="Notas 2" xfId="46"/>
    <cellStyle name="Note 2" xfId="52"/>
    <cellStyle name="Note 2 2" xfId="5236"/>
    <cellStyle name="Note 2 2 2" xfId="6212"/>
    <cellStyle name="Note 2 2 2 2" xfId="8677"/>
    <cellStyle name="Note 2 2 2 2 2" xfId="13942"/>
    <cellStyle name="Note 2 2 2 2 2 2" xfId="15385"/>
    <cellStyle name="Note 2 2 2 3" xfId="11675"/>
    <cellStyle name="Note 2 2 2 3 2" xfId="19609"/>
    <cellStyle name="Note 2 2 3" xfId="8205"/>
    <cellStyle name="Note 2 2 3 2" xfId="13470"/>
    <cellStyle name="Note 2 2 3 2 2" xfId="16646"/>
    <cellStyle name="Note 2 2 4" xfId="11094"/>
    <cellStyle name="Note 2 2 4 2" xfId="17434"/>
    <cellStyle name="Note 2 3" xfId="6066"/>
    <cellStyle name="Note 2 3 2" xfId="8549"/>
    <cellStyle name="Note 2 3 2 2" xfId="13814"/>
    <cellStyle name="Note 2 3 2 2 2" xfId="18478"/>
    <cellStyle name="Note 2 3 3" xfId="11529"/>
    <cellStyle name="Note 2 3 3 2" xfId="19353"/>
    <cellStyle name="Note 2 4" xfId="2621"/>
    <cellStyle name="Note 2 4 2" xfId="7888"/>
    <cellStyle name="Note 2 4 2 2" xfId="13157"/>
    <cellStyle name="Note 2 4 2 2 2" xfId="19257"/>
    <cellStyle name="Note 2 4 3" xfId="10705"/>
    <cellStyle name="Note 2 4 3 2" xfId="18749"/>
    <cellStyle name="Note 2 5" xfId="10382"/>
    <cellStyle name="Note 3" xfId="2622"/>
    <cellStyle name="Note 3 2" xfId="5160"/>
    <cellStyle name="Note 3 2 2" xfId="6136"/>
    <cellStyle name="Note 3 2 2 2" xfId="8607"/>
    <cellStyle name="Note 3 2 2 2 2" xfId="13872"/>
    <cellStyle name="Note 3 2 2 2 2 2" xfId="15494"/>
    <cellStyle name="Note 3 2 2 3" xfId="11599"/>
    <cellStyle name="Note 3 2 2 3 2" xfId="20041"/>
    <cellStyle name="Note 3 2 3" xfId="8135"/>
    <cellStyle name="Note 3 2 3 2" xfId="13400"/>
    <cellStyle name="Note 3 2 3 2 2" xfId="18885"/>
    <cellStyle name="Note 3 2 4" xfId="11018"/>
    <cellStyle name="Note 3 2 4 2" xfId="17498"/>
    <cellStyle name="Note 3 3" xfId="6037"/>
    <cellStyle name="Note 3 3 2" xfId="8525"/>
    <cellStyle name="Note 3 3 2 2" xfId="13790"/>
    <cellStyle name="Note 3 3 2 2 2" xfId="16471"/>
    <cellStyle name="Note 3 3 3" xfId="11500"/>
    <cellStyle name="Note 3 3 3 2" xfId="19545"/>
    <cellStyle name="Note 3 4" xfId="7889"/>
    <cellStyle name="Note 3 4 2" xfId="13158"/>
    <cellStyle name="Note 3 4 2 2" xfId="19622"/>
    <cellStyle name="Note 3 5" xfId="10706"/>
    <cellStyle name="Note 3 5 2" xfId="18025"/>
    <cellStyle name="Note 4" xfId="2623"/>
    <cellStyle name="Note 4 10" xfId="2624"/>
    <cellStyle name="Note 4 10 2" xfId="5300"/>
    <cellStyle name="Note 4 10 2 2" xfId="8243"/>
    <cellStyle name="Note 4 10 2 2 2" xfId="13508"/>
    <cellStyle name="Note 4 10 2 2 2 2" xfId="16627"/>
    <cellStyle name="Note 4 10 2 3" xfId="11132"/>
    <cellStyle name="Note 4 10 2 3 2" xfId="17405"/>
    <cellStyle name="Note 4 10 3" xfId="5844"/>
    <cellStyle name="Note 4 10 3 2" xfId="8366"/>
    <cellStyle name="Note 4 10 3 2 2" xfId="13631"/>
    <cellStyle name="Note 4 10 3 2 2 2" xfId="18495"/>
    <cellStyle name="Note 4 10 3 3" xfId="11307"/>
    <cellStyle name="Note 4 10 3 3 2" xfId="17280"/>
    <cellStyle name="Note 4 10 4" xfId="7891"/>
    <cellStyle name="Note 4 10 4 2" xfId="13160"/>
    <cellStyle name="Note 4 10 4 2 2" xfId="19306"/>
    <cellStyle name="Note 4 10 5" xfId="10708"/>
    <cellStyle name="Note 4 10 5 2" xfId="18023"/>
    <cellStyle name="Note 4 11" xfId="2625"/>
    <cellStyle name="Note 4 11 2" xfId="5301"/>
    <cellStyle name="Note 4 11 2 2" xfId="8244"/>
    <cellStyle name="Note 4 11 2 2 2" xfId="13509"/>
    <cellStyle name="Note 4 11 2 2 2 2" xfId="18941"/>
    <cellStyle name="Note 4 11 2 3" xfId="11133"/>
    <cellStyle name="Note 4 11 2 3 2" xfId="18617"/>
    <cellStyle name="Note 4 11 3" xfId="5809"/>
    <cellStyle name="Note 4 11 3 2" xfId="8345"/>
    <cellStyle name="Note 4 11 3 2 2" xfId="13610"/>
    <cellStyle name="Note 4 11 3 2 2 2" xfId="16570"/>
    <cellStyle name="Note 4 11 3 3" xfId="11272"/>
    <cellStyle name="Note 4 11 3 3 2" xfId="18214"/>
    <cellStyle name="Note 4 11 4" xfId="7892"/>
    <cellStyle name="Note 4 11 4 2" xfId="13161"/>
    <cellStyle name="Note 4 11 4 2 2" xfId="19747"/>
    <cellStyle name="Note 4 11 5" xfId="10709"/>
    <cellStyle name="Note 4 11 5 2" xfId="18022"/>
    <cellStyle name="Note 4 12" xfId="2626"/>
    <cellStyle name="Note 4 12 2" xfId="5302"/>
    <cellStyle name="Note 4 12 2 2" xfId="8245"/>
    <cellStyle name="Note 4 12 2 2 2" xfId="13510"/>
    <cellStyle name="Note 4 12 2 2 2 2" xfId="18760"/>
    <cellStyle name="Note 4 12 2 3" xfId="11134"/>
    <cellStyle name="Note 4 12 2 3 2" xfId="18594"/>
    <cellStyle name="Note 4 12 3" xfId="5921"/>
    <cellStyle name="Note 4 12 3 2" xfId="8423"/>
    <cellStyle name="Note 4 12 3 2 2" xfId="13688"/>
    <cellStyle name="Note 4 12 3 2 2 2" xfId="18490"/>
    <cellStyle name="Note 4 12 3 3" xfId="11384"/>
    <cellStyle name="Note 4 12 3 3 2" xfId="19934"/>
    <cellStyle name="Note 4 12 4" xfId="7893"/>
    <cellStyle name="Note 4 12 4 2" xfId="13162"/>
    <cellStyle name="Note 4 12 4 2 2" xfId="20078"/>
    <cellStyle name="Note 4 12 5" xfId="10710"/>
    <cellStyle name="Note 4 12 5 2" xfId="18021"/>
    <cellStyle name="Note 4 13" xfId="5235"/>
    <cellStyle name="Note 4 13 2" xfId="6211"/>
    <cellStyle name="Note 4 13 2 2" xfId="8676"/>
    <cellStyle name="Note 4 13 2 2 2" xfId="13941"/>
    <cellStyle name="Note 4 13 2 2 2 2" xfId="16370"/>
    <cellStyle name="Note 4 13 2 3" xfId="11674"/>
    <cellStyle name="Note 4 13 2 3 2" xfId="19044"/>
    <cellStyle name="Note 4 13 3" xfId="8204"/>
    <cellStyle name="Note 4 13 3 2" xfId="13469"/>
    <cellStyle name="Note 4 13 3 2 2" xfId="16647"/>
    <cellStyle name="Note 4 13 4" xfId="11093"/>
    <cellStyle name="Note 4 13 4 2" xfId="17435"/>
    <cellStyle name="Note 4 14" xfId="5995"/>
    <cellStyle name="Note 4 14 2" xfId="8490"/>
    <cellStyle name="Note 4 14 2 2" xfId="13755"/>
    <cellStyle name="Note 4 14 2 2 2" xfId="15510"/>
    <cellStyle name="Note 4 14 3" xfId="11458"/>
    <cellStyle name="Note 4 14 3 2" xfId="19036"/>
    <cellStyle name="Note 4 15" xfId="7890"/>
    <cellStyle name="Note 4 15 2" xfId="13159"/>
    <cellStyle name="Note 4 15 2 2" xfId="19927"/>
    <cellStyle name="Note 4 16" xfId="10707"/>
    <cellStyle name="Note 4 16 2" xfId="18024"/>
    <cellStyle name="Note 4 2" xfId="2627"/>
    <cellStyle name="Note 4 2 2" xfId="5234"/>
    <cellStyle name="Note 4 2 2 2" xfId="6210"/>
    <cellStyle name="Note 4 2 2 2 2" xfId="8675"/>
    <cellStyle name="Note 4 2 2 2 2 2" xfId="13940"/>
    <cellStyle name="Note 4 2 2 2 2 2 2" xfId="18814"/>
    <cellStyle name="Note 4 2 2 2 3" xfId="11673"/>
    <cellStyle name="Note 4 2 2 2 3 2" xfId="19374"/>
    <cellStyle name="Note 4 2 2 3" xfId="8203"/>
    <cellStyle name="Note 4 2 2 3 2" xfId="13468"/>
    <cellStyle name="Note 4 2 2 3 2 2" xfId="18697"/>
    <cellStyle name="Note 4 2 2 4" xfId="11092"/>
    <cellStyle name="Note 4 2 2 4 2" xfId="17436"/>
    <cellStyle name="Note 4 2 3" xfId="5994"/>
    <cellStyle name="Note 4 2 3 2" xfId="8489"/>
    <cellStyle name="Note 4 2 3 2 2" xfId="13754"/>
    <cellStyle name="Note 4 2 3 2 2 2" xfId="16491"/>
    <cellStyle name="Note 4 2 3 3" xfId="11457"/>
    <cellStyle name="Note 4 2 3 3 2" xfId="19366"/>
    <cellStyle name="Note 4 2 4" xfId="7894"/>
    <cellStyle name="Note 4 2 4 2" xfId="13163"/>
    <cellStyle name="Note 4 2 4 2 2" xfId="20083"/>
    <cellStyle name="Note 4 2 5" xfId="10711"/>
    <cellStyle name="Note 4 2 5 2" xfId="18017"/>
    <cellStyle name="Note 4 3" xfId="2628"/>
    <cellStyle name="Note 4 3 2" xfId="2629"/>
    <cellStyle name="Note 4 3 2 2" xfId="5171"/>
    <cellStyle name="Note 4 3 2 2 2" xfId="6147"/>
    <cellStyle name="Note 4 3 2 2 2 2" xfId="8616"/>
    <cellStyle name="Note 4 3 2 2 2 2 2" xfId="13881"/>
    <cellStyle name="Note 4 3 2 2 2 2 2 2" xfId="18902"/>
    <cellStyle name="Note 4 3 2 2 2 3" xfId="11610"/>
    <cellStyle name="Note 4 3 2 2 2 3 2" xfId="19601"/>
    <cellStyle name="Note 4 3 2 2 3" xfId="8144"/>
    <cellStyle name="Note 4 3 2 2 3 2" xfId="13409"/>
    <cellStyle name="Note 4 3 2 2 3 2 2" xfId="18884"/>
    <cellStyle name="Note 4 3 2 2 4" xfId="11029"/>
    <cellStyle name="Note 4 3 2 2 4 2" xfId="17491"/>
    <cellStyle name="Note 4 3 2 3" xfId="5948"/>
    <cellStyle name="Note 4 3 2 3 2" xfId="8444"/>
    <cellStyle name="Note 4 3 2 3 2 2" xfId="13709"/>
    <cellStyle name="Note 4 3 2 3 2 2 2" xfId="18176"/>
    <cellStyle name="Note 4 3 2 3 3" xfId="11411"/>
    <cellStyle name="Note 4 3 2 3 3 2" xfId="18313"/>
    <cellStyle name="Note 4 3 2 4" xfId="7896"/>
    <cellStyle name="Note 4 3 2 4 2" xfId="13165"/>
    <cellStyle name="Note 4 3 2 4 2 2" xfId="19457"/>
    <cellStyle name="Note 4 3 2 5" xfId="10713"/>
    <cellStyle name="Note 4 3 2 5 2" xfId="18018"/>
    <cellStyle name="Note 4 3 3" xfId="5116"/>
    <cellStyle name="Note 4 3 3 2" xfId="6092"/>
    <cellStyle name="Note 4 3 3 2 2" xfId="8563"/>
    <cellStyle name="Note 4 3 3 2 2 2" xfId="13828"/>
    <cellStyle name="Note 4 3 3 2 2 2 2" xfId="16450"/>
    <cellStyle name="Note 4 3 3 2 3" xfId="11555"/>
    <cellStyle name="Note 4 3 3 2 3 2" xfId="18307"/>
    <cellStyle name="Note 4 3 3 3" xfId="8091"/>
    <cellStyle name="Note 4 3 3 3 2" xfId="13356"/>
    <cellStyle name="Note 4 3 3 3 2 2" xfId="18985"/>
    <cellStyle name="Note 4 3 3 4" xfId="10974"/>
    <cellStyle name="Note 4 3 3 4 2" xfId="17530"/>
    <cellStyle name="Note 4 3 4" xfId="5949"/>
    <cellStyle name="Note 4 3 4 2" xfId="8445"/>
    <cellStyle name="Note 4 3 4 2 2" xfId="13710"/>
    <cellStyle name="Note 4 3 4 2 2 2" xfId="17779"/>
    <cellStyle name="Note 4 3 4 3" xfId="11412"/>
    <cellStyle name="Note 4 3 4 3 2" xfId="17995"/>
    <cellStyle name="Note 4 3 5" xfId="7895"/>
    <cellStyle name="Note 4 3 5 2" xfId="13164"/>
    <cellStyle name="Note 4 3 5 2 2" xfId="19462"/>
    <cellStyle name="Note 4 3 6" xfId="10712"/>
    <cellStyle name="Note 4 3 6 2" xfId="18019"/>
    <cellStyle name="Note 4 4" xfId="2630"/>
    <cellStyle name="Note 4 4 2" xfId="5303"/>
    <cellStyle name="Note 4 4 2 2" xfId="8246"/>
    <cellStyle name="Note 4 4 2 2 2" xfId="13511"/>
    <cellStyle name="Note 4 4 2 2 2 2" xfId="18225"/>
    <cellStyle name="Note 4 4 2 3" xfId="11135"/>
    <cellStyle name="Note 4 4 2 3 2" xfId="18323"/>
    <cellStyle name="Note 4 4 3" xfId="5920"/>
    <cellStyle name="Note 4 4 3 2" xfId="8422"/>
    <cellStyle name="Note 4 4 3 2 2" xfId="13687"/>
    <cellStyle name="Note 4 4 3 2 2 2" xfId="16526"/>
    <cellStyle name="Note 4 4 3 3" xfId="11383"/>
    <cellStyle name="Note 4 4 3 3 2" xfId="19629"/>
    <cellStyle name="Note 4 4 4" xfId="7897"/>
    <cellStyle name="Note 4 4 4 2" xfId="13166"/>
    <cellStyle name="Note 4 4 4 2 2" xfId="20049"/>
    <cellStyle name="Note 4 4 5" xfId="10714"/>
    <cellStyle name="Note 4 4 5 2" xfId="18015"/>
    <cellStyle name="Note 4 5" xfId="2631"/>
    <cellStyle name="Note 4 5 2" xfId="5304"/>
    <cellStyle name="Note 4 5 2 2" xfId="8247"/>
    <cellStyle name="Note 4 5 2 2 2" xfId="13512"/>
    <cellStyle name="Note 4 5 2 2 2 2" xfId="16626"/>
    <cellStyle name="Note 4 5 2 3" xfId="11136"/>
    <cellStyle name="Note 4 5 2 3 2" xfId="18276"/>
    <cellStyle name="Note 4 5 3" xfId="5919"/>
    <cellStyle name="Note 4 5 3 2" xfId="8421"/>
    <cellStyle name="Note 4 5 3 2 2" xfId="13686"/>
    <cellStyle name="Note 4 5 3 2 2 2" xfId="15516"/>
    <cellStyle name="Note 4 5 3 3" xfId="11382"/>
    <cellStyle name="Note 4 5 3 3 2" xfId="19028"/>
    <cellStyle name="Note 4 5 4" xfId="7898"/>
    <cellStyle name="Note 4 5 4 2" xfId="13167"/>
    <cellStyle name="Note 4 5 4 2 2" xfId="19428"/>
    <cellStyle name="Note 4 5 5" xfId="10715"/>
    <cellStyle name="Note 4 5 5 2" xfId="18020"/>
    <cellStyle name="Note 4 6" xfId="2632"/>
    <cellStyle name="Note 4 6 2" xfId="5305"/>
    <cellStyle name="Note 4 6 2 2" xfId="8248"/>
    <cellStyle name="Note 4 6 2 2 2" xfId="13513"/>
    <cellStyle name="Note 4 6 2 2 2 2" xfId="16625"/>
    <cellStyle name="Note 4 6 2 3" xfId="11137"/>
    <cellStyle name="Note 4 6 2 3 2" xfId="17404"/>
    <cellStyle name="Note 4 6 3" xfId="5808"/>
    <cellStyle name="Note 4 6 3 2" xfId="8344"/>
    <cellStyle name="Note 4 6 3 2 2" xfId="13609"/>
    <cellStyle name="Note 4 6 3 2 2 2" xfId="15528"/>
    <cellStyle name="Note 4 6 3 3" xfId="11271"/>
    <cellStyle name="Note 4 6 3 3 2" xfId="18294"/>
    <cellStyle name="Note 4 6 4" xfId="7899"/>
    <cellStyle name="Note 4 6 4 2" xfId="13168"/>
    <cellStyle name="Note 4 6 4 2 2" xfId="19098"/>
    <cellStyle name="Note 4 6 5" xfId="10716"/>
    <cellStyle name="Note 4 6 5 2" xfId="17723"/>
    <cellStyle name="Note 4 7" xfId="2633"/>
    <cellStyle name="Note 4 7 2" xfId="5306"/>
    <cellStyle name="Note 4 7 2 2" xfId="8249"/>
    <cellStyle name="Note 4 7 2 2 2" xfId="13514"/>
    <cellStyle name="Note 4 7 2 2 2 2" xfId="18216"/>
    <cellStyle name="Note 4 7 2 3" xfId="11138"/>
    <cellStyle name="Note 4 7 2 3 2" xfId="17403"/>
    <cellStyle name="Note 4 7 3" xfId="5807"/>
    <cellStyle name="Note 4 7 3 2" xfId="8343"/>
    <cellStyle name="Note 4 7 3 2 2" xfId="13608"/>
    <cellStyle name="Note 4 7 3 2 2 2" xfId="16577"/>
    <cellStyle name="Note 4 7 3 3" xfId="11270"/>
    <cellStyle name="Note 4 7 3 3 2" xfId="18526"/>
    <cellStyle name="Note 4 7 4" xfId="7900"/>
    <cellStyle name="Note 4 7 4 2" xfId="13169"/>
    <cellStyle name="Note 4 7 4 2 2" xfId="18635"/>
    <cellStyle name="Note 4 7 5" xfId="10717"/>
    <cellStyle name="Note 4 7 5 2" xfId="17722"/>
    <cellStyle name="Note 4 8" xfId="2634"/>
    <cellStyle name="Note 4 8 2" xfId="5307"/>
    <cellStyle name="Note 4 8 2 2" xfId="8250"/>
    <cellStyle name="Note 4 8 2 2 2" xfId="13515"/>
    <cellStyle name="Note 4 8 2 2 2 2" xfId="16624"/>
    <cellStyle name="Note 4 8 2 3" xfId="11139"/>
    <cellStyle name="Note 4 8 2 3 2" xfId="17402"/>
    <cellStyle name="Note 4 8 3" xfId="5806"/>
    <cellStyle name="Note 4 8 3 2" xfId="8342"/>
    <cellStyle name="Note 4 8 3 2 2" xfId="13607"/>
    <cellStyle name="Note 4 8 3 2 2 2" xfId="16578"/>
    <cellStyle name="Note 4 8 3 3" xfId="11269"/>
    <cellStyle name="Note 4 8 3 3 2" xfId="18527"/>
    <cellStyle name="Note 4 8 4" xfId="7901"/>
    <cellStyle name="Note 4 8 4 2" xfId="13170"/>
    <cellStyle name="Note 4 8 4 2 2" xfId="18540"/>
    <cellStyle name="Note 4 8 5" xfId="10718"/>
    <cellStyle name="Note 4 8 5 2" xfId="18016"/>
    <cellStyle name="Note 4 9" xfId="2635"/>
    <cellStyle name="Note 4 9 2" xfId="5308"/>
    <cellStyle name="Note 4 9 2 2" xfId="8251"/>
    <cellStyle name="Note 4 9 2 2 2" xfId="13516"/>
    <cellStyle name="Note 4 9 2 2 2 2" xfId="16623"/>
    <cellStyle name="Note 4 9 2 3" xfId="11140"/>
    <cellStyle name="Note 4 9 2 3 2" xfId="17401"/>
    <cellStyle name="Note 4 9 3" xfId="5805"/>
    <cellStyle name="Note 4 9 3 2" xfId="8341"/>
    <cellStyle name="Note 4 9 3 2 2" xfId="13606"/>
    <cellStyle name="Note 4 9 3 2 2 2" xfId="16579"/>
    <cellStyle name="Note 4 9 3 3" xfId="11268"/>
    <cellStyle name="Note 4 9 3 3 2" xfId="18586"/>
    <cellStyle name="Note 4 9 4" xfId="7902"/>
    <cellStyle name="Note 4 9 4 2" xfId="13171"/>
    <cellStyle name="Note 4 9 4 2 2" xfId="19517"/>
    <cellStyle name="Note 4 9 5" xfId="10719"/>
    <cellStyle name="Note 4 9 5 2" xfId="18014"/>
    <cellStyle name="Note 5" xfId="4642"/>
    <cellStyle name="Note 5 2" xfId="5377"/>
    <cellStyle name="Note 5 2 2" xfId="8292"/>
    <cellStyle name="Note 5 2 2 2" xfId="13557"/>
    <cellStyle name="Note 5 2 2 2 2" xfId="16604"/>
    <cellStyle name="Note 5 2 3" xfId="11209"/>
    <cellStyle name="Note 5 2 3 2" xfId="18319"/>
    <cellStyle name="Note 5 3" xfId="5792"/>
    <cellStyle name="Note 5 3 2" xfId="8329"/>
    <cellStyle name="Note 5 3 2 2" xfId="13594"/>
    <cellStyle name="Note 5 3 2 2 2" xfId="16587"/>
    <cellStyle name="Note 5 3 3" xfId="11255"/>
    <cellStyle name="Note 5 3 3 2" xfId="17311"/>
    <cellStyle name="Note 5 4" xfId="8064"/>
    <cellStyle name="Note 5 4 2" xfId="13329"/>
    <cellStyle name="Note 5 4 2 2" xfId="15370"/>
    <cellStyle name="Note 5 5" xfId="10927"/>
    <cellStyle name="Note 5 5 2" xfId="17565"/>
    <cellStyle name="Note 6" xfId="5785"/>
    <cellStyle name="Note 6 2" xfId="8324"/>
    <cellStyle name="Note 6 2 2" xfId="13589"/>
    <cellStyle name="Note 6 2 2 2" xfId="16588"/>
    <cellStyle name="Note 6 3" xfId="11250"/>
    <cellStyle name="Note 6 3 2" xfId="17316"/>
    <cellStyle name="Note 7" xfId="6233"/>
    <cellStyle name="Note 7 2" xfId="6260"/>
    <cellStyle name="Note 7 2 2" xfId="8699"/>
    <cellStyle name="Note 7 2 2 2" xfId="13964"/>
    <cellStyle name="Note 7 2 2 2 2" xfId="18069"/>
    <cellStyle name="Note 7 2 3" xfId="11697"/>
    <cellStyle name="Note 7 2 3 2" xfId="19122"/>
    <cellStyle name="Note 7 3" xfId="8697"/>
    <cellStyle name="Note 7 3 2" xfId="13962"/>
    <cellStyle name="Note 7 3 2 2" xfId="16355"/>
    <cellStyle name="Note 7 4" xfId="11695"/>
    <cellStyle name="Note 7 4 2" xfId="20073"/>
    <cellStyle name="Notiz" xfId="2636"/>
    <cellStyle name="Notiz 2" xfId="81"/>
    <cellStyle name="Notiz 2 2" xfId="6209"/>
    <cellStyle name="Notiz 2 2 2" xfId="8674"/>
    <cellStyle name="Notiz 2 2 2 2" xfId="13939"/>
    <cellStyle name="Notiz 2 2 2 2 2" xfId="16371"/>
    <cellStyle name="Notiz 2 2 3" xfId="11672"/>
    <cellStyle name="Notiz 2 2 3 2" xfId="19995"/>
    <cellStyle name="Notiz 2 3" xfId="5233"/>
    <cellStyle name="Notiz 2 3 2" xfId="8202"/>
    <cellStyle name="Notiz 2 3 2 2" xfId="13467"/>
    <cellStyle name="Notiz 2 3 2 2 2" xfId="18878"/>
    <cellStyle name="Notiz 2 3 3" xfId="11091"/>
    <cellStyle name="Notiz 2 3 3 2" xfId="17437"/>
    <cellStyle name="Notiz 2 4" xfId="10403"/>
    <cellStyle name="Notiz 3" xfId="6039"/>
    <cellStyle name="Notiz 3 2" xfId="8527"/>
    <cellStyle name="Notiz 3 2 2" xfId="13792"/>
    <cellStyle name="Notiz 3 2 2 2" xfId="16469"/>
    <cellStyle name="Notiz 3 3" xfId="11502"/>
    <cellStyle name="Notiz 3 3 2" xfId="19230"/>
    <cellStyle name="Notiz 4" xfId="7903"/>
    <cellStyle name="Notiz 4 2" xfId="13172"/>
    <cellStyle name="Notiz 4 2 2" xfId="19822"/>
    <cellStyle name="Notiz 5" xfId="10720"/>
    <cellStyle name="Notiz 5 2" xfId="18013"/>
    <cellStyle name="Output" xfId="10" builtinId="21" customBuiltin="1"/>
    <cellStyle name="Output 2" xfId="2637"/>
    <cellStyle name="Output 2 2" xfId="5232"/>
    <cellStyle name="Output 2 2 2" xfId="6208"/>
    <cellStyle name="Output 2 2 2 2" xfId="6449"/>
    <cellStyle name="Output 2 2 2 2 2" xfId="7252"/>
    <cellStyle name="Output 2 2 2 2 2 2" xfId="10057"/>
    <cellStyle name="Output 2 2 2 2 2 2 2" xfId="14901"/>
    <cellStyle name="Output 2 2 2 2 2 2 2 2" xfId="18640"/>
    <cellStyle name="Output 2 2 2 2 2 3" xfId="10375"/>
    <cellStyle name="Output 2 2 2 2 2 3 2" xfId="10625"/>
    <cellStyle name="Output 2 2 2 2 2 3 2 2" xfId="15352"/>
    <cellStyle name="Output 2 2 2 2 2 3 2 2 2" xfId="20092"/>
    <cellStyle name="Output 2 2 2 2 2 3 3" xfId="15152"/>
    <cellStyle name="Output 2 2 2 2 2 3 3 2" xfId="18111"/>
    <cellStyle name="Output 2 2 2 2 2 4" xfId="12936"/>
    <cellStyle name="Output 2 2 2 2 2 4 2" xfId="19213"/>
    <cellStyle name="Output 2 2 2 2 3" xfId="8864"/>
    <cellStyle name="Output 2 2 2 2 3 2" xfId="14103"/>
    <cellStyle name="Output 2 2 2 2 3 2 2" xfId="18238"/>
    <cellStyle name="Output 2 2 2 2 4" xfId="11862"/>
    <cellStyle name="Output 2 2 2 2 4 2" xfId="18523"/>
    <cellStyle name="Output 2 2 2 3" xfId="8673"/>
    <cellStyle name="Output 2 2 2 3 2" xfId="13938"/>
    <cellStyle name="Output 2 2 2 3 2 2" xfId="16372"/>
    <cellStyle name="Output 2 2 2 4" xfId="11671"/>
    <cellStyle name="Output 2 2 2 4 2" xfId="19693"/>
    <cellStyle name="Output 2 2 3" xfId="6360"/>
    <cellStyle name="Output 2 2 3 2" xfId="7163"/>
    <cellStyle name="Output 2 2 3 2 2" xfId="9968"/>
    <cellStyle name="Output 2 2 3 2 2 2" xfId="14830"/>
    <cellStyle name="Output 2 2 3 2 2 2 2" xfId="15851"/>
    <cellStyle name="Output 2 2 3 2 3" xfId="10286"/>
    <cellStyle name="Output 2 2 3 2 3 2" xfId="10536"/>
    <cellStyle name="Output 2 2 3 2 3 2 2" xfId="15263"/>
    <cellStyle name="Output 2 2 3 2 3 2 2 2" xfId="15598"/>
    <cellStyle name="Output 2 2 3 2 3 3" xfId="15063"/>
    <cellStyle name="Output 2 2 3 2 3 3 2" xfId="18120"/>
    <cellStyle name="Output 2 2 3 2 4" xfId="12847"/>
    <cellStyle name="Output 2 2 3 2 4 2" xfId="19290"/>
    <cellStyle name="Output 2 2 3 3" xfId="8775"/>
    <cellStyle name="Output 2 2 3 3 2" xfId="14030"/>
    <cellStyle name="Output 2 2 3 3 2 2" xfId="16312"/>
    <cellStyle name="Output 2 2 3 4" xfId="11773"/>
    <cellStyle name="Output 2 2 3 4 2" xfId="19828"/>
    <cellStyle name="Output 2 2 4" xfId="8201"/>
    <cellStyle name="Output 2 2 4 2" xfId="13466"/>
    <cellStyle name="Output 2 2 4 2 2" xfId="16648"/>
    <cellStyle name="Output 2 2 5" xfId="11090"/>
    <cellStyle name="Output 2 2 5 2" xfId="17438"/>
    <cellStyle name="Output 2 3" xfId="5993"/>
    <cellStyle name="Output 2 3 2" xfId="6413"/>
    <cellStyle name="Output 2 3 2 2" xfId="7216"/>
    <cellStyle name="Output 2 3 2 2 2" xfId="10021"/>
    <cellStyle name="Output 2 3 2 2 2 2" xfId="14872"/>
    <cellStyle name="Output 2 3 2 2 2 2 2" xfId="18643"/>
    <cellStyle name="Output 2 3 2 2 3" xfId="10339"/>
    <cellStyle name="Output 2 3 2 2 3 2" xfId="10589"/>
    <cellStyle name="Output 2 3 2 2 3 2 2" xfId="15316"/>
    <cellStyle name="Output 2 3 2 2 3 2 2 2" xfId="15560"/>
    <cellStyle name="Output 2 3 2 2 3 3" xfId="15116"/>
    <cellStyle name="Output 2 3 2 2 3 3 2" xfId="15697"/>
    <cellStyle name="Output 2 3 2 2 4" xfId="12900"/>
    <cellStyle name="Output 2 3 2 2 4 2" xfId="18992"/>
    <cellStyle name="Output 2 3 2 3" xfId="8828"/>
    <cellStyle name="Output 2 3 2 3 2" xfId="14073"/>
    <cellStyle name="Output 2 3 2 3 2 2" xfId="18351"/>
    <cellStyle name="Output 2 3 2 4" xfId="11826"/>
    <cellStyle name="Output 2 3 2 4 2" xfId="17242"/>
    <cellStyle name="Output 2 3 3" xfId="8488"/>
    <cellStyle name="Output 2 3 3 2" xfId="13753"/>
    <cellStyle name="Output 2 3 3 2 2" xfId="16492"/>
    <cellStyle name="Output 2 3 4" xfId="11456"/>
    <cellStyle name="Output 2 3 4 2" xfId="19987"/>
    <cellStyle name="Output 2 4" xfId="6293"/>
    <cellStyle name="Output 2 4 2" xfId="7096"/>
    <cellStyle name="Output 2 4 2 2" xfId="9901"/>
    <cellStyle name="Output 2 4 2 2 2" xfId="14774"/>
    <cellStyle name="Output 2 4 2 2 2 2" xfId="15878"/>
    <cellStyle name="Output 2 4 2 3" xfId="10219"/>
    <cellStyle name="Output 2 4 2 3 2" xfId="10469"/>
    <cellStyle name="Output 2 4 2 3 2 2" xfId="15196"/>
    <cellStyle name="Output 2 4 2 3 2 2 2" xfId="15648"/>
    <cellStyle name="Output 2 4 2 3 3" xfId="14996"/>
    <cellStyle name="Output 2 4 2 3 3 2" xfId="15771"/>
    <cellStyle name="Output 2 4 2 4" xfId="12780"/>
    <cellStyle name="Output 2 4 2 4 2" xfId="19410"/>
    <cellStyle name="Output 2 4 3" xfId="8708"/>
    <cellStyle name="Output 2 4 3 2" xfId="13973"/>
    <cellStyle name="Output 2 4 3 2 2" xfId="16349"/>
    <cellStyle name="Output 2 4 4" xfId="11706"/>
    <cellStyle name="Output 2 4 4 2" xfId="18297"/>
    <cellStyle name="Output 2 5" xfId="7904"/>
    <cellStyle name="Output 2 5 2" xfId="13173"/>
    <cellStyle name="Output 2 5 2 2" xfId="19202"/>
    <cellStyle name="Output 2 6" xfId="10721"/>
    <cellStyle name="Output 2 6 2" xfId="18011"/>
    <cellStyle name="Output 3" xfId="2638"/>
    <cellStyle name="Output 3 2" xfId="5231"/>
    <cellStyle name="Output 3 2 2" xfId="6207"/>
    <cellStyle name="Output 3 2 2 2" xfId="6448"/>
    <cellStyle name="Output 3 2 2 2 2" xfId="7251"/>
    <cellStyle name="Output 3 2 2 2 2 2" xfId="10056"/>
    <cellStyle name="Output 3 2 2 2 2 2 2" xfId="14900"/>
    <cellStyle name="Output 3 2 2 2 2 2 2 2" xfId="18821"/>
    <cellStyle name="Output 3 2 2 2 2 3" xfId="10374"/>
    <cellStyle name="Output 3 2 2 2 2 3 2" xfId="10624"/>
    <cellStyle name="Output 3 2 2 2 2 3 2 2" xfId="15351"/>
    <cellStyle name="Output 3 2 2 2 2 3 2 2 2" xfId="20091"/>
    <cellStyle name="Output 3 2 2 2 2 3 3" xfId="15151"/>
    <cellStyle name="Output 3 2 2 2 2 3 3 2" xfId="18423"/>
    <cellStyle name="Output 3 2 2 2 2 4" xfId="12935"/>
    <cellStyle name="Output 3 2 2 2 2 4 2" xfId="19833"/>
    <cellStyle name="Output 3 2 2 2 3" xfId="8863"/>
    <cellStyle name="Output 3 2 2 2 3 2" xfId="14102"/>
    <cellStyle name="Output 3 2 2 2 3 2 2" xfId="16273"/>
    <cellStyle name="Output 3 2 2 2 4" xfId="11861"/>
    <cellStyle name="Output 3 2 2 2 4 2" xfId="17216"/>
    <cellStyle name="Output 3 2 2 3" xfId="8672"/>
    <cellStyle name="Output 3 2 2 3 2" xfId="13937"/>
    <cellStyle name="Output 3 2 2 3 2 2" xfId="16373"/>
    <cellStyle name="Output 3 2 2 4" xfId="11670"/>
    <cellStyle name="Output 3 2 2 4 2" xfId="19207"/>
    <cellStyle name="Output 3 2 3" xfId="6359"/>
    <cellStyle name="Output 3 2 3 2" xfId="7162"/>
    <cellStyle name="Output 3 2 3 2 2" xfId="9967"/>
    <cellStyle name="Output 3 2 3 2 2 2" xfId="14829"/>
    <cellStyle name="Output 3 2 3 2 2 2 2" xfId="15852"/>
    <cellStyle name="Output 3 2 3 2 3" xfId="10285"/>
    <cellStyle name="Output 3 2 3 2 3 2" xfId="10535"/>
    <cellStyle name="Output 3 2 3 2 3 2 2" xfId="15262"/>
    <cellStyle name="Output 3 2 3 2 3 2 2 2" xfId="15599"/>
    <cellStyle name="Output 3 2 3 2 3 3" xfId="15062"/>
    <cellStyle name="Output 3 2 3 2 3 3 2" xfId="18432"/>
    <cellStyle name="Output 3 2 3 2 4" xfId="12846"/>
    <cellStyle name="Output 3 2 3 2 4 2" xfId="19911"/>
    <cellStyle name="Output 3 2 3 3" xfId="8774"/>
    <cellStyle name="Output 3 2 3 3 2" xfId="14029"/>
    <cellStyle name="Output 3 2 3 3 2 2" xfId="16313"/>
    <cellStyle name="Output 3 2 3 4" xfId="11772"/>
    <cellStyle name="Output 3 2 3 4 2" xfId="19523"/>
    <cellStyle name="Output 3 2 4" xfId="8200"/>
    <cellStyle name="Output 3 2 4 2" xfId="13465"/>
    <cellStyle name="Output 3 2 4 2 2" xfId="15417"/>
    <cellStyle name="Output 3 2 5" xfId="11089"/>
    <cellStyle name="Output 3 2 5 2" xfId="17439"/>
    <cellStyle name="Output 3 3" xfId="6038"/>
    <cellStyle name="Output 3 3 2" xfId="6416"/>
    <cellStyle name="Output 3 3 2 2" xfId="7219"/>
    <cellStyle name="Output 3 3 2 2 2" xfId="10024"/>
    <cellStyle name="Output 3 3 2 2 2 2" xfId="14875"/>
    <cellStyle name="Output 3 3 2 2 2 2 2" xfId="15829"/>
    <cellStyle name="Output 3 3 2 2 3" xfId="10342"/>
    <cellStyle name="Output 3 3 2 2 3 2" xfId="10592"/>
    <cellStyle name="Output 3 3 2 2 3 2 2" xfId="15319"/>
    <cellStyle name="Output 3 3 2 2 3 2 2 2" xfId="15557"/>
    <cellStyle name="Output 3 3 2 2 3 3" xfId="15119"/>
    <cellStyle name="Output 3 3 2 2 3 3 2" xfId="15431"/>
    <cellStyle name="Output 3 3 2 2 4" xfId="12903"/>
    <cellStyle name="Output 3 3 2 2 4 2" xfId="19832"/>
    <cellStyle name="Output 3 3 2 3" xfId="8831"/>
    <cellStyle name="Output 3 3 2 3 2" xfId="14076"/>
    <cellStyle name="Output 3 3 2 3 2 2" xfId="18861"/>
    <cellStyle name="Output 3 3 2 4" xfId="11829"/>
    <cellStyle name="Output 3 3 2 4 2" xfId="17239"/>
    <cellStyle name="Output 3 3 3" xfId="8526"/>
    <cellStyle name="Output 3 3 3 2" xfId="13791"/>
    <cellStyle name="Output 3 3 3 2 2" xfId="16470"/>
    <cellStyle name="Output 3 3 4" xfId="11501"/>
    <cellStyle name="Output 3 3 4 2" xfId="19850"/>
    <cellStyle name="Output 3 4" xfId="6294"/>
    <cellStyle name="Output 3 4 2" xfId="7097"/>
    <cellStyle name="Output 3 4 2 2" xfId="9902"/>
    <cellStyle name="Output 3 4 2 2 2" xfId="14775"/>
    <cellStyle name="Output 3 4 2 2 2 2" xfId="15877"/>
    <cellStyle name="Output 3 4 2 3" xfId="10220"/>
    <cellStyle name="Output 3 4 2 3 2" xfId="10470"/>
    <cellStyle name="Output 3 4 2 3 2 2" xfId="15197"/>
    <cellStyle name="Output 3 4 2 3 2 2 2" xfId="15647"/>
    <cellStyle name="Output 3 4 2 3 3" xfId="14997"/>
    <cellStyle name="Output 3 4 2 3 3 2" xfId="15770"/>
    <cellStyle name="Output 3 4 2 4" xfId="12781"/>
    <cellStyle name="Output 3 4 2 4 2" xfId="19080"/>
    <cellStyle name="Output 3 4 3" xfId="8709"/>
    <cellStyle name="Output 3 4 3 2" xfId="13974"/>
    <cellStyle name="Output 3 4 3 2 2" xfId="16348"/>
    <cellStyle name="Output 3 4 4" xfId="11707"/>
    <cellStyle name="Output 3 4 4 2" xfId="17252"/>
    <cellStyle name="Output 3 5" xfId="7905"/>
    <cellStyle name="Output 3 5 2" xfId="13174"/>
    <cellStyle name="Output 3 5 2 2" xfId="19620"/>
    <cellStyle name="Output 3 6" xfId="10722"/>
    <cellStyle name="Output 3 6 2" xfId="18010"/>
    <cellStyle name="Output 4" xfId="2639"/>
    <cellStyle name="Output 4 10" xfId="2640"/>
    <cellStyle name="Output 4 10 2" xfId="5309"/>
    <cellStyle name="Output 4 10 2 2" xfId="6364"/>
    <cellStyle name="Output 4 10 2 2 2" xfId="7167"/>
    <cellStyle name="Output 4 10 2 2 2 2" xfId="9972"/>
    <cellStyle name="Output 4 10 2 2 2 2 2" xfId="14834"/>
    <cellStyle name="Output 4 10 2 2 2 2 2 2" xfId="19138"/>
    <cellStyle name="Output 4 10 2 2 2 3" xfId="10290"/>
    <cellStyle name="Output 4 10 2 2 2 3 2" xfId="10540"/>
    <cellStyle name="Output 4 10 2 2 2 3 2 2" xfId="15267"/>
    <cellStyle name="Output 4 10 2 2 2 3 2 2 2" xfId="18929"/>
    <cellStyle name="Output 4 10 2 2 2 3 3" xfId="15067"/>
    <cellStyle name="Output 4 10 2 2 2 3 3 2" xfId="15727"/>
    <cellStyle name="Output 4 10 2 2 2 4" xfId="12851"/>
    <cellStyle name="Output 4 10 2 2 2 4 2" xfId="19014"/>
    <cellStyle name="Output 4 10 2 2 3" xfId="8779"/>
    <cellStyle name="Output 4 10 2 2 3 2" xfId="14034"/>
    <cellStyle name="Output 4 10 2 2 3 2 2" xfId="18361"/>
    <cellStyle name="Output 4 10 2 2 4" xfId="11777"/>
    <cellStyle name="Output 4 10 2 2 4 2" xfId="19373"/>
    <cellStyle name="Output 4 10 2 3" xfId="8252"/>
    <cellStyle name="Output 4 10 2 3 2" xfId="13517"/>
    <cellStyle name="Output 4 10 2 3 2 2" xfId="19149"/>
    <cellStyle name="Output 4 10 2 4" xfId="11141"/>
    <cellStyle name="Output 4 10 2 4 2" xfId="17400"/>
    <cellStyle name="Output 4 10 3" xfId="6045"/>
    <cellStyle name="Output 4 10 3 2" xfId="6418"/>
    <cellStyle name="Output 4 10 3 2 2" xfId="7221"/>
    <cellStyle name="Output 4 10 3 2 2 2" xfId="10026"/>
    <cellStyle name="Output 4 10 3 2 2 2 2" xfId="14877"/>
    <cellStyle name="Output 4 10 3 2 2 2 2 2" xfId="18642"/>
    <cellStyle name="Output 4 10 3 2 2 3" xfId="10344"/>
    <cellStyle name="Output 4 10 3 2 2 3 2" xfId="10594"/>
    <cellStyle name="Output 4 10 3 2 2 3 2 2" xfId="15321"/>
    <cellStyle name="Output 4 10 3 2 2 3 2 2 2" xfId="15555"/>
    <cellStyle name="Output 4 10 3 2 2 3 3" xfId="15121"/>
    <cellStyle name="Output 4 10 3 2 2 3 3 2" xfId="18426"/>
    <cellStyle name="Output 4 10 3 2 2 4" xfId="12905"/>
    <cellStyle name="Output 4 10 3 2 2 4 2" xfId="19691"/>
    <cellStyle name="Output 4 10 3 2 3" xfId="8833"/>
    <cellStyle name="Output 4 10 3 2 3 2" xfId="14078"/>
    <cellStyle name="Output 4 10 3 2 3 2 2" xfId="16288"/>
    <cellStyle name="Output 4 10 3 2 4" xfId="11831"/>
    <cellStyle name="Output 4 10 3 2 4 2" xfId="17237"/>
    <cellStyle name="Output 4 10 3 3" xfId="8533"/>
    <cellStyle name="Output 4 10 3 3 2" xfId="13798"/>
    <cellStyle name="Output 4 10 3 3 2 2" xfId="15505"/>
    <cellStyle name="Output 4 10 3 4" xfId="11508"/>
    <cellStyle name="Output 4 10 3 4 2" xfId="17258"/>
    <cellStyle name="Output 4 10 4" xfId="6296"/>
    <cellStyle name="Output 4 10 4 2" xfId="7099"/>
    <cellStyle name="Output 4 10 4 2 2" xfId="9904"/>
    <cellStyle name="Output 4 10 4 2 2 2" xfId="14777"/>
    <cellStyle name="Output 4 10 4 2 2 2 2" xfId="15875"/>
    <cellStyle name="Output 4 10 4 2 3" xfId="10222"/>
    <cellStyle name="Output 4 10 4 2 3 2" xfId="10472"/>
    <cellStyle name="Output 4 10 4 2 3 2 2" xfId="15199"/>
    <cellStyle name="Output 4 10 4 2 3 2 2 2" xfId="15640"/>
    <cellStyle name="Output 4 10 4 2 3 3" xfId="14999"/>
    <cellStyle name="Output 4 10 4 2 3 3 2" xfId="15768"/>
    <cellStyle name="Output 4 10 4 2 4" xfId="12783"/>
    <cellStyle name="Output 4 10 4 2 4 2" xfId="19896"/>
    <cellStyle name="Output 4 10 4 3" xfId="8711"/>
    <cellStyle name="Output 4 10 4 3 2" xfId="13976"/>
    <cellStyle name="Output 4 10 4 3 2 2" xfId="16346"/>
    <cellStyle name="Output 4 10 4 4" xfId="11709"/>
    <cellStyle name="Output 4 10 4 4 2" xfId="19802"/>
    <cellStyle name="Output 4 10 5" xfId="7907"/>
    <cellStyle name="Output 4 10 5 2" xfId="13176"/>
    <cellStyle name="Output 4 10 5 2 2" xfId="19304"/>
    <cellStyle name="Output 4 10 6" xfId="10724"/>
    <cellStyle name="Output 4 10 6 2" xfId="17979"/>
    <cellStyle name="Output 4 11" xfId="2641"/>
    <cellStyle name="Output 4 11 2" xfId="5310"/>
    <cellStyle name="Output 4 11 2 2" xfId="6365"/>
    <cellStyle name="Output 4 11 2 2 2" xfId="7168"/>
    <cellStyle name="Output 4 11 2 2 2 2" xfId="9973"/>
    <cellStyle name="Output 4 11 2 2 2 2 2" xfId="14835"/>
    <cellStyle name="Output 4 11 2 2 2 2 2 2" xfId="15847"/>
    <cellStyle name="Output 4 11 2 2 2 3" xfId="10291"/>
    <cellStyle name="Output 4 11 2 2 2 3 2" xfId="10541"/>
    <cellStyle name="Output 4 11 2 2 2 3 2 2" xfId="15268"/>
    <cellStyle name="Output 4 11 2 2 2 3 2 2 2" xfId="18748"/>
    <cellStyle name="Output 4 11 2 2 2 3 3" xfId="15068"/>
    <cellStyle name="Output 4 11 2 2 2 3 3 2" xfId="15726"/>
    <cellStyle name="Output 4 11 2 2 2 4" xfId="12852"/>
    <cellStyle name="Output 4 11 2 2 2 4 2" xfId="18573"/>
    <cellStyle name="Output 4 11 2 2 3" xfId="8780"/>
    <cellStyle name="Output 4 11 2 2 3 2" xfId="14035"/>
    <cellStyle name="Output 4 11 2 2 3 2 2" xfId="18047"/>
    <cellStyle name="Output 4 11 2 2 4" xfId="11778"/>
    <cellStyle name="Output 4 11 2 2 4 2" xfId="19043"/>
    <cellStyle name="Output 4 11 2 3" xfId="8253"/>
    <cellStyle name="Output 4 11 2 3 2" xfId="13518"/>
    <cellStyle name="Output 4 11 2 3 2 2" xfId="16621"/>
    <cellStyle name="Output 4 11 2 4" xfId="11142"/>
    <cellStyle name="Output 4 11 2 4 2" xfId="17399"/>
    <cellStyle name="Output 4 11 3" xfId="6041"/>
    <cellStyle name="Output 4 11 3 2" xfId="6417"/>
    <cellStyle name="Output 4 11 3 2 2" xfId="7220"/>
    <cellStyle name="Output 4 11 3 2 2 2" xfId="10025"/>
    <cellStyle name="Output 4 11 3 2 2 2 2" xfId="14876"/>
    <cellStyle name="Output 4 11 3 2 2 2 2 2" xfId="18823"/>
    <cellStyle name="Output 4 11 3 2 2 3" xfId="10343"/>
    <cellStyle name="Output 4 11 3 2 2 3 2" xfId="10593"/>
    <cellStyle name="Output 4 11 3 2 2 3 2 2" xfId="15320"/>
    <cellStyle name="Output 4 11 3 2 2 3 2 2 2" xfId="15556"/>
    <cellStyle name="Output 4 11 3 2 2 3 3" xfId="15120"/>
    <cellStyle name="Output 4 11 3 2 2 3 3 2" xfId="15688"/>
    <cellStyle name="Output 4 11 3 2 2 4" xfId="12904"/>
    <cellStyle name="Output 4 11 3 2 2 4 2" xfId="19212"/>
    <cellStyle name="Output 4 11 3 2 3" xfId="8832"/>
    <cellStyle name="Output 4 11 3 2 3 2" xfId="14077"/>
    <cellStyle name="Output 4 11 3 2 3 2 2" xfId="18680"/>
    <cellStyle name="Output 4 11 3 2 4" xfId="11830"/>
    <cellStyle name="Output 4 11 3 2 4 2" xfId="17238"/>
    <cellStyle name="Output 4 11 3 3" xfId="8529"/>
    <cellStyle name="Output 4 11 3 3 2" xfId="13794"/>
    <cellStyle name="Output 4 11 3 3 2 2" xfId="16467"/>
    <cellStyle name="Output 4 11 3 4" xfId="11504"/>
    <cellStyle name="Output 4 11 3 4 2" xfId="20019"/>
    <cellStyle name="Output 4 11 4" xfId="6297"/>
    <cellStyle name="Output 4 11 4 2" xfId="7100"/>
    <cellStyle name="Output 4 11 4 2 2" xfId="9905"/>
    <cellStyle name="Output 4 11 4 2 2 2" xfId="14778"/>
    <cellStyle name="Output 4 11 4 2 2 2 2" xfId="18971"/>
    <cellStyle name="Output 4 11 4 2 3" xfId="10223"/>
    <cellStyle name="Output 4 11 4 2 3 2" xfId="10473"/>
    <cellStyle name="Output 4 11 4 2 3 2 2" xfId="15200"/>
    <cellStyle name="Output 4 11 4 2 3 2 2 2" xfId="18418"/>
    <cellStyle name="Output 4 11 4 2 3 3" xfId="15000"/>
    <cellStyle name="Output 4 11 4 2 3 3 2" xfId="15767"/>
    <cellStyle name="Output 4 11 4 2 4" xfId="12784"/>
    <cellStyle name="Output 4 11 4 2 4 2" xfId="19275"/>
    <cellStyle name="Output 4 11 4 3" xfId="8712"/>
    <cellStyle name="Output 4 11 4 3 2" xfId="13977"/>
    <cellStyle name="Output 4 11 4 3 2 2" xfId="16345"/>
    <cellStyle name="Output 4 11 4 4" xfId="11710"/>
    <cellStyle name="Output 4 11 4 4 2" xfId="19181"/>
    <cellStyle name="Output 4 11 5" xfId="7908"/>
    <cellStyle name="Output 4 11 5 2" xfId="13177"/>
    <cellStyle name="Output 4 11 5 2 2" xfId="19745"/>
    <cellStyle name="Output 4 11 6" xfId="10725"/>
    <cellStyle name="Output 4 11 6 2" xfId="17862"/>
    <cellStyle name="Output 4 12" xfId="2642"/>
    <cellStyle name="Output 4 12 2" xfId="5311"/>
    <cellStyle name="Output 4 12 2 2" xfId="6366"/>
    <cellStyle name="Output 4 12 2 2 2" xfId="7169"/>
    <cellStyle name="Output 4 12 2 2 2 2" xfId="9974"/>
    <cellStyle name="Output 4 12 2 2 2 2 2" xfId="14836"/>
    <cellStyle name="Output 4 12 2 2 2 2 2 2" xfId="18966"/>
    <cellStyle name="Output 4 12 2 2 2 3" xfId="10292"/>
    <cellStyle name="Output 4 12 2 2 2 3 2" xfId="10542"/>
    <cellStyle name="Output 4 12 2 2 2 3 2 2" xfId="15269"/>
    <cellStyle name="Output 4 12 2 2 2 3 2 2 2" xfId="18009"/>
    <cellStyle name="Output 4 12 2 2 2 3 3" xfId="15069"/>
    <cellStyle name="Output 4 12 2 2 2 3 3 2" xfId="15725"/>
    <cellStyle name="Output 4 12 2 2 2 4" xfId="12853"/>
    <cellStyle name="Output 4 12 2 2 2 4 2" xfId="18256"/>
    <cellStyle name="Output 4 12 2 2 3" xfId="8781"/>
    <cellStyle name="Output 4 12 2 2 3 2" xfId="14036"/>
    <cellStyle name="Output 4 12 2 2 3 2 2" xfId="16310"/>
    <cellStyle name="Output 4 12 2 2 4" xfId="11779"/>
    <cellStyle name="Output 4 12 2 2 4 2" xfId="19610"/>
    <cellStyle name="Output 4 12 2 3" xfId="8254"/>
    <cellStyle name="Output 4 12 2 3 2" xfId="13519"/>
    <cellStyle name="Output 4 12 2 3 2 2" xfId="18978"/>
    <cellStyle name="Output 4 12 2 4" xfId="11143"/>
    <cellStyle name="Output 4 12 2 4 2" xfId="17398"/>
    <cellStyle name="Output 4 12 3" xfId="5918"/>
    <cellStyle name="Output 4 12 3 2" xfId="6398"/>
    <cellStyle name="Output 4 12 3 2 2" xfId="7201"/>
    <cellStyle name="Output 4 12 3 2 2 2" xfId="10006"/>
    <cellStyle name="Output 4 12 3 2 2 2 2" xfId="14861"/>
    <cellStyle name="Output 4 12 3 2 2 2 2 2" xfId="15836"/>
    <cellStyle name="Output 4 12 3 2 2 3" xfId="10324"/>
    <cellStyle name="Output 4 12 3 2 2 3 2" xfId="10574"/>
    <cellStyle name="Output 4 12 3 2 2 3 2 2" xfId="15301"/>
    <cellStyle name="Output 4 12 3 2 2 3 2 2 2" xfId="15570"/>
    <cellStyle name="Output 4 12 3 2 2 3 3" xfId="15101"/>
    <cellStyle name="Output 4 12 3 2 2 3 3 2" xfId="18428"/>
    <cellStyle name="Output 4 12 3 2 2 4" xfId="12885"/>
    <cellStyle name="Output 4 12 3 2 2 4 2" xfId="16840"/>
    <cellStyle name="Output 4 12 3 2 3" xfId="8813"/>
    <cellStyle name="Output 4 12 3 2 3 2" xfId="14061"/>
    <cellStyle name="Output 4 12 3 2 3 2 2" xfId="18054"/>
    <cellStyle name="Output 4 12 3 2 4" xfId="11811"/>
    <cellStyle name="Output 4 12 3 2 4 2" xfId="19611"/>
    <cellStyle name="Output 4 12 3 3" xfId="8420"/>
    <cellStyle name="Output 4 12 3 3 2" xfId="13685"/>
    <cellStyle name="Output 4 12 3 3 2 2" xfId="16533"/>
    <cellStyle name="Output 4 12 3 4" xfId="11381"/>
    <cellStyle name="Output 4 12 3 4 2" xfId="19358"/>
    <cellStyle name="Output 4 12 4" xfId="6298"/>
    <cellStyle name="Output 4 12 4 2" xfId="7101"/>
    <cellStyle name="Output 4 12 4 2 2" xfId="9906"/>
    <cellStyle name="Output 4 12 4 2 2 2" xfId="14779"/>
    <cellStyle name="Output 4 12 4 2 2 2 2" xfId="18790"/>
    <cellStyle name="Output 4 12 4 2 3" xfId="10224"/>
    <cellStyle name="Output 4 12 4 2 3 2" xfId="10474"/>
    <cellStyle name="Output 4 12 4 2 3 2 2" xfId="15201"/>
    <cellStyle name="Output 4 12 4 2 3 2 2 2" xfId="18106"/>
    <cellStyle name="Output 4 12 4 2 3 3" xfId="15001"/>
    <cellStyle name="Output 4 12 4 2 3 3 2" xfId="15441"/>
    <cellStyle name="Output 4 12 4 2 4" xfId="12785"/>
    <cellStyle name="Output 4 12 4 2 4 2" xfId="19704"/>
    <cellStyle name="Output 4 12 4 3" xfId="8713"/>
    <cellStyle name="Output 4 12 4 3 2" xfId="13978"/>
    <cellStyle name="Output 4 12 4 3 2 2" xfId="16344"/>
    <cellStyle name="Output 4 12 4 4" xfId="11711"/>
    <cellStyle name="Output 4 12 4 4 2" xfId="19662"/>
    <cellStyle name="Output 4 12 5" xfId="7909"/>
    <cellStyle name="Output 4 12 5 2" xfId="13178"/>
    <cellStyle name="Output 4 12 5 2 2" xfId="20076"/>
    <cellStyle name="Output 4 12 6" xfId="10726"/>
    <cellStyle name="Output 4 12 6 2" xfId="17721"/>
    <cellStyle name="Output 4 13" xfId="5230"/>
    <cellStyle name="Output 4 13 2" xfId="6206"/>
    <cellStyle name="Output 4 13 2 2" xfId="6447"/>
    <cellStyle name="Output 4 13 2 2 2" xfId="7250"/>
    <cellStyle name="Output 4 13 2 2 2 2" xfId="10055"/>
    <cellStyle name="Output 4 13 2 2 2 2 2" xfId="14899"/>
    <cellStyle name="Output 4 13 2 2 2 2 2 2" xfId="15818"/>
    <cellStyle name="Output 4 13 2 2 2 3" xfId="10373"/>
    <cellStyle name="Output 4 13 2 2 2 3 2" xfId="10623"/>
    <cellStyle name="Output 4 13 2 2 2 3 2 2" xfId="15350"/>
    <cellStyle name="Output 4 13 2 2 2 3 2 2 2" xfId="20090"/>
    <cellStyle name="Output 4 13 2 2 2 3 3" xfId="15150"/>
    <cellStyle name="Output 4 13 2 2 2 3 3 2" xfId="15675"/>
    <cellStyle name="Output 4 13 2 2 2 4" xfId="12934"/>
    <cellStyle name="Output 4 13 2 2 2 4 2" xfId="19528"/>
    <cellStyle name="Output 4 13 2 2 3" xfId="8862"/>
    <cellStyle name="Output 4 13 2 2 3 2" xfId="14101"/>
    <cellStyle name="Output 4 13 2 2 3 2 2" xfId="16274"/>
    <cellStyle name="Output 4 13 2 2 4" xfId="11860"/>
    <cellStyle name="Output 4 13 2 2 4 2" xfId="17217"/>
    <cellStyle name="Output 4 13 2 3" xfId="8671"/>
    <cellStyle name="Output 4 13 2 3 2" xfId="13936"/>
    <cellStyle name="Output 4 13 2 3 2 2" xfId="16374"/>
    <cellStyle name="Output 4 13 2 4" xfId="11669"/>
    <cellStyle name="Output 4 13 2 4 2" xfId="19827"/>
    <cellStyle name="Output 4 13 3" xfId="6358"/>
    <cellStyle name="Output 4 13 3 2" xfId="7161"/>
    <cellStyle name="Output 4 13 3 2 2" xfId="9966"/>
    <cellStyle name="Output 4 13 3 2 2 2" xfId="14828"/>
    <cellStyle name="Output 4 13 3 2 2 2 2" xfId="18246"/>
    <cellStyle name="Output 4 13 3 2 3" xfId="10284"/>
    <cellStyle name="Output 4 13 3 2 3 2" xfId="10534"/>
    <cellStyle name="Output 4 13 3 2 3 2 2" xfId="15261"/>
    <cellStyle name="Output 4 13 3 2 3 2 2 2" xfId="15600"/>
    <cellStyle name="Output 4 13 3 2 3 3" xfId="15061"/>
    <cellStyle name="Output 4 13 3 2 3 3 2" xfId="15724"/>
    <cellStyle name="Output 4 13 3 2 4" xfId="12845"/>
    <cellStyle name="Output 4 13 3 2 4 2" xfId="19606"/>
    <cellStyle name="Output 4 13 3 3" xfId="8773"/>
    <cellStyle name="Output 4 13 3 3 2" xfId="14028"/>
    <cellStyle name="Output 4 13 3 3 2 2" xfId="16314"/>
    <cellStyle name="Output 4 13 3 4" xfId="11771"/>
    <cellStyle name="Output 4 13 3 4 2" xfId="18534"/>
    <cellStyle name="Output 4 13 4" xfId="8199"/>
    <cellStyle name="Output 4 13 4 2" xfId="13464"/>
    <cellStyle name="Output 4 13 4 2 2" xfId="16650"/>
    <cellStyle name="Output 4 13 5" xfId="11088"/>
    <cellStyle name="Output 4 13 5 2" xfId="17440"/>
    <cellStyle name="Output 4 14" xfId="5992"/>
    <cellStyle name="Output 4 14 2" xfId="6412"/>
    <cellStyle name="Output 4 14 2 2" xfId="7215"/>
    <cellStyle name="Output 4 14 2 2 2" xfId="10020"/>
    <cellStyle name="Output 4 14 2 2 2 2" xfId="14871"/>
    <cellStyle name="Output 4 14 2 2 2 2 2" xfId="18824"/>
    <cellStyle name="Output 4 14 2 2 3" xfId="10338"/>
    <cellStyle name="Output 4 14 2 2 3 2" xfId="10588"/>
    <cellStyle name="Output 4 14 2 2 3 2 2" xfId="15315"/>
    <cellStyle name="Output 4 14 2 2 3 2 2 2" xfId="15561"/>
    <cellStyle name="Output 4 14 2 2 3 3" xfId="15115"/>
    <cellStyle name="Output 4 14 2 2 3 3 2" xfId="15698"/>
    <cellStyle name="Output 4 14 2 2 4" xfId="12899"/>
    <cellStyle name="Output 4 14 2 2 4 2" xfId="19322"/>
    <cellStyle name="Output 4 14 2 3" xfId="8827"/>
    <cellStyle name="Output 4 14 2 3 2" xfId="14072"/>
    <cellStyle name="Output 4 14 2 3 2 2" xfId="18783"/>
    <cellStyle name="Output 4 14 2 4" xfId="11825"/>
    <cellStyle name="Output 4 14 2 4 2" xfId="17243"/>
    <cellStyle name="Output 4 14 3" xfId="8487"/>
    <cellStyle name="Output 4 14 3 2" xfId="13752"/>
    <cellStyle name="Output 4 14 3 2 2" xfId="16493"/>
    <cellStyle name="Output 4 14 4" xfId="11455"/>
    <cellStyle name="Output 4 14 4 2" xfId="19685"/>
    <cellStyle name="Output 4 15" xfId="6295"/>
    <cellStyle name="Output 4 15 2" xfId="7098"/>
    <cellStyle name="Output 4 15 2 2" xfId="9903"/>
    <cellStyle name="Output 4 15 2 2 2" xfId="14776"/>
    <cellStyle name="Output 4 15 2 2 2 2" xfId="19140"/>
    <cellStyle name="Output 4 15 2 3" xfId="10221"/>
    <cellStyle name="Output 4 15 2 3 2" xfId="10471"/>
    <cellStyle name="Output 4 15 2 3 2 2" xfId="15198"/>
    <cellStyle name="Output 4 15 2 3 2 2 2" xfId="15424"/>
    <cellStyle name="Output 4 15 2 3 3" xfId="14998"/>
    <cellStyle name="Output 4 15 2 3 3 2" xfId="15769"/>
    <cellStyle name="Output 4 15 2 4" xfId="12782"/>
    <cellStyle name="Output 4 15 2 4 2" xfId="19591"/>
    <cellStyle name="Output 4 15 3" xfId="8710"/>
    <cellStyle name="Output 4 15 3 2" xfId="13975"/>
    <cellStyle name="Output 4 15 3 2 2" xfId="16347"/>
    <cellStyle name="Output 4 15 4" xfId="11708"/>
    <cellStyle name="Output 4 15 4 2" xfId="19497"/>
    <cellStyle name="Output 4 16" xfId="7906"/>
    <cellStyle name="Output 4 16 2" xfId="13175"/>
    <cellStyle name="Output 4 16 2 2" xfId="19925"/>
    <cellStyle name="Output 4 17" xfId="10723"/>
    <cellStyle name="Output 4 17 2" xfId="18012"/>
    <cellStyle name="Output 4 2" xfId="2643"/>
    <cellStyle name="Output 4 2 2" xfId="5229"/>
    <cellStyle name="Output 4 2 2 2" xfId="6205"/>
    <cellStyle name="Output 4 2 2 2 2" xfId="6446"/>
    <cellStyle name="Output 4 2 2 2 2 2" xfId="7249"/>
    <cellStyle name="Output 4 2 2 2 2 2 2" xfId="10054"/>
    <cellStyle name="Output 4 2 2 2 2 2 2 2" xfId="14898"/>
    <cellStyle name="Output 4 2 2 2 2 2 2 2 2" xfId="15402"/>
    <cellStyle name="Output 4 2 2 2 2 2 3" xfId="10372"/>
    <cellStyle name="Output 4 2 2 2 2 2 3 2" xfId="10622"/>
    <cellStyle name="Output 4 2 2 2 2 2 3 2 2" xfId="15349"/>
    <cellStyle name="Output 4 2 2 2 2 2 3 2 2 2" xfId="20089"/>
    <cellStyle name="Output 4 2 2 2 2 2 3 3" xfId="15149"/>
    <cellStyle name="Output 4 2 2 2 2 2 3 3 2" xfId="15428"/>
    <cellStyle name="Output 4 2 2 2 2 2 4" xfId="12933"/>
    <cellStyle name="Output 4 2 2 2 2 2 4 2" xfId="18566"/>
    <cellStyle name="Output 4 2 2 2 2 3" xfId="8861"/>
    <cellStyle name="Output 4 2 2 2 2 3 2" xfId="14100"/>
    <cellStyle name="Output 4 2 2 2 2 3 2 2" xfId="18244"/>
    <cellStyle name="Output 4 2 2 2 2 4" xfId="11859"/>
    <cellStyle name="Output 4 2 2 2 2 4 2" xfId="17218"/>
    <cellStyle name="Output 4 2 2 2 3" xfId="8670"/>
    <cellStyle name="Output 4 2 2 2 3 2" xfId="13935"/>
    <cellStyle name="Output 4 2 2 2 3 2 2" xfId="16375"/>
    <cellStyle name="Output 4 2 2 2 4" xfId="11668"/>
    <cellStyle name="Output 4 2 2 2 4 2" xfId="19522"/>
    <cellStyle name="Output 4 2 2 3" xfId="6357"/>
    <cellStyle name="Output 4 2 2 3 2" xfId="7160"/>
    <cellStyle name="Output 4 2 2 3 2 2" xfId="9965"/>
    <cellStyle name="Output 4 2 2 3 2 2 2" xfId="14827"/>
    <cellStyle name="Output 4 2 2 3 2 2 2 2" xfId="18764"/>
    <cellStyle name="Output 4 2 2 3 2 3" xfId="10283"/>
    <cellStyle name="Output 4 2 2 3 2 3 2" xfId="10533"/>
    <cellStyle name="Output 4 2 2 3 2 3 2 2" xfId="15260"/>
    <cellStyle name="Output 4 2 2 3 2 3 2 2 2" xfId="15601"/>
    <cellStyle name="Output 4 2 2 3 2 3 3" xfId="15060"/>
    <cellStyle name="Output 4 2 2 3 2 3 3 2" xfId="15436"/>
    <cellStyle name="Output 4 2 2 3 2 4" xfId="12844"/>
    <cellStyle name="Output 4 2 2 3 2 4 2" xfId="19001"/>
    <cellStyle name="Output 4 2 2 3 3" xfId="8772"/>
    <cellStyle name="Output 4 2 2 3 3 2" xfId="14027"/>
    <cellStyle name="Output 4 2 2 3 3 2 2" xfId="16315"/>
    <cellStyle name="Output 4 2 2 3 4" xfId="11770"/>
    <cellStyle name="Output 4 2 2 3 4 2" xfId="19033"/>
    <cellStyle name="Output 4 2 2 4" xfId="8198"/>
    <cellStyle name="Output 4 2 2 4 2" xfId="13463"/>
    <cellStyle name="Output 4 2 2 4 2 2" xfId="18368"/>
    <cellStyle name="Output 4 2 2 5" xfId="11087"/>
    <cellStyle name="Output 4 2 2 5 2" xfId="17441"/>
    <cellStyle name="Output 4 2 3" xfId="5876"/>
    <cellStyle name="Output 4 2 3 2" xfId="6390"/>
    <cellStyle name="Output 4 2 3 2 2" xfId="7193"/>
    <cellStyle name="Output 4 2 3 2 2 2" xfId="9998"/>
    <cellStyle name="Output 4 2 3 2 2 2 2" xfId="14853"/>
    <cellStyle name="Output 4 2 3 2 2 2 2 2" xfId="15840"/>
    <cellStyle name="Output 4 2 3 2 2 3" xfId="10316"/>
    <cellStyle name="Output 4 2 3 2 2 3 2" xfId="10566"/>
    <cellStyle name="Output 4 2 3 2 2 3 2 2" xfId="15293"/>
    <cellStyle name="Output 4 2 3 2 2 3 2 2 2" xfId="15578"/>
    <cellStyle name="Output 4 2 3 2 2 3 3" xfId="15093"/>
    <cellStyle name="Output 4 2 3 2 2 3 3 2" xfId="17837"/>
    <cellStyle name="Output 4 2 3 2 2 4" xfId="12877"/>
    <cellStyle name="Output 4 2 3 2 2 4 2" xfId="19910"/>
    <cellStyle name="Output 4 2 3 2 3" xfId="8805"/>
    <cellStyle name="Output 4 2 3 2 3 2" xfId="14053"/>
    <cellStyle name="Output 4 2 3 2 3 2 2" xfId="16301"/>
    <cellStyle name="Output 4 2 3 2 4" xfId="11803"/>
    <cellStyle name="Output 4 2 3 2 4 2" xfId="18535"/>
    <cellStyle name="Output 4 2 3 3" xfId="8392"/>
    <cellStyle name="Output 4 2 3 3 2" xfId="13657"/>
    <cellStyle name="Output 4 2 3 3 2 2" xfId="15518"/>
    <cellStyle name="Output 4 2 3 4" xfId="11339"/>
    <cellStyle name="Output 4 2 3 4 2" xfId="20007"/>
    <cellStyle name="Output 4 2 4" xfId="6299"/>
    <cellStyle name="Output 4 2 4 2" xfId="7102"/>
    <cellStyle name="Output 4 2 4 2 2" xfId="9907"/>
    <cellStyle name="Output 4 2 4 2 2 2" xfId="14780"/>
    <cellStyle name="Output 4 2 4 2 2 2 2" xfId="18359"/>
    <cellStyle name="Output 4 2 4 2 3" xfId="10225"/>
    <cellStyle name="Output 4 2 4 2 3 2" xfId="10475"/>
    <cellStyle name="Output 4 2 4 2 3 2 2" xfId="15202"/>
    <cellStyle name="Output 4 2 4 2 3 2 2 2" xfId="17848"/>
    <cellStyle name="Output 4 2 4 2 3 3" xfId="15002"/>
    <cellStyle name="Output 4 2 4 2 3 3 2" xfId="15760"/>
    <cellStyle name="Output 4 2 4 2 4" xfId="12786"/>
    <cellStyle name="Output 4 2 4 2 4 2" xfId="20006"/>
    <cellStyle name="Output 4 2 4 3" xfId="8714"/>
    <cellStyle name="Output 4 2 4 3 2" xfId="13979"/>
    <cellStyle name="Output 4 2 4 3 2 2" xfId="16343"/>
    <cellStyle name="Output 4 2 4 4" xfId="11712"/>
    <cellStyle name="Output 4 2 4 4 2" xfId="19964"/>
    <cellStyle name="Output 4 2 5" xfId="7910"/>
    <cellStyle name="Output 4 2 5 2" xfId="13179"/>
    <cellStyle name="Output 4 2 5 2 2" xfId="20081"/>
    <cellStyle name="Output 4 2 6" xfId="10727"/>
    <cellStyle name="Output 4 2 6 2" xfId="18102"/>
    <cellStyle name="Output 4 3" xfId="2644"/>
    <cellStyle name="Output 4 3 2" xfId="2645"/>
    <cellStyle name="Output 4 3 2 2" xfId="5114"/>
    <cellStyle name="Output 4 3 2 2 2" xfId="6090"/>
    <cellStyle name="Output 4 3 2 2 2 2" xfId="6424"/>
    <cellStyle name="Output 4 3 2 2 2 2 2" xfId="7227"/>
    <cellStyle name="Output 4 3 2 2 2 2 2 2" xfId="10032"/>
    <cellStyle name="Output 4 3 2 2 2 2 2 2 2" xfId="14882"/>
    <cellStyle name="Output 4 3 2 2 2 2 2 2 2 2" xfId="15826"/>
    <cellStyle name="Output 4 3 2 2 2 2 2 3" xfId="10350"/>
    <cellStyle name="Output 4 3 2 2 2 2 2 3 2" xfId="10600"/>
    <cellStyle name="Output 4 3 2 2 2 2 2 3 2 2" xfId="15327"/>
    <cellStyle name="Output 4 3 2 2 2 2 2 3 2 2 2" xfId="18914"/>
    <cellStyle name="Output 4 3 2 2 2 2 2 3 3" xfId="15127"/>
    <cellStyle name="Output 4 3 2 2 2 2 2 3 3 2" xfId="15690"/>
    <cellStyle name="Output 4 3 2 2 2 2 2 4" xfId="12911"/>
    <cellStyle name="Output 4 3 2 2 2 2 2 4 2" xfId="19298"/>
    <cellStyle name="Output 4 3 2 2 2 2 3" xfId="8839"/>
    <cellStyle name="Output 4 3 2 2 2 2 3 2" xfId="14083"/>
    <cellStyle name="Output 4 3 2 2 2 2 3 2 2" xfId="16283"/>
    <cellStyle name="Output 4 3 2 2 2 2 4" xfId="11837"/>
    <cellStyle name="Output 4 3 2 2 2 2 4 2" xfId="17231"/>
    <cellStyle name="Output 4 3 2 2 2 3" xfId="8561"/>
    <cellStyle name="Output 4 3 2 2 2 3 2" xfId="13826"/>
    <cellStyle name="Output 4 3 2 2 2 3 2 2" xfId="17790"/>
    <cellStyle name="Output 4 3 2 2 2 4" xfId="11553"/>
    <cellStyle name="Output 4 3 2 2 2 4 2" xfId="19422"/>
    <cellStyle name="Output 4 3 2 2 3" xfId="6335"/>
    <cellStyle name="Output 4 3 2 2 3 2" xfId="7138"/>
    <cellStyle name="Output 4 3 2 2 3 2 2" xfId="9943"/>
    <cellStyle name="Output 4 3 2 2 3 2 2 2" xfId="14811"/>
    <cellStyle name="Output 4 3 2 2 3 2 2 2 2" xfId="15405"/>
    <cellStyle name="Output 4 3 2 2 3 2 3" xfId="10261"/>
    <cellStyle name="Output 4 3 2 2 3 2 3 2" xfId="10511"/>
    <cellStyle name="Output 4 3 2 2 3 2 3 2 2" xfId="15238"/>
    <cellStyle name="Output 4 3 2 2 3 2 3 2 2 2" xfId="15618"/>
    <cellStyle name="Output 4 3 2 2 3 2 3 3" xfId="15038"/>
    <cellStyle name="Output 4 3 2 2 3 2 3 3 2" xfId="15744"/>
    <cellStyle name="Output 4 3 2 2 3 2 4" xfId="12822"/>
    <cellStyle name="Output 4 3 2 2 3 2 4 2" xfId="16841"/>
    <cellStyle name="Output 4 3 2 2 3 3" xfId="8750"/>
    <cellStyle name="Output 4 3 2 2 3 3 2" xfId="14010"/>
    <cellStyle name="Output 4 3 2 2 3 3 2 2" xfId="16324"/>
    <cellStyle name="Output 4 3 2 2 3 4" xfId="11748"/>
    <cellStyle name="Output 4 3 2 2 3 4 2" xfId="19843"/>
    <cellStyle name="Output 4 3 2 2 4" xfId="8089"/>
    <cellStyle name="Output 4 3 2 2 4 2" xfId="13354"/>
    <cellStyle name="Output 4 3 2 2 4 2 2" xfId="16706"/>
    <cellStyle name="Output 4 3 2 2 5" xfId="10972"/>
    <cellStyle name="Output 4 3 2 2 5 2" xfId="17532"/>
    <cellStyle name="Output 4 3 2 3" xfId="5855"/>
    <cellStyle name="Output 4 3 2 3 2" xfId="6384"/>
    <cellStyle name="Output 4 3 2 3 2 2" xfId="7187"/>
    <cellStyle name="Output 4 3 2 3 2 2 2" xfId="9992"/>
    <cellStyle name="Output 4 3 2 3 2 2 2 2" xfId="14849"/>
    <cellStyle name="Output 4 3 2 3 2 2 2 2 2" xfId="15842"/>
    <cellStyle name="Output 4 3 2 3 2 2 3" xfId="10310"/>
    <cellStyle name="Output 4 3 2 3 2 2 3 2" xfId="10560"/>
    <cellStyle name="Output 4 3 2 3 2 2 3 2 2" xfId="15287"/>
    <cellStyle name="Output 4 3 2 3 2 2 3 2 2 2" xfId="18923"/>
    <cellStyle name="Output 4 3 2 3 2 2 3 3" xfId="15087"/>
    <cellStyle name="Output 4 3 2 3 2 2 3 3 2" xfId="15714"/>
    <cellStyle name="Output 4 3 2 3 2 2 4" xfId="12871"/>
    <cellStyle name="Output 4 3 2 3 2 2 4 2" xfId="19203"/>
    <cellStyle name="Output 4 3 2 3 2 3" xfId="8799"/>
    <cellStyle name="Output 4 3 2 3 2 3 2" xfId="14049"/>
    <cellStyle name="Output 4 3 2 3 2 3 2 2" xfId="16303"/>
    <cellStyle name="Output 4 3 2 3 2 4" xfId="11797"/>
    <cellStyle name="Output 4 3 2 3 2 4 2" xfId="19872"/>
    <cellStyle name="Output 4 3 2 3 3" xfId="8373"/>
    <cellStyle name="Output 4 3 2 3 3 2" xfId="13638"/>
    <cellStyle name="Output 4 3 2 3 3 2 2" xfId="16559"/>
    <cellStyle name="Output 4 3 2 3 4" xfId="11318"/>
    <cellStyle name="Output 4 3 2 3 4 2" xfId="18741"/>
    <cellStyle name="Output 4 3 2 4" xfId="6301"/>
    <cellStyle name="Output 4 3 2 4 2" xfId="7104"/>
    <cellStyle name="Output 4 3 2 4 2 2" xfId="9909"/>
    <cellStyle name="Output 4 3 2 4 2 2 2" xfId="14782"/>
    <cellStyle name="Output 4 3 2 4 2 2 2 2" xfId="15406"/>
    <cellStyle name="Output 4 3 2 4 2 3" xfId="10227"/>
    <cellStyle name="Output 4 3 2 4 2 3 2" xfId="10477"/>
    <cellStyle name="Output 4 3 2 4 2 3 2 2" xfId="15204"/>
    <cellStyle name="Output 4 3 2 4 2 3 2 2 2" xfId="15644"/>
    <cellStyle name="Output 4 3 2 4 2 3 3" xfId="15004"/>
    <cellStyle name="Output 4 3 2 4 2 3 3 2" xfId="18126"/>
    <cellStyle name="Output 4 3 2 4 2 4" xfId="12788"/>
    <cellStyle name="Output 4 3 2 4 2 4 2" xfId="19055"/>
    <cellStyle name="Output 4 3 2 4 3" xfId="8716"/>
    <cellStyle name="Output 4 3 2 4 3 2" xfId="13981"/>
    <cellStyle name="Output 4 3 2 4 3 2 2" xfId="16341"/>
    <cellStyle name="Output 4 3 2 4 4" xfId="11714"/>
    <cellStyle name="Output 4 3 2 4 4 2" xfId="19013"/>
    <cellStyle name="Output 4 3 2 5" xfId="7912"/>
    <cellStyle name="Output 4 3 2 5 2" xfId="13181"/>
    <cellStyle name="Output 4 3 2 5 2 2" xfId="19455"/>
    <cellStyle name="Output 4 3 2 6" xfId="10729"/>
    <cellStyle name="Output 4 3 2 6 2" xfId="17972"/>
    <cellStyle name="Output 4 3 3" xfId="5115"/>
    <cellStyle name="Output 4 3 3 2" xfId="6091"/>
    <cellStyle name="Output 4 3 3 2 2" xfId="6425"/>
    <cellStyle name="Output 4 3 3 2 2 2" xfId="7228"/>
    <cellStyle name="Output 4 3 3 2 2 2 2" xfId="10033"/>
    <cellStyle name="Output 4 3 3 2 2 2 2 2" xfId="14883"/>
    <cellStyle name="Output 4 3 3 2 2 2 2 2 2" xfId="15825"/>
    <cellStyle name="Output 4 3 3 2 2 2 3" xfId="10351"/>
    <cellStyle name="Output 4 3 3 2 2 2 3 2" xfId="10601"/>
    <cellStyle name="Output 4 3 3 2 2 2 3 2 2" xfId="15328"/>
    <cellStyle name="Output 4 3 3 2 2 2 3 2 2 2" xfId="18733"/>
    <cellStyle name="Output 4 3 3 2 2 2 3 3" xfId="15128"/>
    <cellStyle name="Output 4 3 3 2 2 2 3 3 2" xfId="15689"/>
    <cellStyle name="Output 4 3 3 2 2 2 4" xfId="12912"/>
    <cellStyle name="Output 4 3 3 2 2 2 4 2" xfId="19736"/>
    <cellStyle name="Output 4 3 3 2 2 3" xfId="8840"/>
    <cellStyle name="Output 4 3 3 2 2 3 2" xfId="14084"/>
    <cellStyle name="Output 4 3 3 2 2 3 2 2" xfId="16282"/>
    <cellStyle name="Output 4 3 3 2 2 4" xfId="11838"/>
    <cellStyle name="Output 4 3 3 2 2 4 2" xfId="17230"/>
    <cellStyle name="Output 4 3 3 2 3" xfId="8562"/>
    <cellStyle name="Output 4 3 3 2 3 2" xfId="13827"/>
    <cellStyle name="Output 4 3 3 2 3 2 2" xfId="16451"/>
    <cellStyle name="Output 4 3 3 2 4" xfId="11554"/>
    <cellStyle name="Output 4 3 3 2 4 2" xfId="19092"/>
    <cellStyle name="Output 4 3 3 3" xfId="6336"/>
    <cellStyle name="Output 4 3 3 3 2" xfId="7139"/>
    <cellStyle name="Output 4 3 3 3 2 2" xfId="9944"/>
    <cellStyle name="Output 4 3 3 3 2 2 2" xfId="14812"/>
    <cellStyle name="Output 4 3 3 3 2 2 2 2" xfId="15860"/>
    <cellStyle name="Output 4 3 3 3 2 3" xfId="10262"/>
    <cellStyle name="Output 4 3 3 3 2 3 2" xfId="10512"/>
    <cellStyle name="Output 4 3 3 3 2 3 2 2" xfId="15239"/>
    <cellStyle name="Output 4 3 3 3 2 3 2 2 2" xfId="15617"/>
    <cellStyle name="Output 4 3 3 3 2 3 3" xfId="15039"/>
    <cellStyle name="Output 4 3 3 3 2 3 3 2" xfId="15743"/>
    <cellStyle name="Output 4 3 3 3 2 4" xfId="12823"/>
    <cellStyle name="Output 4 3 3 3 2 4 2" xfId="19483"/>
    <cellStyle name="Output 4 3 3 3 3" xfId="8751"/>
    <cellStyle name="Output 4 3 3 3 3 2" xfId="14011"/>
    <cellStyle name="Output 4 3 3 3 3 2 2" xfId="18866"/>
    <cellStyle name="Output 4 3 3 3 4" xfId="11749"/>
    <cellStyle name="Output 4 3 3 3 4 2" xfId="19223"/>
    <cellStyle name="Output 4 3 3 4" xfId="8090"/>
    <cellStyle name="Output 4 3 3 4 2" xfId="13355"/>
    <cellStyle name="Output 4 3 3 4 2 2" xfId="16705"/>
    <cellStyle name="Output 4 3 3 5" xfId="10973"/>
    <cellStyle name="Output 4 3 3 5 2" xfId="17531"/>
    <cellStyle name="Output 4 3 4" xfId="5947"/>
    <cellStyle name="Output 4 3 4 2" xfId="6402"/>
    <cellStyle name="Output 4 3 4 2 2" xfId="7205"/>
    <cellStyle name="Output 4 3 4 2 2 2" xfId="10010"/>
    <cellStyle name="Output 4 3 4 2 2 2 2" xfId="14865"/>
    <cellStyle name="Output 4 3 4 2 2 2 2 2" xfId="18958"/>
    <cellStyle name="Output 4 3 4 2 2 3" xfId="10328"/>
    <cellStyle name="Output 4 3 4 2 2 3 2" xfId="10578"/>
    <cellStyle name="Output 4 3 4 2 2 3 2 2" xfId="15305"/>
    <cellStyle name="Output 4 3 4 2 2 3 2 2 2" xfId="15379"/>
    <cellStyle name="Output 4 3 4 2 2 3 3" xfId="15105"/>
    <cellStyle name="Output 4 3 4 2 2 3 3 2" xfId="15704"/>
    <cellStyle name="Output 4 3 4 2 2 4" xfId="12889"/>
    <cellStyle name="Output 4 3 4 2 2 4 2" xfId="19166"/>
    <cellStyle name="Output 4 3 4 2 3" xfId="8817"/>
    <cellStyle name="Output 4 3 4 2 3 2" xfId="14065"/>
    <cellStyle name="Output 4 3 4 2 3 2 2" xfId="16295"/>
    <cellStyle name="Output 4 3 4 2 4" xfId="11815"/>
    <cellStyle name="Output 4 3 4 2 4 2" xfId="20032"/>
    <cellStyle name="Output 4 3 4 3" xfId="8443"/>
    <cellStyle name="Output 4 3 4 3 2" xfId="13708"/>
    <cellStyle name="Output 4 3 4 3 2 2" xfId="18488"/>
    <cellStyle name="Output 4 3 4 4" xfId="11410"/>
    <cellStyle name="Output 4 3 4 4 2" xfId="18770"/>
    <cellStyle name="Output 4 3 5" xfId="6300"/>
    <cellStyle name="Output 4 3 5 2" xfId="7103"/>
    <cellStyle name="Output 4 3 5 2 2" xfId="9908"/>
    <cellStyle name="Output 4 3 5 2 2 2" xfId="14781"/>
    <cellStyle name="Output 4 3 5 2 2 2 2" xfId="15876"/>
    <cellStyle name="Output 4 3 5 2 3" xfId="10226"/>
    <cellStyle name="Output 4 3 5 2 3 2" xfId="10476"/>
    <cellStyle name="Output 4 3 5 2 3 2 2" xfId="15203"/>
    <cellStyle name="Output 4 3 5 2 3 2 2 2" xfId="15645"/>
    <cellStyle name="Output 4 3 5 2 3 3" xfId="15003"/>
    <cellStyle name="Output 4 3 5 2 3 3 2" xfId="18438"/>
    <cellStyle name="Output 4 3 5 2 4" xfId="12787"/>
    <cellStyle name="Output 4 3 5 2 4 2" xfId="19385"/>
    <cellStyle name="Output 4 3 5 3" xfId="8715"/>
    <cellStyle name="Output 4 3 5 3 2" xfId="13980"/>
    <cellStyle name="Output 4 3 5 3 2 2" xfId="16342"/>
    <cellStyle name="Output 4 3 5 4" xfId="11713"/>
    <cellStyle name="Output 4 3 5 4 2" xfId="19343"/>
    <cellStyle name="Output 4 3 6" xfId="7911"/>
    <cellStyle name="Output 4 3 6 2" xfId="13180"/>
    <cellStyle name="Output 4 3 6 2 2" xfId="19460"/>
    <cellStyle name="Output 4 3 7" xfId="10728"/>
    <cellStyle name="Output 4 3 7 2" xfId="18034"/>
    <cellStyle name="Output 4 4" xfId="2646"/>
    <cellStyle name="Output 4 4 2" xfId="5312"/>
    <cellStyle name="Output 4 4 2 2" xfId="6367"/>
    <cellStyle name="Output 4 4 2 2 2" xfId="7170"/>
    <cellStyle name="Output 4 4 2 2 2 2" xfId="9975"/>
    <cellStyle name="Output 4 4 2 2 2 2 2" xfId="14837"/>
    <cellStyle name="Output 4 4 2 2 2 2 2 2" xfId="18785"/>
    <cellStyle name="Output 4 4 2 2 2 3" xfId="10293"/>
    <cellStyle name="Output 4 4 2 2 2 3 2" xfId="10543"/>
    <cellStyle name="Output 4 4 2 2 2 3 2 2" xfId="15270"/>
    <cellStyle name="Output 4 4 2 2 2 3 2 2 2" xfId="15596"/>
    <cellStyle name="Output 4 4 2 2 2 3 3" xfId="15070"/>
    <cellStyle name="Output 4 4 2 2 2 3 3 2" xfId="15435"/>
    <cellStyle name="Output 4 4 2 2 2 4" xfId="12854"/>
    <cellStyle name="Output 4 4 2 2 2 4 2" xfId="19484"/>
    <cellStyle name="Output 4 4 2 2 3" xfId="8782"/>
    <cellStyle name="Output 4 4 2 2 3 2" xfId="14037"/>
    <cellStyle name="Output 4 4 2 2 3 2 2" xfId="18864"/>
    <cellStyle name="Output 4 4 2 2 4" xfId="11780"/>
    <cellStyle name="Output 4 4 2 2 4 2" xfId="19915"/>
    <cellStyle name="Output 4 4 2 3" xfId="8255"/>
    <cellStyle name="Output 4 4 2 3 2" xfId="13520"/>
    <cellStyle name="Output 4 4 2 3 2 2" xfId="18797"/>
    <cellStyle name="Output 4 4 2 4" xfId="11144"/>
    <cellStyle name="Output 4 4 2 4 2" xfId="17397"/>
    <cellStyle name="Output 4 4 3" xfId="5917"/>
    <cellStyle name="Output 4 4 3 2" xfId="6397"/>
    <cellStyle name="Output 4 4 3 2 2" xfId="7200"/>
    <cellStyle name="Output 4 4 3 2 2 2" xfId="10005"/>
    <cellStyle name="Output 4 4 3 2 2 2 2" xfId="14860"/>
    <cellStyle name="Output 4 4 3 2 2 2 2 2" xfId="18229"/>
    <cellStyle name="Output 4 4 3 2 2 3" xfId="10323"/>
    <cellStyle name="Output 4 4 3 2 2 3 2" xfId="10573"/>
    <cellStyle name="Output 4 4 3 2 2 3 2 2" xfId="15300"/>
    <cellStyle name="Output 4 4 3 2 2 3 2 2 2" xfId="15571"/>
    <cellStyle name="Output 4 4 3 2 2 3 3" xfId="15100"/>
    <cellStyle name="Output 4 4 3 2 2 3 3 2" xfId="15700"/>
    <cellStyle name="Output 4 4 3 2 2 4" xfId="12884"/>
    <cellStyle name="Output 4 4 3 2 2 4 2" xfId="18255"/>
    <cellStyle name="Output 4 4 3 2 3" xfId="8812"/>
    <cellStyle name="Output 4 4 3 2 3 2" xfId="14060"/>
    <cellStyle name="Output 4 4 3 2 3 2 2" xfId="18358"/>
    <cellStyle name="Output 4 4 3 2 4" xfId="11810"/>
    <cellStyle name="Output 4 4 3 2 4 2" xfId="19106"/>
    <cellStyle name="Output 4 4 3 3" xfId="8419"/>
    <cellStyle name="Output 4 4 3 3 2" xfId="13684"/>
    <cellStyle name="Output 4 4 3 3 2 2" xfId="16534"/>
    <cellStyle name="Output 4 4 3 4" xfId="11380"/>
    <cellStyle name="Output 4 4 3 4 2" xfId="19979"/>
    <cellStyle name="Output 4 4 4" xfId="6302"/>
    <cellStyle name="Output 4 4 4 2" xfId="7105"/>
    <cellStyle name="Output 4 4 4 2 2" xfId="9910"/>
    <cellStyle name="Output 4 4 4 2 2 2" xfId="14783"/>
    <cellStyle name="Output 4 4 4 2 2 2 2" xfId="15874"/>
    <cellStyle name="Output 4 4 4 2 3" xfId="10228"/>
    <cellStyle name="Output 4 4 4 2 3 2" xfId="10478"/>
    <cellStyle name="Output 4 4 4 2 3 2 2" xfId="15205"/>
    <cellStyle name="Output 4 4 4 2 3 2 2 2" xfId="15643"/>
    <cellStyle name="Output 4 4 4 2 3 3" xfId="15005"/>
    <cellStyle name="Output 4 4 4 2 3 3 2" xfId="17828"/>
    <cellStyle name="Output 4 4 4 2 4" xfId="12789"/>
    <cellStyle name="Output 4 4 4 2 4 2" xfId="18558"/>
    <cellStyle name="Output 4 4 4 3" xfId="8717"/>
    <cellStyle name="Output 4 4 4 3 2" xfId="13982"/>
    <cellStyle name="Output 4 4 4 3 2 2" xfId="18812"/>
    <cellStyle name="Output 4 4 4 4" xfId="11715"/>
    <cellStyle name="Output 4 4 4 4 2" xfId="19583"/>
    <cellStyle name="Output 4 4 5" xfId="7913"/>
    <cellStyle name="Output 4 4 5 2" xfId="13182"/>
    <cellStyle name="Output 4 4 5 2 2" xfId="20047"/>
    <cellStyle name="Output 4 4 6" xfId="10730"/>
    <cellStyle name="Output 4 4 6 2" xfId="17720"/>
    <cellStyle name="Output 4 5" xfId="2647"/>
    <cellStyle name="Output 4 5 2" xfId="5313"/>
    <cellStyle name="Output 4 5 2 2" xfId="6368"/>
    <cellStyle name="Output 4 5 2 2 2" xfId="7171"/>
    <cellStyle name="Output 4 5 2 2 2 2" xfId="9976"/>
    <cellStyle name="Output 4 5 2 2 2 2 2" xfId="14838"/>
    <cellStyle name="Output 4 5 2 2 2 2 2 2" xfId="18353"/>
    <cellStyle name="Output 4 5 2 2 2 3" xfId="10294"/>
    <cellStyle name="Output 4 5 2 2 2 3 2" xfId="10544"/>
    <cellStyle name="Output 4 5 2 2 2 3 2 2" xfId="15271"/>
    <cellStyle name="Output 4 5 2 2 2 3 2 2 2" xfId="15595"/>
    <cellStyle name="Output 4 5 2 2 2 3 3" xfId="15071"/>
    <cellStyle name="Output 4 5 2 2 2 3 3 2" xfId="15718"/>
    <cellStyle name="Output 4 5 2 2 2 4" xfId="12855"/>
    <cellStyle name="Output 4 5 2 2 2 4 2" xfId="19789"/>
    <cellStyle name="Output 4 5 2 2 3" xfId="8783"/>
    <cellStyle name="Output 4 5 2 2 3 2" xfId="14038"/>
    <cellStyle name="Output 4 5 2 2 3 2 2" xfId="18683"/>
    <cellStyle name="Output 4 5 2 2 4" xfId="11781"/>
    <cellStyle name="Output 4 5 2 2 4 2" xfId="19294"/>
    <cellStyle name="Output 4 5 2 3" xfId="8256"/>
    <cellStyle name="Output 4 5 2 3 2" xfId="13521"/>
    <cellStyle name="Output 4 5 2 3 2 2" xfId="18366"/>
    <cellStyle name="Output 4 5 2 4" xfId="11145"/>
    <cellStyle name="Output 4 5 2 4 2" xfId="17396"/>
    <cellStyle name="Output 4 5 3" xfId="5916"/>
    <cellStyle name="Output 4 5 3 2" xfId="6396"/>
    <cellStyle name="Output 4 5 3 2 2" xfId="7199"/>
    <cellStyle name="Output 4 5 3 2 2 2" xfId="10004"/>
    <cellStyle name="Output 4 5 3 2 2 2 2" xfId="14859"/>
    <cellStyle name="Output 4 5 3 2 2 2 2 2" xfId="15837"/>
    <cellStyle name="Output 4 5 3 2 2 3" xfId="10322"/>
    <cellStyle name="Output 4 5 3 2 2 3 2" xfId="10572"/>
    <cellStyle name="Output 4 5 3 2 2 3 2 2" xfId="15299"/>
    <cellStyle name="Output 4 5 3 2 2 3 2 2 2" xfId="15572"/>
    <cellStyle name="Output 4 5 3 2 2 3 3" xfId="15099"/>
    <cellStyle name="Output 4 5 3 2 2 3 3 2" xfId="15433"/>
    <cellStyle name="Output 4 5 3 2 2 4" xfId="12883"/>
    <cellStyle name="Output 4 5 3 2 2 4 2" xfId="18572"/>
    <cellStyle name="Output 4 5 3 2 3" xfId="8811"/>
    <cellStyle name="Output 4 5 3 2 3 2" xfId="14059"/>
    <cellStyle name="Output 4 5 3 2 3 2 2" xfId="18789"/>
    <cellStyle name="Output 4 5 3 2 4" xfId="11809"/>
    <cellStyle name="Output 4 5 3 2 4 2" xfId="19436"/>
    <cellStyle name="Output 4 5 3 3" xfId="8418"/>
    <cellStyle name="Output 4 5 3 3 2" xfId="13683"/>
    <cellStyle name="Output 4 5 3 3 2 2" xfId="16535"/>
    <cellStyle name="Output 4 5 3 4" xfId="11379"/>
    <cellStyle name="Output 4 5 3 4 2" xfId="19677"/>
    <cellStyle name="Output 4 5 4" xfId="6303"/>
    <cellStyle name="Output 4 5 4 2" xfId="7106"/>
    <cellStyle name="Output 4 5 4 2 2" xfId="9911"/>
    <cellStyle name="Output 4 5 4 2 2 2" xfId="14784"/>
    <cellStyle name="Output 4 5 4 2 2 2 2" xfId="18833"/>
    <cellStyle name="Output 4 5 4 2 3" xfId="10229"/>
    <cellStyle name="Output 4 5 4 2 3 2" xfId="10479"/>
    <cellStyle name="Output 4 5 4 2 3 2 2" xfId="15206"/>
    <cellStyle name="Output 4 5 4 2 3 2 2 2" xfId="15642"/>
    <cellStyle name="Output 4 5 4 2 3 3" xfId="15006"/>
    <cellStyle name="Output 4 5 4 2 3 3 2" xfId="15765"/>
    <cellStyle name="Output 4 5 4 2 4" xfId="12790"/>
    <cellStyle name="Output 4 5 4 2 4 2" xfId="19549"/>
    <cellStyle name="Output 4 5 4 3" xfId="8718"/>
    <cellStyle name="Output 4 5 4 3 2" xfId="13983"/>
    <cellStyle name="Output 4 5 4 3 2 2" xfId="16340"/>
    <cellStyle name="Output 4 5 4 4" xfId="11716"/>
    <cellStyle name="Output 4 5 4 4 2" xfId="19888"/>
    <cellStyle name="Output 4 5 5" xfId="7914"/>
    <cellStyle name="Output 4 5 5 2" xfId="13183"/>
    <cellStyle name="Output 4 5 5 2 2" xfId="19426"/>
    <cellStyle name="Output 4 5 6" xfId="10731"/>
    <cellStyle name="Output 4 5 6 2" xfId="17719"/>
    <cellStyle name="Output 4 6" xfId="2648"/>
    <cellStyle name="Output 4 6 2" xfId="5314"/>
    <cellStyle name="Output 4 6 2 2" xfId="6369"/>
    <cellStyle name="Output 4 6 2 2 2" xfId="7172"/>
    <cellStyle name="Output 4 6 2 2 2 2" xfId="9977"/>
    <cellStyle name="Output 4 6 2 2 2 2 2" xfId="14839"/>
    <cellStyle name="Output 4 6 2 2 2 2 2 2" xfId="15848"/>
    <cellStyle name="Output 4 6 2 2 2 3" xfId="10295"/>
    <cellStyle name="Output 4 6 2 2 2 3 2" xfId="10545"/>
    <cellStyle name="Output 4 6 2 2 2 3 2 2" xfId="15272"/>
    <cellStyle name="Output 4 6 2 2 2 3 2 2 2" xfId="15594"/>
    <cellStyle name="Output 4 6 2 2 2 3 3" xfId="15072"/>
    <cellStyle name="Output 4 6 2 2 2 3 3 2" xfId="18431"/>
    <cellStyle name="Output 4 6 2 2 2 4" xfId="12856"/>
    <cellStyle name="Output 4 6 2 2 2 4 2" xfId="19168"/>
    <cellStyle name="Output 4 6 2 2 3" xfId="8784"/>
    <cellStyle name="Output 4 6 2 2 3 2" xfId="14039"/>
    <cellStyle name="Output 4 6 2 2 3 2 2" xfId="16309"/>
    <cellStyle name="Output 4 6 2 2 4" xfId="11782"/>
    <cellStyle name="Output 4 6 2 2 4 2" xfId="19702"/>
    <cellStyle name="Output 4 6 2 3" xfId="8257"/>
    <cellStyle name="Output 4 6 2 3 2" xfId="13522"/>
    <cellStyle name="Output 4 6 2 3 2 2" xfId="16622"/>
    <cellStyle name="Output 4 6 2 4" xfId="11146"/>
    <cellStyle name="Output 4 6 2 4 2" xfId="17395"/>
    <cellStyle name="Output 4 6 3" xfId="5915"/>
    <cellStyle name="Output 4 6 3 2" xfId="6395"/>
    <cellStyle name="Output 4 6 3 2 2" xfId="7198"/>
    <cellStyle name="Output 4 6 3 2 2 2" xfId="10003"/>
    <cellStyle name="Output 4 6 3 2 2 2 2" xfId="14858"/>
    <cellStyle name="Output 4 6 3 2 2 2 2 2" xfId="15838"/>
    <cellStyle name="Output 4 6 3 2 2 3" xfId="10321"/>
    <cellStyle name="Output 4 6 3 2 2 3 2" xfId="10571"/>
    <cellStyle name="Output 4 6 3 2 2 3 2 2" xfId="15298"/>
    <cellStyle name="Output 4 6 3 2 2 3 2 2 2" xfId="15573"/>
    <cellStyle name="Output 4 6 3 2 2 3 3" xfId="15098"/>
    <cellStyle name="Output 4 6 3 2 2 3 3 2" xfId="15707"/>
    <cellStyle name="Output 4 6 3 2 2 4" xfId="12882"/>
    <cellStyle name="Output 4 6 3 2 2 4 2" xfId="19002"/>
    <cellStyle name="Output 4 6 3 2 3" xfId="8810"/>
    <cellStyle name="Output 4 6 3 2 3 2" xfId="14058"/>
    <cellStyle name="Output 4 6 3 2 3 2 2" xfId="18970"/>
    <cellStyle name="Output 4 6 3 2 4" xfId="11808"/>
    <cellStyle name="Output 4 6 3 2 4 2" xfId="20057"/>
    <cellStyle name="Output 4 6 3 3" xfId="8417"/>
    <cellStyle name="Output 4 6 3 3 2" xfId="13682"/>
    <cellStyle name="Output 4 6 3 3 2 2" xfId="16536"/>
    <cellStyle name="Output 4 6 3 4" xfId="11378"/>
    <cellStyle name="Output 4 6 3 4 2" xfId="19284"/>
    <cellStyle name="Output 4 6 4" xfId="6304"/>
    <cellStyle name="Output 4 6 4 2" xfId="7107"/>
    <cellStyle name="Output 4 6 4 2 2" xfId="9912"/>
    <cellStyle name="Output 4 6 4 2 2 2" xfId="14785"/>
    <cellStyle name="Output 4 6 4 2 2 2 2" xfId="18652"/>
    <cellStyle name="Output 4 6 4 2 3" xfId="10230"/>
    <cellStyle name="Output 4 6 4 2 3 2" xfId="10480"/>
    <cellStyle name="Output 4 6 4 2 3 2 2" xfId="15207"/>
    <cellStyle name="Output 4 6 4 2 3 2 2 2" xfId="15641"/>
    <cellStyle name="Output 4 6 4 2 3 3" xfId="15007"/>
    <cellStyle name="Output 4 6 4 2 3 3 2" xfId="15764"/>
    <cellStyle name="Output 4 6 4 2 4" xfId="12791"/>
    <cellStyle name="Output 4 6 4 2 4 2" xfId="19854"/>
    <cellStyle name="Output 4 6 4 3" xfId="8719"/>
    <cellStyle name="Output 4 6 4 3 2" xfId="13984"/>
    <cellStyle name="Output 4 6 4 3 2 2" xfId="15377"/>
    <cellStyle name="Output 4 6 4 4" xfId="11717"/>
    <cellStyle name="Output 4 6 4 4 2" xfId="19267"/>
    <cellStyle name="Output 4 6 5" xfId="7915"/>
    <cellStyle name="Output 4 6 5 2" xfId="13184"/>
    <cellStyle name="Output 4 6 5 2 2" xfId="19096"/>
    <cellStyle name="Output 4 6 6" xfId="10732"/>
    <cellStyle name="Output 4 6 6 2" xfId="17718"/>
    <cellStyle name="Output 4 7" xfId="2649"/>
    <cellStyle name="Output 4 7 2" xfId="5315"/>
    <cellStyle name="Output 4 7 2 2" xfId="6370"/>
    <cellStyle name="Output 4 7 2 2 2" xfId="7173"/>
    <cellStyle name="Output 4 7 2 2 2 2" xfId="9978"/>
    <cellStyle name="Output 4 7 2 2 2 2 2" xfId="14840"/>
    <cellStyle name="Output 4 7 2 2 2 2 2 2" xfId="15404"/>
    <cellStyle name="Output 4 7 2 2 2 3" xfId="10296"/>
    <cellStyle name="Output 4 7 2 2 2 3 2" xfId="10546"/>
    <cellStyle name="Output 4 7 2 2 2 3 2 2" xfId="15273"/>
    <cellStyle name="Output 4 7 2 2 2 3 2 2 2" xfId="15593"/>
    <cellStyle name="Output 4 7 2 2 2 3 3" xfId="15073"/>
    <cellStyle name="Output 4 7 2 2 2 3 3 2" xfId="18119"/>
    <cellStyle name="Output 4 7 2 2 2 4" xfId="12857"/>
    <cellStyle name="Output 4 7 2 2 2 4 2" xfId="19699"/>
    <cellStyle name="Output 4 7 2 2 3" xfId="8785"/>
    <cellStyle name="Output 4 7 2 2 3 2" xfId="14040"/>
    <cellStyle name="Output 4 7 2 2 3 2 2" xfId="16308"/>
    <cellStyle name="Output 4 7 2 2 4" xfId="11783"/>
    <cellStyle name="Output 4 7 2 2 4 2" xfId="20004"/>
    <cellStyle name="Output 4 7 2 3" xfId="8258"/>
    <cellStyle name="Output 4 7 2 3 2" xfId="13523"/>
    <cellStyle name="Output 4 7 2 3 2 2" xfId="15415"/>
    <cellStyle name="Output 4 7 2 4" xfId="11147"/>
    <cellStyle name="Output 4 7 2 4 2" xfId="17394"/>
    <cellStyle name="Output 4 7 3" xfId="5914"/>
    <cellStyle name="Output 4 7 3 2" xfId="6394"/>
    <cellStyle name="Output 4 7 3 2 2" xfId="7197"/>
    <cellStyle name="Output 4 7 3 2 2 2" xfId="10002"/>
    <cellStyle name="Output 4 7 3 2 2 2 2" xfId="14857"/>
    <cellStyle name="Output 4 7 3 2 2 2 2 2" xfId="18245"/>
    <cellStyle name="Output 4 7 3 2 2 3" xfId="10320"/>
    <cellStyle name="Output 4 7 3 2 2 3 2" xfId="10570"/>
    <cellStyle name="Output 4 7 3 2 2 3 2 2" xfId="15297"/>
    <cellStyle name="Output 4 7 3 2 2 3 2 2 2" xfId="15574"/>
    <cellStyle name="Output 4 7 3 2 2 3 3" xfId="15097"/>
    <cellStyle name="Output 4 7 3 2 2 3 3 2" xfId="15708"/>
    <cellStyle name="Output 4 7 3 2 2 4" xfId="12881"/>
    <cellStyle name="Output 4 7 3 2 2 4 2" xfId="19332"/>
    <cellStyle name="Output 4 7 3 2 3" xfId="8809"/>
    <cellStyle name="Output 4 7 3 2 3 2" xfId="14057"/>
    <cellStyle name="Output 4 7 3 2 3 2 2" xfId="16297"/>
    <cellStyle name="Output 4 7 3 2 4" xfId="11807"/>
    <cellStyle name="Output 4 7 3 2 4 2" xfId="19755"/>
    <cellStyle name="Output 4 7 3 3" xfId="8416"/>
    <cellStyle name="Output 4 7 3 3 2" xfId="13681"/>
    <cellStyle name="Output 4 7 3 3 2 2" xfId="16537"/>
    <cellStyle name="Output 4 7 3 4" xfId="11377"/>
    <cellStyle name="Output 4 7 3 4 2" xfId="19905"/>
    <cellStyle name="Output 4 7 4" xfId="6305"/>
    <cellStyle name="Output 4 7 4 2" xfId="7108"/>
    <cellStyle name="Output 4 7 4 2 2" xfId="9913"/>
    <cellStyle name="Output 4 7 4 2 2 2" xfId="14786"/>
    <cellStyle name="Output 4 7 4 2 2 2 2" xfId="15873"/>
    <cellStyle name="Output 4 7 4 2 3" xfId="10231"/>
    <cellStyle name="Output 4 7 4 2 3 2" xfId="10481"/>
    <cellStyle name="Output 4 7 4 2 3 2 2" xfId="15208"/>
    <cellStyle name="Output 4 7 4 2 3 2 2 2" xfId="15423"/>
    <cellStyle name="Output 4 7 4 2 3 3" xfId="15008"/>
    <cellStyle name="Output 4 7 4 2 3 3 2" xfId="15763"/>
    <cellStyle name="Output 4 7 4 2 4" xfId="12792"/>
    <cellStyle name="Output 4 7 4 2 4 2" xfId="19234"/>
    <cellStyle name="Output 4 7 4 3" xfId="8720"/>
    <cellStyle name="Output 4 7 4 3 2" xfId="13985"/>
    <cellStyle name="Output 4 7 4 3 2 2" xfId="18071"/>
    <cellStyle name="Output 4 7 4 4" xfId="11718"/>
    <cellStyle name="Output 4 7 4 4 2" xfId="19719"/>
    <cellStyle name="Output 4 7 5" xfId="7916"/>
    <cellStyle name="Output 4 7 5 2" xfId="13185"/>
    <cellStyle name="Output 4 7 5 2 2" xfId="18633"/>
    <cellStyle name="Output 4 7 6" xfId="10733"/>
    <cellStyle name="Output 4 7 6 2" xfId="18525"/>
    <cellStyle name="Output 4 8" xfId="2650"/>
    <cellStyle name="Output 4 8 2" xfId="5316"/>
    <cellStyle name="Output 4 8 2 2" xfId="6371"/>
    <cellStyle name="Output 4 8 2 2 2" xfId="7174"/>
    <cellStyle name="Output 4 8 2 2 2 2" xfId="9979"/>
    <cellStyle name="Output 4 8 2 2 2 2 2" xfId="14841"/>
    <cellStyle name="Output 4 8 2 2 2 2 2 2" xfId="15846"/>
    <cellStyle name="Output 4 8 2 2 2 3" xfId="10297"/>
    <cellStyle name="Output 4 8 2 2 2 3 2" xfId="10547"/>
    <cellStyle name="Output 4 8 2 2 2 3 2 2" xfId="15274"/>
    <cellStyle name="Output 4 8 2 2 2 3 2 2 2" xfId="15592"/>
    <cellStyle name="Output 4 8 2 2 2 3 3" xfId="15074"/>
    <cellStyle name="Output 4 8 2 2 2 3 3 2" xfId="17835"/>
    <cellStyle name="Output 4 8 2 2 2 4" xfId="12858"/>
    <cellStyle name="Output 4 8 2 2 2 4 2" xfId="20001"/>
    <cellStyle name="Output 4 8 2 2 3" xfId="8786"/>
    <cellStyle name="Output 4 8 2 2 3 2" xfId="14041"/>
    <cellStyle name="Output 4 8 2 2 3 2 2" xfId="16307"/>
    <cellStyle name="Output 4 8 2 2 4" xfId="11784"/>
    <cellStyle name="Output 4 8 2 2 4 2" xfId="19383"/>
    <cellStyle name="Output 4 8 2 3" xfId="8259"/>
    <cellStyle name="Output 4 8 2 3 2" xfId="13524"/>
    <cellStyle name="Output 4 8 2 3 2 2" xfId="16620"/>
    <cellStyle name="Output 4 8 2 4" xfId="11148"/>
    <cellStyle name="Output 4 8 2 4 2" xfId="17393"/>
    <cellStyle name="Output 4 8 3" xfId="5913"/>
    <cellStyle name="Output 4 8 3 2" xfId="6393"/>
    <cellStyle name="Output 4 8 3 2 2" xfId="7196"/>
    <cellStyle name="Output 4 8 3 2 2 2" xfId="10001"/>
    <cellStyle name="Output 4 8 3 2 2 2 2" xfId="14856"/>
    <cellStyle name="Output 4 8 3 2 2 2 2 2" xfId="18763"/>
    <cellStyle name="Output 4 8 3 2 2 3" xfId="10319"/>
    <cellStyle name="Output 4 8 3 2 2 3 2" xfId="10569"/>
    <cellStyle name="Output 4 8 3 2 2 3 2 2" xfId="15296"/>
    <cellStyle name="Output 4 8 3 2 2 3 2 2 2" xfId="15575"/>
    <cellStyle name="Output 4 8 3 2 2 3 3" xfId="15096"/>
    <cellStyle name="Output 4 8 3 2 2 3 3 2" xfId="15709"/>
    <cellStyle name="Output 4 8 3 2 2 4" xfId="12880"/>
    <cellStyle name="Output 4 8 3 2 2 4 2" xfId="19953"/>
    <cellStyle name="Output 4 8 3 2 3" xfId="8808"/>
    <cellStyle name="Output 4 8 3 2 3 2" xfId="14056"/>
    <cellStyle name="Output 4 8 3 2 3 2 2" xfId="16298"/>
    <cellStyle name="Output 4 8 3 2 4" xfId="11806"/>
    <cellStyle name="Output 4 8 3 2 4 2" xfId="19209"/>
    <cellStyle name="Output 4 8 3 3" xfId="8415"/>
    <cellStyle name="Output 4 8 3 3 2" xfId="13680"/>
    <cellStyle name="Output 4 8 3 3 2 2" xfId="17776"/>
    <cellStyle name="Output 4 8 3 4" xfId="11376"/>
    <cellStyle name="Output 4 8 3 4 2" xfId="19600"/>
    <cellStyle name="Output 4 8 4" xfId="6306"/>
    <cellStyle name="Output 4 8 4 2" xfId="7109"/>
    <cellStyle name="Output 4 8 4 2 2" xfId="9914"/>
    <cellStyle name="Output 4 8 4 2 2 2" xfId="14787"/>
    <cellStyle name="Output 4 8 4 2 2 2 2" xfId="15872"/>
    <cellStyle name="Output 4 8 4 2 3" xfId="10232"/>
    <cellStyle name="Output 4 8 4 2 3 2" xfId="10482"/>
    <cellStyle name="Output 4 8 4 2 3 2 2" xfId="15209"/>
    <cellStyle name="Output 4 8 4 2 3 2 2 2" xfId="15634"/>
    <cellStyle name="Output 4 8 4 2 3 3" xfId="15009"/>
    <cellStyle name="Output 4 8 4 2 3 3 2" xfId="15762"/>
    <cellStyle name="Output 4 8 4 2 4" xfId="12793"/>
    <cellStyle name="Output 4 8 4 2 4 2" xfId="19714"/>
    <cellStyle name="Output 4 8 4 3" xfId="8721"/>
    <cellStyle name="Output 4 8 4 3 2" xfId="13986"/>
    <cellStyle name="Output 4 8 4 3 2 2" xfId="18925"/>
    <cellStyle name="Output 4 8 4 4" xfId="11719"/>
    <cellStyle name="Output 4 8 4 4 2" xfId="20021"/>
    <cellStyle name="Output 4 8 5" xfId="7917"/>
    <cellStyle name="Output 4 8 5 2" xfId="13186"/>
    <cellStyle name="Output 4 8 5 2 2" xfId="19604"/>
    <cellStyle name="Output 4 8 6" xfId="10734"/>
    <cellStyle name="Output 4 8 6 2" xfId="18101"/>
    <cellStyle name="Output 4 9" xfId="2651"/>
    <cellStyle name="Output 4 9 2" xfId="5317"/>
    <cellStyle name="Output 4 9 2 2" xfId="6372"/>
    <cellStyle name="Output 4 9 2 2 2" xfId="7175"/>
    <cellStyle name="Output 4 9 2 2 2 2" xfId="9980"/>
    <cellStyle name="Output 4 9 2 2 2 2 2" xfId="14842"/>
    <cellStyle name="Output 4 9 2 2 2 2 2 2" xfId="18827"/>
    <cellStyle name="Output 4 9 2 2 2 3" xfId="10298"/>
    <cellStyle name="Output 4 9 2 2 2 3 2" xfId="10548"/>
    <cellStyle name="Output 4 9 2 2 2 3 2 2" xfId="15275"/>
    <cellStyle name="Output 4 9 2 2 2 3 2 2 2" xfId="15591"/>
    <cellStyle name="Output 4 9 2 2 2 3 3" xfId="15075"/>
    <cellStyle name="Output 4 9 2 2 2 3 3 2" xfId="15723"/>
    <cellStyle name="Output 4 9 2 2 2 4" xfId="12859"/>
    <cellStyle name="Output 4 9 2 2 2 4 2" xfId="19380"/>
    <cellStyle name="Output 4 9 2 2 3" xfId="8787"/>
    <cellStyle name="Output 4 9 2 2 3 2" xfId="14042"/>
    <cellStyle name="Output 4 9 2 2 3 2 2" xfId="16306"/>
    <cellStyle name="Output 4 9 2 2 4" xfId="11785"/>
    <cellStyle name="Output 4 9 2 2 4 2" xfId="19053"/>
    <cellStyle name="Output 4 9 2 3" xfId="8260"/>
    <cellStyle name="Output 4 9 2 3 2" xfId="13525"/>
    <cellStyle name="Output 4 9 2 3 2 2" xfId="18872"/>
    <cellStyle name="Output 4 9 2 4" xfId="11149"/>
    <cellStyle name="Output 4 9 2 4 2" xfId="17392"/>
    <cellStyle name="Output 4 9 3" xfId="5843"/>
    <cellStyle name="Output 4 9 3 2" xfId="6383"/>
    <cellStyle name="Output 4 9 3 2 2" xfId="7186"/>
    <cellStyle name="Output 4 9 3 2 2 2" xfId="9991"/>
    <cellStyle name="Output 4 9 3 2 2 2 2" xfId="14848"/>
    <cellStyle name="Output 4 9 3 2 2 2 2 2" xfId="18645"/>
    <cellStyle name="Output 4 9 3 2 2 3" xfId="10309"/>
    <cellStyle name="Output 4 9 3 2 2 3 2" xfId="10559"/>
    <cellStyle name="Output 4 9 3 2 2 3 2 2" xfId="15286"/>
    <cellStyle name="Output 4 9 3 2 2 3 2 2 2" xfId="18085"/>
    <cellStyle name="Output 4 9 3 2 2 3 3" xfId="15086"/>
    <cellStyle name="Output 4 9 3 2 2 3 3 2" xfId="15715"/>
    <cellStyle name="Output 4 9 3 2 2 4" xfId="12870"/>
    <cellStyle name="Output 4 9 3 2 2 4 2" xfId="19823"/>
    <cellStyle name="Output 4 9 3 2 3" xfId="8798"/>
    <cellStyle name="Output 4 9 3 2 3 2" xfId="14048"/>
    <cellStyle name="Output 4 9 3 2 3 2 2" xfId="18050"/>
    <cellStyle name="Output 4 9 3 2 4" xfId="11796"/>
    <cellStyle name="Output 4 9 3 2 4 2" xfId="19567"/>
    <cellStyle name="Output 4 9 3 3" xfId="8365"/>
    <cellStyle name="Output 4 9 3 3 2" xfId="13630"/>
    <cellStyle name="Output 4 9 3 3 2 2" xfId="16558"/>
    <cellStyle name="Output 4 9 3 4" xfId="11306"/>
    <cellStyle name="Output 4 9 3 4 2" xfId="17281"/>
    <cellStyle name="Output 4 9 4" xfId="6307"/>
    <cellStyle name="Output 4 9 4 2" xfId="7110"/>
    <cellStyle name="Output 4 9 4 2 2" xfId="9915"/>
    <cellStyle name="Output 4 9 4 2 2 2" xfId="14788"/>
    <cellStyle name="Output 4 9 4 2 2 2 2" xfId="15871"/>
    <cellStyle name="Output 4 9 4 2 3" xfId="10233"/>
    <cellStyle name="Output 4 9 4 2 3 2" xfId="10483"/>
    <cellStyle name="Output 4 9 4 2 3 2 2" xfId="15210"/>
    <cellStyle name="Output 4 9 4 2 3 2 2 2" xfId="18417"/>
    <cellStyle name="Output 4 9 4 2 3 3" xfId="15010"/>
    <cellStyle name="Output 4 9 4 2 3 3 2" xfId="15761"/>
    <cellStyle name="Output 4 9 4 2 4" xfId="12794"/>
    <cellStyle name="Output 4 9 4 2 4 2" xfId="20016"/>
    <cellStyle name="Output 4 9 4 3" xfId="8722"/>
    <cellStyle name="Output 4 9 4 3 2" xfId="13987"/>
    <cellStyle name="Output 4 9 4 3 2 2" xfId="18744"/>
    <cellStyle name="Output 4 9 4 4" xfId="11720"/>
    <cellStyle name="Output 4 9 4 4 2" xfId="19400"/>
    <cellStyle name="Output 4 9 5" xfId="7918"/>
    <cellStyle name="Output 4 9 5 2" xfId="13187"/>
    <cellStyle name="Output 4 9 5 2 2" xfId="19909"/>
    <cellStyle name="Output 4 9 6" xfId="10735"/>
    <cellStyle name="Output 4 9 6 2" xfId="18033"/>
    <cellStyle name="Output 5" xfId="4616"/>
    <cellStyle name="Output 5 2" xfId="5373"/>
    <cellStyle name="Output 5 2 2" xfId="6373"/>
    <cellStyle name="Output 5 2 2 2" xfId="7519"/>
    <cellStyle name="Output 5 2 2 2 2" xfId="6941"/>
    <cellStyle name="Output 5 2 2 2 2 2" xfId="9794"/>
    <cellStyle name="Output 5 2 2 2 2 2 2" xfId="14679"/>
    <cellStyle name="Output 5 2 2 2 2 2 2 2" xfId="18046"/>
    <cellStyle name="Output 5 2 2 2 2 3" xfId="12625"/>
    <cellStyle name="Output 5 2 2 2 2 3 2" xfId="19510"/>
    <cellStyle name="Output 5 2 2 2 3" xfId="8916"/>
    <cellStyle name="Output 5 2 2 2 3 2" xfId="14155"/>
    <cellStyle name="Output 5 2 2 2 3 2 2" xfId="16247"/>
    <cellStyle name="Output 5 2 2 2 4" xfId="11916"/>
    <cellStyle name="Output 5 2 2 2 4 2" xfId="17184"/>
    <cellStyle name="Output 5 2 2 3" xfId="7176"/>
    <cellStyle name="Output 5 2 2 3 2" xfId="9981"/>
    <cellStyle name="Output 5 2 2 3 2 2" xfId="10299"/>
    <cellStyle name="Output 5 2 2 3 2 2 2" xfId="10549"/>
    <cellStyle name="Output 5 2 2 3 2 2 2 2" xfId="15276"/>
    <cellStyle name="Output 5 2 2 3 2 2 2 2 2" xfId="15590"/>
    <cellStyle name="Output 5 2 2 3 2 2 3" xfId="15076"/>
    <cellStyle name="Output 5 2 2 3 2 2 3 2" xfId="15722"/>
    <cellStyle name="Output 5 2 2 3 2 3" xfId="12860"/>
    <cellStyle name="Output 5 2 2 3 2 3 2" xfId="19050"/>
    <cellStyle name="Output 5 2 2 3 3" xfId="9280"/>
    <cellStyle name="Output 5 2 2 3 3 2" xfId="14277"/>
    <cellStyle name="Output 5 2 2 3 3 2 2" xfId="18470"/>
    <cellStyle name="Output 5 2 2 3 4" xfId="10194"/>
    <cellStyle name="Output 5 2 2 3 4 2" xfId="10444"/>
    <cellStyle name="Output 5 2 2 3 4 2 2" xfId="15171"/>
    <cellStyle name="Output 5 2 2 3 4 2 2 2" xfId="18109"/>
    <cellStyle name="Output 5 2 2 3 4 3" xfId="14971"/>
    <cellStyle name="Output 5 2 2 3 4 3 2" xfId="15444"/>
    <cellStyle name="Output 5 2 2 3 5" xfId="12058"/>
    <cellStyle name="Output 5 2 2 3 5 2" xfId="17090"/>
    <cellStyle name="Output 5 2 2 4" xfId="8788"/>
    <cellStyle name="Output 5 2 2 4 2" xfId="13107"/>
    <cellStyle name="Output 5 2 2 4 2 2" xfId="19990"/>
    <cellStyle name="Output 5 2 2 5" xfId="11786"/>
    <cellStyle name="Output 5 2 2 5 2" xfId="18577"/>
    <cellStyle name="Output 5 2 3" xfId="8288"/>
    <cellStyle name="Output 5 2 3 2" xfId="13553"/>
    <cellStyle name="Output 5 2 3 2 2" xfId="16606"/>
    <cellStyle name="Output 5 2 4" xfId="11205"/>
    <cellStyle name="Output 5 2 4 2" xfId="17348"/>
    <cellStyle name="Output 5 3" xfId="5795"/>
    <cellStyle name="Output 5 3 2" xfId="6381"/>
    <cellStyle name="Output 5 3 2 2" xfId="7610"/>
    <cellStyle name="Output 5 3 2 2 2" xfId="7026"/>
    <cellStyle name="Output 5 3 2 2 2 2" xfId="9852"/>
    <cellStyle name="Output 5 3 2 2 2 2 2" xfId="14728"/>
    <cellStyle name="Output 5 3 2 2 2 2 2 2" xfId="18953"/>
    <cellStyle name="Output 5 3 2 2 2 3" xfId="12710"/>
    <cellStyle name="Output 5 3 2 2 2 3 2" xfId="19586"/>
    <cellStyle name="Output 5 3 2 2 3" xfId="8934"/>
    <cellStyle name="Output 5 3 2 2 3 2" xfId="14173"/>
    <cellStyle name="Output 5 3 2 2 3 2 2" xfId="18670"/>
    <cellStyle name="Output 5 3 2 2 4" xfId="11935"/>
    <cellStyle name="Output 5 3 2 2 4 2" xfId="17885"/>
    <cellStyle name="Output 5 3 2 3" xfId="7184"/>
    <cellStyle name="Output 5 3 2 3 2" xfId="9989"/>
    <cellStyle name="Output 5 3 2 3 2 2" xfId="10307"/>
    <cellStyle name="Output 5 3 2 3 2 2 2" xfId="10557"/>
    <cellStyle name="Output 5 3 2 3 2 2 2 2" xfId="15284"/>
    <cellStyle name="Output 5 3 2 3 2 2 2 2 2" xfId="15582"/>
    <cellStyle name="Output 5 3 2 3 2 2 3" xfId="15084"/>
    <cellStyle name="Output 5 3 2 3 2 2 3 2" xfId="17836"/>
    <cellStyle name="Output 5 3 2 3 2 3" xfId="12868"/>
    <cellStyle name="Output 5 3 2 3 2 3 2" xfId="18556"/>
    <cellStyle name="Output 5 3 2 3 3" xfId="9371"/>
    <cellStyle name="Output 5 3 2 3 3 2" xfId="14295"/>
    <cellStyle name="Output 5 3 2 3 3 2 2" xfId="15491"/>
    <cellStyle name="Output 5 3 2 3 4" xfId="10198"/>
    <cellStyle name="Output 5 3 2 3 4 2" xfId="10448"/>
    <cellStyle name="Output 5 3 2 3 4 2 2" xfId="15175"/>
    <cellStyle name="Output 5 3 2 3 4 2 2 2" xfId="15661"/>
    <cellStyle name="Output 5 3 2 3 4 3" xfId="14975"/>
    <cellStyle name="Output 5 3 2 3 4 3 2" xfId="17825"/>
    <cellStyle name="Output 5 3 2 3 5" xfId="12077"/>
    <cellStyle name="Output 5 3 2 3 5 2" xfId="17080"/>
    <cellStyle name="Output 5 3 2 4" xfId="8796"/>
    <cellStyle name="Output 5 3 2 4 2" xfId="13111"/>
    <cellStyle name="Output 5 3 2 4 2 2" xfId="19923"/>
    <cellStyle name="Output 5 3 2 5" xfId="11794"/>
    <cellStyle name="Output 5 3 2 5 2" xfId="19378"/>
    <cellStyle name="Output 5 3 3" xfId="8332"/>
    <cellStyle name="Output 5 3 3 2" xfId="13597"/>
    <cellStyle name="Output 5 3 3 2 2" xfId="16584"/>
    <cellStyle name="Output 5 3 4" xfId="11258"/>
    <cellStyle name="Output 5 3 4 2" xfId="17308"/>
    <cellStyle name="Output 5 4" xfId="6330"/>
    <cellStyle name="Output 5 4 2" xfId="7419"/>
    <cellStyle name="Output 5 4 2 2" xfId="6806"/>
    <cellStyle name="Output 5 4 2 2 2" xfId="9701"/>
    <cellStyle name="Output 5 4 2 2 2 2" xfId="14596"/>
    <cellStyle name="Output 5 4 2 2 2 2 2" xfId="18052"/>
    <cellStyle name="Output 5 4 2 2 3" xfId="12490"/>
    <cellStyle name="Output 5 4 2 2 3 2" xfId="18384"/>
    <cellStyle name="Output 5 4 2 3" xfId="8885"/>
    <cellStyle name="Output 5 4 2 3 2" xfId="14124"/>
    <cellStyle name="Output 5 4 2 3 2 2" xfId="16263"/>
    <cellStyle name="Output 5 4 2 4" xfId="11884"/>
    <cellStyle name="Output 5 4 2 4 2" xfId="17882"/>
    <cellStyle name="Output 5 4 3" xfId="7133"/>
    <cellStyle name="Output 5 4 3 2" xfId="9938"/>
    <cellStyle name="Output 5 4 3 2 2" xfId="10256"/>
    <cellStyle name="Output 5 4 3 2 2 2" xfId="10506"/>
    <cellStyle name="Output 5 4 3 2 2 2 2" xfId="15233"/>
    <cellStyle name="Output 5 4 3 2 2 2 2 2" xfId="15623"/>
    <cellStyle name="Output 5 4 3 2 2 3" xfId="15033"/>
    <cellStyle name="Output 5 4 3 2 2 3 2" xfId="18123"/>
    <cellStyle name="Output 5 4 3 2 3" xfId="12817"/>
    <cellStyle name="Output 5 4 3 2 3 2" xfId="19723"/>
    <cellStyle name="Output 5 4 3 3" xfId="9175"/>
    <cellStyle name="Output 5 4 3 3 2" xfId="14250"/>
    <cellStyle name="Output 5 4 3 3 2 2" xfId="16201"/>
    <cellStyle name="Output 5 4 3 4" xfId="10186"/>
    <cellStyle name="Output 5 4 3 4 2" xfId="10436"/>
    <cellStyle name="Output 5 4 3 4 2 2" xfId="15163"/>
    <cellStyle name="Output 5 4 3 4 2 2 2" xfId="15669"/>
    <cellStyle name="Output 5 4 3 4 3" xfId="14963"/>
    <cellStyle name="Output 5 4 3 4 3 2" xfId="18442"/>
    <cellStyle name="Output 5 4 3 5" xfId="12021"/>
    <cellStyle name="Output 5 4 3 5 2" xfId="17905"/>
    <cellStyle name="Output 5 4 4" xfId="8745"/>
    <cellStyle name="Output 5 4 4 2" xfId="13100"/>
    <cellStyle name="Output 5 4 4 2 2" xfId="19361"/>
    <cellStyle name="Output 5 4 5" xfId="11743"/>
    <cellStyle name="Output 5 4 5 2" xfId="20042"/>
    <cellStyle name="Output 5 5" xfId="8060"/>
    <cellStyle name="Output 5 5 2" xfId="13325"/>
    <cellStyle name="Output 5 5 2 2" xfId="16722"/>
    <cellStyle name="Output 5 6" xfId="10923"/>
    <cellStyle name="Output 5 6 2" xfId="17569"/>
    <cellStyle name="Output 6" xfId="4729"/>
    <cellStyle name="Output 6 2" xfId="5382"/>
    <cellStyle name="Output 6 2 2" xfId="6374"/>
    <cellStyle name="Output 6 2 2 2" xfId="7177"/>
    <cellStyle name="Output 6 2 2 2 2" xfId="9982"/>
    <cellStyle name="Output 6 2 2 2 2 2" xfId="14843"/>
    <cellStyle name="Output 6 2 2 2 2 2 2" xfId="18646"/>
    <cellStyle name="Output 6 2 2 2 3" xfId="10300"/>
    <cellStyle name="Output 6 2 2 2 3 2" xfId="10550"/>
    <cellStyle name="Output 6 2 2 2 3 2 2" xfId="15277"/>
    <cellStyle name="Output 6 2 2 2 3 2 2 2" xfId="15589"/>
    <cellStyle name="Output 6 2 2 2 3 3" xfId="15077"/>
    <cellStyle name="Output 6 2 2 2 3 3 2" xfId="15721"/>
    <cellStyle name="Output 6 2 2 2 4" xfId="12861"/>
    <cellStyle name="Output 6 2 2 2 4 2" xfId="19589"/>
    <cellStyle name="Output 6 2 2 3" xfId="8789"/>
    <cellStyle name="Output 6 2 2 3 2" xfId="14043"/>
    <cellStyle name="Output 6 2 2 3 2 2" xfId="16305"/>
    <cellStyle name="Output 6 2 2 4" xfId="11787"/>
    <cellStyle name="Output 6 2 2 4 2" xfId="18260"/>
    <cellStyle name="Output 6 2 3" xfId="8296"/>
    <cellStyle name="Output 6 2 3 2" xfId="13561"/>
    <cellStyle name="Output 6 2 3 2 2" xfId="16602"/>
    <cellStyle name="Output 6 2 4" xfId="11214"/>
    <cellStyle name="Output 6 2 4 2" xfId="17343"/>
    <cellStyle name="Output 6 3" xfId="5888"/>
    <cellStyle name="Output 6 3 2" xfId="6392"/>
    <cellStyle name="Output 6 3 2 2" xfId="7195"/>
    <cellStyle name="Output 6 3 2 2 2" xfId="10000"/>
    <cellStyle name="Output 6 3 2 2 2 2" xfId="14855"/>
    <cellStyle name="Output 6 3 2 2 2 2 2" xfId="18944"/>
    <cellStyle name="Output 6 3 2 2 3" xfId="10318"/>
    <cellStyle name="Output 6 3 2 2 3 2" xfId="10568"/>
    <cellStyle name="Output 6 3 2 2 3 2 2" xfId="15295"/>
    <cellStyle name="Output 6 3 2 2 3 2 2 2" xfId="15576"/>
    <cellStyle name="Output 6 3 2 2 3 3" xfId="15095"/>
    <cellStyle name="Output 6 3 2 2 3 3 2" xfId="15710"/>
    <cellStyle name="Output 6 3 2 2 4" xfId="12879"/>
    <cellStyle name="Output 6 3 2 2 4 2" xfId="19651"/>
    <cellStyle name="Output 6 3 2 3" xfId="8807"/>
    <cellStyle name="Output 6 3 2 3 2" xfId="14055"/>
    <cellStyle name="Output 6 3 2 3 2 2" xfId="16299"/>
    <cellStyle name="Output 6 3 2 4" xfId="11805"/>
    <cellStyle name="Output 6 3 2 4 2" xfId="19829"/>
    <cellStyle name="Output 6 3 3" xfId="8402"/>
    <cellStyle name="Output 6 3 3 2" xfId="13667"/>
    <cellStyle name="Output 6 3 3 2 2" xfId="16538"/>
    <cellStyle name="Output 6 3 4" xfId="11351"/>
    <cellStyle name="Output 6 3 4 2" xfId="19859"/>
    <cellStyle name="Output 6 4" xfId="6331"/>
    <cellStyle name="Output 6 4 2" xfId="7134"/>
    <cellStyle name="Output 6 4 2 2" xfId="9939"/>
    <cellStyle name="Output 6 4 2 2 2" xfId="14808"/>
    <cellStyle name="Output 6 4 2 2 2 2" xfId="18788"/>
    <cellStyle name="Output 6 4 2 3" xfId="10257"/>
    <cellStyle name="Output 6 4 2 3 2" xfId="10507"/>
    <cellStyle name="Output 6 4 2 3 2 2" xfId="15234"/>
    <cellStyle name="Output 6 4 2 3 2 2 2" xfId="15622"/>
    <cellStyle name="Output 6 4 2 3 3" xfId="15034"/>
    <cellStyle name="Output 6 4 2 3 3 2" xfId="17831"/>
    <cellStyle name="Output 6 4 2 4" xfId="12818"/>
    <cellStyle name="Output 6 4 2 4 2" xfId="20025"/>
    <cellStyle name="Output 6 4 3" xfId="8746"/>
    <cellStyle name="Output 6 4 3 2" xfId="14007"/>
    <cellStyle name="Output 6 4 3 2 2" xfId="18794"/>
    <cellStyle name="Output 6 4 4" xfId="11744"/>
    <cellStyle name="Output 6 4 4 2" xfId="19421"/>
    <cellStyle name="Output 6 5" xfId="8068"/>
    <cellStyle name="Output 6 5 2" xfId="13333"/>
    <cellStyle name="Output 6 5 2 2" xfId="18038"/>
    <cellStyle name="Output 6 6" xfId="10932"/>
    <cellStyle name="Output 6 6 2" xfId="18624"/>
    <cellStyle name="Percent 2" xfId="48"/>
    <cellStyle name="Percent 2 10" xfId="5786"/>
    <cellStyle name="Percent 2 11" xfId="6243"/>
    <cellStyle name="Percent 2 11 2" xfId="6270"/>
    <cellStyle name="Percent 2 2" xfId="56"/>
    <cellStyle name="Percent 2 2 2" xfId="376"/>
    <cellStyle name="Percent 2 2 2 2" xfId="2652"/>
    <cellStyle name="Percent 2 2 2 3" xfId="10426"/>
    <cellStyle name="Percent 2 2 3" xfId="2653"/>
    <cellStyle name="Percent 2 2 4" xfId="2654"/>
    <cellStyle name="Percent 2 2 4 10" xfId="2655"/>
    <cellStyle name="Percent 2 2 4 11" xfId="2656"/>
    <cellStyle name="Percent 2 2 4 12" xfId="2657"/>
    <cellStyle name="Percent 2 2 4 2" xfId="2658"/>
    <cellStyle name="Percent 2 2 4 3" xfId="2659"/>
    <cellStyle name="Percent 2 2 4 3 2" xfId="2660"/>
    <cellStyle name="Percent 2 2 4 4" xfId="2661"/>
    <cellStyle name="Percent 2 2 4 5" xfId="2662"/>
    <cellStyle name="Percent 2 2 4 6" xfId="2663"/>
    <cellStyle name="Percent 2 2 4 7" xfId="2664"/>
    <cellStyle name="Percent 2 2 4 8" xfId="2665"/>
    <cellStyle name="Percent 2 2 4 9" xfId="2666"/>
    <cellStyle name="Percent 2 2 5" xfId="2667"/>
    <cellStyle name="Percent 2 2 6" xfId="5279"/>
    <cellStyle name="Percent 2 2 6 2" xfId="5426"/>
    <cellStyle name="Percent 2 2 7" xfId="5788"/>
    <cellStyle name="Percent 2 2 8" xfId="6258"/>
    <cellStyle name="Percent 2 2 8 2" xfId="6285"/>
    <cellStyle name="Percent 2 3" xfId="57"/>
    <cellStyle name="Percent 2 4" xfId="2668"/>
    <cellStyle name="Percent 2 4 2" xfId="2669"/>
    <cellStyle name="Percent 2 4 3" xfId="2670"/>
    <cellStyle name="Percent 2 4 4" xfId="2671"/>
    <cellStyle name="Percent 2 4 4 2" xfId="2672"/>
    <cellStyle name="Percent 2 4 4 3" xfId="2673"/>
    <cellStyle name="Percent 2 5" xfId="2674"/>
    <cellStyle name="Percent 2 6" xfId="2675"/>
    <cellStyle name="Percent 2 6 10" xfId="2676"/>
    <cellStyle name="Percent 2 6 11" xfId="2677"/>
    <cellStyle name="Percent 2 6 12" xfId="2678"/>
    <cellStyle name="Percent 2 6 2" xfId="2679"/>
    <cellStyle name="Percent 2 6 3" xfId="2680"/>
    <cellStyle name="Percent 2 6 3 2" xfId="2681"/>
    <cellStyle name="Percent 2 6 4" xfId="2682"/>
    <cellStyle name="Percent 2 6 5" xfId="2683"/>
    <cellStyle name="Percent 2 6 6" xfId="2684"/>
    <cellStyle name="Percent 2 6 7" xfId="2685"/>
    <cellStyle name="Percent 2 6 8" xfId="2686"/>
    <cellStyle name="Percent 2 6 9" xfId="2687"/>
    <cellStyle name="Percent 2 7" xfId="2688"/>
    <cellStyle name="Percent 2 8" xfId="2689"/>
    <cellStyle name="Percent 2 8 2" xfId="2690"/>
    <cellStyle name="Percent 2 8 3" xfId="2691"/>
    <cellStyle name="Percent 2 9" xfId="5278"/>
    <cellStyle name="Percent 2 9 2" xfId="5425"/>
    <cellStyle name="Percent 3" xfId="50"/>
    <cellStyle name="Percent 3 10" xfId="10380"/>
    <cellStyle name="Percent 3 2" xfId="82"/>
    <cellStyle name="Percent 3 2 2" xfId="380"/>
    <cellStyle name="Percent 3 2 3" xfId="2693"/>
    <cellStyle name="Percent 3 2 4" xfId="10404"/>
    <cellStyle name="Percent 3 3" xfId="2694"/>
    <cellStyle name="Percent 3 4" xfId="2695"/>
    <cellStyle name="Percent 3 5" xfId="2696"/>
    <cellStyle name="Percent 3 6" xfId="2697"/>
    <cellStyle name="Percent 3 7" xfId="2698"/>
    <cellStyle name="Percent 3 8" xfId="2699"/>
    <cellStyle name="Percent 3 9" xfId="2692"/>
    <cellStyle name="Percent 4" xfId="55"/>
    <cellStyle name="Percent 4 2" xfId="377"/>
    <cellStyle name="Percent 5" xfId="6454"/>
    <cellStyle name="Porcentaje 2" xfId="20099"/>
    <cellStyle name="Porcentual 2" xfId="45"/>
    <cellStyle name="Prozent 2" xfId="83"/>
    <cellStyle name="Prozent 3" xfId="84"/>
    <cellStyle name="Prozent 4" xfId="85"/>
    <cellStyle name="Prozent 5" xfId="86"/>
    <cellStyle name="Schlecht" xfId="2700"/>
    <cellStyle name="Standard 2" xfId="43"/>
    <cellStyle name="Standard 2 2" xfId="87"/>
    <cellStyle name="Standard 3" xfId="88"/>
    <cellStyle name="Standard 4" xfId="89"/>
    <cellStyle name="Standard 5" xfId="90"/>
    <cellStyle name="Standard_Tabelle1" xfId="4322"/>
    <cellStyle name="Style 1" xfId="4321"/>
    <cellStyle name="Title" xfId="1" builtinId="15" customBuiltin="1"/>
    <cellStyle name="Title 2" xfId="91"/>
    <cellStyle name="Title 2 2" xfId="398"/>
    <cellStyle name="Title 2 3" xfId="2701"/>
    <cellStyle name="Title 2 4" xfId="10405"/>
    <cellStyle name="Title 3" xfId="2702"/>
    <cellStyle name="Title 3 2" xfId="8985"/>
    <cellStyle name="Title 4" xfId="2703"/>
    <cellStyle name="Title 4 10" xfId="2704"/>
    <cellStyle name="Title 4 11" xfId="2705"/>
    <cellStyle name="Title 4 12" xfId="2706"/>
    <cellStyle name="Title 4 2" xfId="2707"/>
    <cellStyle name="Title 4 3" xfId="2708"/>
    <cellStyle name="Title 4 3 2" xfId="2709"/>
    <cellStyle name="Title 4 4" xfId="2710"/>
    <cellStyle name="Title 4 5" xfId="2711"/>
    <cellStyle name="Title 4 6" xfId="2712"/>
    <cellStyle name="Title 4 7" xfId="2713"/>
    <cellStyle name="Title 4 8" xfId="2714"/>
    <cellStyle name="Title 4 9" xfId="2715"/>
    <cellStyle name="Title 5" xfId="4610"/>
    <cellStyle name="Title 5 2" xfId="7413"/>
    <cellStyle name="Title 5 2 2" xfId="9169"/>
    <cellStyle name="Title 6" xfId="4680"/>
    <cellStyle name="Total" xfId="16" builtinId="25" customBuiltin="1"/>
    <cellStyle name="Total 2" xfId="2716"/>
    <cellStyle name="Total 2 2" xfId="5228"/>
    <cellStyle name="Total 2 2 2" xfId="6204"/>
    <cellStyle name="Total 2 2 2 2" xfId="6798"/>
    <cellStyle name="Total 2 2 2 2 2" xfId="9693"/>
    <cellStyle name="Total 2 2 2 2 2 2" xfId="14589"/>
    <cellStyle name="Total 2 2 2 2 2 2 2" xfId="15996"/>
    <cellStyle name="Total 2 2 2 2 3" xfId="12482"/>
    <cellStyle name="Total 2 2 2 2 3 2" xfId="19240"/>
    <cellStyle name="Total 2 2 2 3" xfId="8669"/>
    <cellStyle name="Total 2 2 2 3 2" xfId="13934"/>
    <cellStyle name="Total 2 2 2 3 2 2" xfId="16376"/>
    <cellStyle name="Total 2 2 2 4" xfId="11667"/>
    <cellStyle name="Total 2 2 2 4 2" xfId="18533"/>
    <cellStyle name="Total 2 2 3" xfId="6873"/>
    <cellStyle name="Total 2 2 3 2" xfId="9747"/>
    <cellStyle name="Total 2 2 3 2 2" xfId="14635"/>
    <cellStyle name="Total 2 2 3 2 2 2" xfId="15380"/>
    <cellStyle name="Total 2 2 3 3" xfId="12557"/>
    <cellStyle name="Total 2 2 3 3 2" xfId="19882"/>
    <cellStyle name="Total 2 2 4" xfId="8197"/>
    <cellStyle name="Total 2 2 4 2" xfId="13462"/>
    <cellStyle name="Total 2 2 4 2 2" xfId="18799"/>
    <cellStyle name="Total 2 2 5" xfId="11086"/>
    <cellStyle name="Total 2 2 5 2" xfId="17442"/>
    <cellStyle name="Total 2 3" xfId="5996"/>
    <cellStyle name="Total 2 3 2" xfId="6493"/>
    <cellStyle name="Total 2 3 2 2" xfId="9459"/>
    <cellStyle name="Total 2 3 2 2 2" xfId="14362"/>
    <cellStyle name="Total 2 3 2 2 2 2" xfId="15480"/>
    <cellStyle name="Total 2 3 2 3" xfId="12178"/>
    <cellStyle name="Total 2 3 2 3 2" xfId="17006"/>
    <cellStyle name="Total 2 3 3" xfId="8491"/>
    <cellStyle name="Total 2 3 3 2" xfId="13756"/>
    <cellStyle name="Total 2 3 3 2 2" xfId="16484"/>
    <cellStyle name="Total 2 3 4" xfId="11459"/>
    <cellStyle name="Total 2 3 4 2" xfId="18296"/>
    <cellStyle name="Total 2 4" xfId="6535"/>
    <cellStyle name="Total 2 4 2" xfId="9501"/>
    <cellStyle name="Total 2 4 2 2" xfId="14402"/>
    <cellStyle name="Total 2 4 2 2 2" xfId="15476"/>
    <cellStyle name="Total 2 4 3" xfId="12220"/>
    <cellStyle name="Total 2 4 3 2" xfId="16974"/>
    <cellStyle name="Total 2 5" xfId="7919"/>
    <cellStyle name="Total 2 5 2" xfId="13188"/>
    <cellStyle name="Total 2 5 2 2" xfId="19288"/>
    <cellStyle name="Total 2 6" xfId="10736"/>
    <cellStyle name="Total 2 6 2" xfId="17717"/>
    <cellStyle name="Total 3" xfId="2717"/>
    <cellStyle name="Total 3 10" xfId="2718"/>
    <cellStyle name="Total 3 10 2" xfId="5318"/>
    <cellStyle name="Total 3 10 2 2" xfId="6930"/>
    <cellStyle name="Total 3 10 2 2 2" xfId="9785"/>
    <cellStyle name="Total 3 10 2 2 2 2" xfId="14670"/>
    <cellStyle name="Total 3 10 2 2 2 2 2" xfId="15935"/>
    <cellStyle name="Total 3 10 2 2 3" xfId="12614"/>
    <cellStyle name="Total 3 10 2 2 3 2" xfId="19119"/>
    <cellStyle name="Total 3 10 2 3" xfId="8261"/>
    <cellStyle name="Total 3 10 2 3 2" xfId="13526"/>
    <cellStyle name="Total 3 10 2 3 2 2" xfId="18691"/>
    <cellStyle name="Total 3 10 2 4" xfId="11150"/>
    <cellStyle name="Total 3 10 2 4 2" xfId="17391"/>
    <cellStyle name="Total 3 10 3" xfId="5804"/>
    <cellStyle name="Total 3 10 3 2" xfId="6768"/>
    <cellStyle name="Total 3 10 3 2 2" xfId="9678"/>
    <cellStyle name="Total 3 10 3 2 2 2" xfId="14575"/>
    <cellStyle name="Total 3 10 3 2 2 2 2" xfId="15392"/>
    <cellStyle name="Total 3 10 3 2 3" xfId="12452"/>
    <cellStyle name="Total 3 10 3 2 3 2" xfId="19456"/>
    <cellStyle name="Total 3 10 3 3" xfId="8340"/>
    <cellStyle name="Total 3 10 3 3 2" xfId="13605"/>
    <cellStyle name="Total 3 10 3 3 2 2" xfId="16580"/>
    <cellStyle name="Total 3 10 3 4" xfId="11267"/>
    <cellStyle name="Total 3 10 3 4 2" xfId="18609"/>
    <cellStyle name="Total 3 10 4" xfId="6860"/>
    <cellStyle name="Total 3 10 4 2" xfId="9736"/>
    <cellStyle name="Total 3 10 4 2 2" xfId="14626"/>
    <cellStyle name="Total 3 10 4 2 2 2" xfId="15969"/>
    <cellStyle name="Total 3 10 4 3" xfId="12544"/>
    <cellStyle name="Total 3 10 4 3 2" xfId="19402"/>
    <cellStyle name="Total 3 10 5" xfId="7921"/>
    <cellStyle name="Total 3 10 5 2" xfId="13190"/>
    <cellStyle name="Total 3 10 5 2 2" xfId="19928"/>
    <cellStyle name="Total 3 10 6" xfId="10738"/>
    <cellStyle name="Total 3 10 6 2" xfId="17715"/>
    <cellStyle name="Total 3 11" xfId="2719"/>
    <cellStyle name="Total 3 11 2" xfId="5319"/>
    <cellStyle name="Total 3 11 2 2" xfId="7022"/>
    <cellStyle name="Total 3 11 2 2 2" xfId="9849"/>
    <cellStyle name="Total 3 11 2 2 2 2" xfId="14725"/>
    <cellStyle name="Total 3 11 2 2 2 2 2" xfId="15905"/>
    <cellStyle name="Total 3 11 2 2 3" xfId="12706"/>
    <cellStyle name="Total 3 11 2 2 3 2" xfId="19698"/>
    <cellStyle name="Total 3 11 2 3" xfId="8262"/>
    <cellStyle name="Total 3 11 2 3 2" xfId="13527"/>
    <cellStyle name="Total 3 11 2 3 2 2" xfId="16619"/>
    <cellStyle name="Total 3 11 2 4" xfId="11151"/>
    <cellStyle name="Total 3 11 2 4 2" xfId="17390"/>
    <cellStyle name="Total 3 11 3" xfId="6046"/>
    <cellStyle name="Total 3 11 3 2" xfId="7067"/>
    <cellStyle name="Total 3 11 3 2 2" xfId="9881"/>
    <cellStyle name="Total 3 11 3 2 2 2" xfId="14754"/>
    <cellStyle name="Total 3 11 3 2 2 2 2" xfId="15888"/>
    <cellStyle name="Total 3 11 3 2 3" xfId="12751"/>
    <cellStyle name="Total 3 11 3 2 3 2" xfId="19487"/>
    <cellStyle name="Total 3 11 3 3" xfId="8534"/>
    <cellStyle name="Total 3 11 3 3 2" xfId="13799"/>
    <cellStyle name="Total 3 11 3 3 2 2" xfId="15504"/>
    <cellStyle name="Total 3 11 3 4" xfId="11509"/>
    <cellStyle name="Total 3 11 3 4 2" xfId="19503"/>
    <cellStyle name="Total 3 11 4" xfId="7056"/>
    <cellStyle name="Total 3 11 4 2" xfId="9873"/>
    <cellStyle name="Total 3 11 4 2 2" xfId="14747"/>
    <cellStyle name="Total 3 11 4 2 2 2" xfId="18656"/>
    <cellStyle name="Total 3 11 4 3" xfId="12740"/>
    <cellStyle name="Total 3 11 4 3 2" xfId="19067"/>
    <cellStyle name="Total 3 11 5" xfId="7922"/>
    <cellStyle name="Total 3 11 5 2" xfId="13191"/>
    <cellStyle name="Total 3 11 5 2 2" xfId="19307"/>
    <cellStyle name="Total 3 11 6" xfId="10739"/>
    <cellStyle name="Total 3 11 6 2" xfId="17714"/>
    <cellStyle name="Total 3 12" xfId="2720"/>
    <cellStyle name="Total 3 12 2" xfId="5320"/>
    <cellStyle name="Total 3 12 2 2" xfId="6740"/>
    <cellStyle name="Total 3 12 2 2 2" xfId="9667"/>
    <cellStyle name="Total 3 12 2 2 2 2" xfId="14564"/>
    <cellStyle name="Total 3 12 2 2 2 2 2" xfId="16016"/>
    <cellStyle name="Total 3 12 2 2 3" xfId="12424"/>
    <cellStyle name="Total 3 12 2 2 3 2" xfId="16871"/>
    <cellStyle name="Total 3 12 2 3" xfId="8263"/>
    <cellStyle name="Total 3 12 2 3 2" xfId="13528"/>
    <cellStyle name="Total 3 12 2 3 2 2" xfId="16618"/>
    <cellStyle name="Total 3 12 2 4" xfId="11152"/>
    <cellStyle name="Total 3 12 2 4 2" xfId="17389"/>
    <cellStyle name="Total 3 12 3" xfId="6040"/>
    <cellStyle name="Total 3 12 3 2" xfId="6615"/>
    <cellStyle name="Total 3 12 3 2 2" xfId="9566"/>
    <cellStyle name="Total 3 12 3 2 2 2" xfId="14466"/>
    <cellStyle name="Total 3 12 3 2 2 2 2" xfId="16077"/>
    <cellStyle name="Total 3 12 3 2 3" xfId="12300"/>
    <cellStyle name="Total 3 12 3 2 3 2" xfId="17966"/>
    <cellStyle name="Total 3 12 3 3" xfId="8528"/>
    <cellStyle name="Total 3 12 3 3 2" xfId="13793"/>
    <cellStyle name="Total 3 12 3 3 2 2" xfId="16468"/>
    <cellStyle name="Total 3 12 3 4" xfId="11503"/>
    <cellStyle name="Total 3 12 3 4 2" xfId="19717"/>
    <cellStyle name="Total 3 12 4" xfId="6682"/>
    <cellStyle name="Total 3 12 4 2" xfId="9630"/>
    <cellStyle name="Total 3 12 4 2 2" xfId="14527"/>
    <cellStyle name="Total 3 12 4 2 2 2" xfId="16041"/>
    <cellStyle name="Total 3 12 4 3" xfId="12366"/>
    <cellStyle name="Total 3 12 4 3 2" xfId="16902"/>
    <cellStyle name="Total 3 12 5" xfId="7923"/>
    <cellStyle name="Total 3 12 5 2" xfId="13192"/>
    <cellStyle name="Total 3 12 5 2 2" xfId="19748"/>
    <cellStyle name="Total 3 12 6" xfId="10740"/>
    <cellStyle name="Total 3 12 6 2" xfId="17713"/>
    <cellStyle name="Total 3 13" xfId="5227"/>
    <cellStyle name="Total 3 13 2" xfId="6203"/>
    <cellStyle name="Total 3 13 2 2" xfId="6797"/>
    <cellStyle name="Total 3 13 2 2 2" xfId="9692"/>
    <cellStyle name="Total 3 13 2 2 2 2" xfId="14588"/>
    <cellStyle name="Total 3 13 2 2 2 2 2" xfId="15997"/>
    <cellStyle name="Total 3 13 2 2 3" xfId="12481"/>
    <cellStyle name="Total 3 13 2 2 3 2" xfId="19860"/>
    <cellStyle name="Total 3 13 2 3" xfId="8668"/>
    <cellStyle name="Total 3 13 2 3 2" xfId="13933"/>
    <cellStyle name="Total 3 13 2 3 2 2" xfId="16377"/>
    <cellStyle name="Total 3 13 2 4" xfId="11666"/>
    <cellStyle name="Total 3 13 2 4 2" xfId="19034"/>
    <cellStyle name="Total 3 13 3" xfId="6473"/>
    <cellStyle name="Total 3 13 3 2" xfId="9449"/>
    <cellStyle name="Total 3 13 3 2 2" xfId="14354"/>
    <cellStyle name="Total 3 13 3 2 2 2" xfId="18463"/>
    <cellStyle name="Total 3 13 3 3" xfId="12158"/>
    <cellStyle name="Total 3 13 3 3 2" xfId="17021"/>
    <cellStyle name="Total 3 13 4" xfId="8196"/>
    <cellStyle name="Total 3 13 4 2" xfId="13461"/>
    <cellStyle name="Total 3 13 4 2 2" xfId="18980"/>
    <cellStyle name="Total 3 13 5" xfId="11085"/>
    <cellStyle name="Total 3 13 5 2" xfId="17443"/>
    <cellStyle name="Total 3 14" xfId="5991"/>
    <cellStyle name="Total 3 14 2" xfId="7049"/>
    <cellStyle name="Total 3 14 2 2" xfId="9869"/>
    <cellStyle name="Total 3 14 2 2 2" xfId="14743"/>
    <cellStyle name="Total 3 14 2 2 2 2" xfId="18339"/>
    <cellStyle name="Total 3 14 2 3" xfId="12733"/>
    <cellStyle name="Total 3 14 2 3 2" xfId="19008"/>
    <cellStyle name="Total 3 14 3" xfId="8486"/>
    <cellStyle name="Total 3 14 3 2" xfId="13751"/>
    <cellStyle name="Total 3 14 3 2 2" xfId="16494"/>
    <cellStyle name="Total 3 14 4" xfId="11454"/>
    <cellStyle name="Total 3 14 4 2" xfId="19220"/>
    <cellStyle name="Total 3 15" xfId="6575"/>
    <cellStyle name="Total 3 15 2" xfId="9534"/>
    <cellStyle name="Total 3 15 2 2" xfId="14435"/>
    <cellStyle name="Total 3 15 2 2 2" xfId="17811"/>
    <cellStyle name="Total 3 15 3" xfId="12260"/>
    <cellStyle name="Total 3 15 3 2" xfId="17914"/>
    <cellStyle name="Total 3 16" xfId="7920"/>
    <cellStyle name="Total 3 16 2" xfId="13189"/>
    <cellStyle name="Total 3 16 2 2" xfId="19623"/>
    <cellStyle name="Total 3 17" xfId="10737"/>
    <cellStyle name="Total 3 17 2" xfId="17716"/>
    <cellStyle name="Total 3 2" xfId="2721"/>
    <cellStyle name="Total 3 2 2" xfId="5226"/>
    <cellStyle name="Total 3 2 2 2" xfId="6202"/>
    <cellStyle name="Total 3 2 2 2 2" xfId="6796"/>
    <cellStyle name="Total 3 2 2 2 2 2" xfId="9691"/>
    <cellStyle name="Total 3 2 2 2 2 2 2" xfId="14587"/>
    <cellStyle name="Total 3 2 2 2 2 2 2 2" xfId="15998"/>
    <cellStyle name="Total 3 2 2 2 2 3" xfId="12480"/>
    <cellStyle name="Total 3 2 2 2 2 3 2" xfId="19555"/>
    <cellStyle name="Total 3 2 2 2 3" xfId="8667"/>
    <cellStyle name="Total 3 2 2 2 3 2" xfId="13932"/>
    <cellStyle name="Total 3 2 2 2 3 2 2" xfId="16378"/>
    <cellStyle name="Total 3 2 2 2 4" xfId="11665"/>
    <cellStyle name="Total 3 2 2 2 4 2" xfId="19364"/>
    <cellStyle name="Total 3 2 2 3" xfId="6537"/>
    <cellStyle name="Total 3 2 2 3 2" xfId="9503"/>
    <cellStyle name="Total 3 2 2 3 2 2" xfId="14404"/>
    <cellStyle name="Total 3 2 2 3 2 2 2" xfId="18458"/>
    <cellStyle name="Total 3 2 2 3 3" xfId="12222"/>
    <cellStyle name="Total 3 2 2 3 3 2" xfId="16972"/>
    <cellStyle name="Total 3 2 2 4" xfId="8195"/>
    <cellStyle name="Total 3 2 2 4 2" xfId="13460"/>
    <cellStyle name="Total 3 2 2 4 2 2" xfId="16649"/>
    <cellStyle name="Total 3 2 2 5" xfId="11084"/>
    <cellStyle name="Total 3 2 2 5 2" xfId="17444"/>
    <cellStyle name="Total 3 2 3" xfId="6036"/>
    <cellStyle name="Total 3 2 3 2" xfId="6948"/>
    <cellStyle name="Total 3 2 3 2 2" xfId="9798"/>
    <cellStyle name="Total 3 2 3 2 2 2" xfId="14681"/>
    <cellStyle name="Total 3 2 3 2 2 2 2" xfId="18842"/>
    <cellStyle name="Total 3 2 3 2 3" xfId="12632"/>
    <cellStyle name="Total 3 2 3 2 3 2" xfId="19624"/>
    <cellStyle name="Total 3 2 3 3" xfId="8524"/>
    <cellStyle name="Total 3 2 3 3 2" xfId="13789"/>
    <cellStyle name="Total 3 2 3 3 2 2" xfId="17787"/>
    <cellStyle name="Total 3 2 3 4" xfId="11499"/>
    <cellStyle name="Total 3 2 3 4 2" xfId="18549"/>
    <cellStyle name="Total 3 2 4" xfId="6683"/>
    <cellStyle name="Total 3 2 4 2" xfId="9631"/>
    <cellStyle name="Total 3 2 4 2 2" xfId="14528"/>
    <cellStyle name="Total 3 2 4 2 2 2" xfId="15460"/>
    <cellStyle name="Total 3 2 4 3" xfId="12367"/>
    <cellStyle name="Total 3 2 4 3 2" xfId="16901"/>
    <cellStyle name="Total 3 2 5" xfId="7924"/>
    <cellStyle name="Total 3 2 5 2" xfId="13193"/>
    <cellStyle name="Total 3 2 5 2 2" xfId="20079"/>
    <cellStyle name="Total 3 2 6" xfId="10741"/>
    <cellStyle name="Total 3 2 6 2" xfId="17712"/>
    <cellStyle name="Total 3 3" xfId="2722"/>
    <cellStyle name="Total 3 3 2" xfId="2723"/>
    <cellStyle name="Total 3 3 2 2" xfId="5112"/>
    <cellStyle name="Total 3 3 2 2 2" xfId="6088"/>
    <cellStyle name="Total 3 3 2 2 2 2" xfId="6783"/>
    <cellStyle name="Total 3 3 2 2 2 2 2" xfId="9681"/>
    <cellStyle name="Total 3 3 2 2 2 2 2 2" xfId="14578"/>
    <cellStyle name="Total 3 3 2 2 2 2 2 2 2" xfId="18720"/>
    <cellStyle name="Total 3 3 2 2 2 2 3" xfId="12467"/>
    <cellStyle name="Total 3 3 2 2 2 2 3 2" xfId="19241"/>
    <cellStyle name="Total 3 3 2 2 2 3" xfId="8559"/>
    <cellStyle name="Total 3 3 2 2 2 3 2" xfId="13824"/>
    <cellStyle name="Total 3 3 2 2 2 3 2 2" xfId="18477"/>
    <cellStyle name="Total 3 3 2 2 2 4" xfId="11551"/>
    <cellStyle name="Total 3 3 2 2 2 4 2" xfId="19741"/>
    <cellStyle name="Total 3 3 2 2 3" xfId="6928"/>
    <cellStyle name="Total 3 3 2 2 3 2" xfId="9783"/>
    <cellStyle name="Total 3 3 2 2 3 2 2" xfId="14669"/>
    <cellStyle name="Total 3 3 2 2 3 2 2 2" xfId="15936"/>
    <cellStyle name="Total 3 3 2 2 3 3" xfId="12612"/>
    <cellStyle name="Total 3 3 2 2 3 3 2" xfId="20070"/>
    <cellStyle name="Total 3 3 2 2 4" xfId="8087"/>
    <cellStyle name="Total 3 3 2 2 4 2" xfId="13352"/>
    <cellStyle name="Total 3 3 2 2 4 2 2" xfId="16708"/>
    <cellStyle name="Total 3 3 2 2 5" xfId="10970"/>
    <cellStyle name="Total 3 3 2 2 5 2" xfId="18330"/>
    <cellStyle name="Total 3 3 2 3" xfId="5946"/>
    <cellStyle name="Total 3 3 2 3 2" xfId="6762"/>
    <cellStyle name="Total 3 3 2 3 2 2" xfId="9675"/>
    <cellStyle name="Total 3 3 2 3 2 2 2" xfId="14572"/>
    <cellStyle name="Total 3 3 2 3 2 2 2 2" xfId="16008"/>
    <cellStyle name="Total 3 3 2 3 2 3" xfId="12446"/>
    <cellStyle name="Total 3 3 2 3 2 3 2" xfId="19926"/>
    <cellStyle name="Total 3 3 2 3 3" xfId="8442"/>
    <cellStyle name="Total 3 3 2 3 3 2" xfId="13707"/>
    <cellStyle name="Total 3 3 2 3 3 2 2" xfId="16514"/>
    <cellStyle name="Total 3 3 2 3 4" xfId="11409"/>
    <cellStyle name="Total 3 3 2 3 4 2" xfId="18951"/>
    <cellStyle name="Total 3 3 2 4" xfId="7057"/>
    <cellStyle name="Total 3 3 2 4 2" xfId="9874"/>
    <cellStyle name="Total 3 3 2 4 2 2" xfId="14748"/>
    <cellStyle name="Total 3 3 2 4 2 2 2" xfId="15894"/>
    <cellStyle name="Total 3 3 2 4 3" xfId="12741"/>
    <cellStyle name="Total 3 3 2 4 3 2" xfId="18559"/>
    <cellStyle name="Total 3 3 2 5" xfId="7926"/>
    <cellStyle name="Total 3 3 2 5 2" xfId="13195"/>
    <cellStyle name="Total 3 3 2 5 2 2" xfId="19463"/>
    <cellStyle name="Total 3 3 2 6" xfId="10743"/>
    <cellStyle name="Total 3 3 2 6 2" xfId="18100"/>
    <cellStyle name="Total 3 3 3" xfId="5113"/>
    <cellStyle name="Total 3 3 3 2" xfId="6089"/>
    <cellStyle name="Total 3 3 3 2 2" xfId="6784"/>
    <cellStyle name="Total 3 3 3 2 2 2" xfId="9682"/>
    <cellStyle name="Total 3 3 3 2 2 2 2" xfId="14579"/>
    <cellStyle name="Total 3 3 3 2 2 2 2 2" xfId="17981"/>
    <cellStyle name="Total 3 3 3 2 2 3" xfId="12468"/>
    <cellStyle name="Total 3 3 3 2 2 3 2" xfId="19733"/>
    <cellStyle name="Total 3 3 3 2 3" xfId="8560"/>
    <cellStyle name="Total 3 3 3 2 3 2" xfId="13825"/>
    <cellStyle name="Total 3 3 3 2 3 2 2" xfId="18165"/>
    <cellStyle name="Total 3 3 3 2 4" xfId="11552"/>
    <cellStyle name="Total 3 3 3 2 4 2" xfId="20043"/>
    <cellStyle name="Total 3 3 3 3" xfId="7703"/>
    <cellStyle name="Total 3 3 3 3 2" xfId="10095"/>
    <cellStyle name="Total 3 3 3 3 2 2" xfId="14937"/>
    <cellStyle name="Total 3 3 3 3 2 2 2" xfId="15451"/>
    <cellStyle name="Total 3 3 3 3 3" xfId="12980"/>
    <cellStyle name="Total 3 3 3 3 3 2" xfId="19017"/>
    <cellStyle name="Total 3 3 3 4" xfId="8088"/>
    <cellStyle name="Total 3 3 3 4 2" xfId="13353"/>
    <cellStyle name="Total 3 3 3 4 2 2" xfId="16707"/>
    <cellStyle name="Total 3 3 3 5" xfId="10971"/>
    <cellStyle name="Total 3 3 3 5 2" xfId="18283"/>
    <cellStyle name="Total 3 3 4" xfId="6005"/>
    <cellStyle name="Total 3 3 4 2" xfId="6763"/>
    <cellStyle name="Total 3 3 4 2 2" xfId="9676"/>
    <cellStyle name="Total 3 3 4 2 2 2" xfId="14573"/>
    <cellStyle name="Total 3 3 4 2 2 2 2" xfId="16007"/>
    <cellStyle name="Total 3 3 4 2 3" xfId="12447"/>
    <cellStyle name="Total 3 3 4 2 3 2" xfId="19305"/>
    <cellStyle name="Total 3 3 4 3" xfId="8500"/>
    <cellStyle name="Total 3 3 4 3 2" xfId="13765"/>
    <cellStyle name="Total 3 3 4 3 2 2" xfId="15509"/>
    <cellStyle name="Total 3 3 4 4" xfId="11468"/>
    <cellStyle name="Total 3 3 4 4 2" xfId="19581"/>
    <cellStyle name="Total 3 3 5" xfId="6972"/>
    <cellStyle name="Total 3 3 5 2" xfId="9815"/>
    <cellStyle name="Total 3 3 5 2 2" xfId="14695"/>
    <cellStyle name="Total 3 3 5 2 2 2" xfId="18660"/>
    <cellStyle name="Total 3 3 5 3" xfId="12656"/>
    <cellStyle name="Total 3 3 5 3 2" xfId="19129"/>
    <cellStyle name="Total 3 3 6" xfId="7925"/>
    <cellStyle name="Total 3 3 6 2" xfId="13194"/>
    <cellStyle name="Total 3 3 6 2 2" xfId="20084"/>
    <cellStyle name="Total 3 3 7" xfId="10742"/>
    <cellStyle name="Total 3 3 7 2" xfId="17711"/>
    <cellStyle name="Total 3 4" xfId="2724"/>
    <cellStyle name="Total 3 4 2" xfId="5321"/>
    <cellStyle name="Total 3 4 2 2" xfId="6823"/>
    <cellStyle name="Total 3 4 2 2 2" xfId="9714"/>
    <cellStyle name="Total 3 4 2 2 2 2" xfId="14606"/>
    <cellStyle name="Total 3 4 2 2 2 2 2" xfId="15984"/>
    <cellStyle name="Total 3 4 2 2 3" xfId="12507"/>
    <cellStyle name="Total 3 4 2 2 3 2" xfId="18404"/>
    <cellStyle name="Total 3 4 2 3" xfId="8264"/>
    <cellStyle name="Total 3 4 2 3 2" xfId="13529"/>
    <cellStyle name="Total 3 4 2 3 2 2" xfId="16617"/>
    <cellStyle name="Total 3 4 2 4" xfId="11153"/>
    <cellStyle name="Total 3 4 2 4 2" xfId="18616"/>
    <cellStyle name="Total 3 4 3" xfId="5912"/>
    <cellStyle name="Total 3 4 3 2" xfId="6621"/>
    <cellStyle name="Total 3 4 3 2 2" xfId="9570"/>
    <cellStyle name="Total 3 4 3 2 2 2" xfId="14470"/>
    <cellStyle name="Total 3 4 3 2 2 2 2" xfId="16073"/>
    <cellStyle name="Total 3 4 3 2 3" xfId="12306"/>
    <cellStyle name="Total 3 4 3 2 3 2" xfId="16930"/>
    <cellStyle name="Total 3 4 3 3" xfId="8414"/>
    <cellStyle name="Total 3 4 3 3 2" xfId="13679"/>
    <cellStyle name="Total 3 4 3 3 2 2" xfId="18179"/>
    <cellStyle name="Total 3 4 3 4" xfId="11375"/>
    <cellStyle name="Total 3 4 3 4 2" xfId="18734"/>
    <cellStyle name="Total 3 4 4" xfId="6822"/>
    <cellStyle name="Total 3 4 4 2" xfId="9713"/>
    <cellStyle name="Total 3 4 4 2 2" xfId="14605"/>
    <cellStyle name="Total 3 4 4 2 2 2" xfId="15985"/>
    <cellStyle name="Total 3 4 4 3" xfId="12506"/>
    <cellStyle name="Total 3 4 4 3 2" xfId="18381"/>
    <cellStyle name="Total 3 4 5" xfId="7927"/>
    <cellStyle name="Total 3 4 5 2" xfId="13196"/>
    <cellStyle name="Total 3 4 5 2 2" xfId="19458"/>
    <cellStyle name="Total 3 4 6" xfId="10744"/>
    <cellStyle name="Total 3 4 6 2" xfId="18032"/>
    <cellStyle name="Total 3 5" xfId="2725"/>
    <cellStyle name="Total 3 5 2" xfId="5322"/>
    <cellStyle name="Total 3 5 2 2" xfId="6887"/>
    <cellStyle name="Total 3 5 2 2 2" xfId="9755"/>
    <cellStyle name="Total 3 5 2 2 2 2" xfId="14643"/>
    <cellStyle name="Total 3 5 2 2 2 2 2" xfId="15957"/>
    <cellStyle name="Total 3 5 2 2 3" xfId="12571"/>
    <cellStyle name="Total 3 5 2 2 3 2" xfId="19613"/>
    <cellStyle name="Total 3 5 2 3" xfId="8265"/>
    <cellStyle name="Total 3 5 2 3 2" xfId="13530"/>
    <cellStyle name="Total 3 5 2 3 2 2" xfId="18871"/>
    <cellStyle name="Total 3 5 2 4" xfId="11154"/>
    <cellStyle name="Total 3 5 2 4 2" xfId="18593"/>
    <cellStyle name="Total 3 5 3" xfId="5911"/>
    <cellStyle name="Total 3 5 3 2" xfId="6584"/>
    <cellStyle name="Total 3 5 3 2 2" xfId="9540"/>
    <cellStyle name="Total 3 5 3 2 2 2" xfId="14441"/>
    <cellStyle name="Total 3 5 3 2 2 2 2" xfId="15473"/>
    <cellStyle name="Total 3 5 3 2 3" xfId="12269"/>
    <cellStyle name="Total 3 5 3 2 3 2" xfId="17892"/>
    <cellStyle name="Total 3 5 3 3" xfId="8413"/>
    <cellStyle name="Total 3 5 3 3 2" xfId="13678"/>
    <cellStyle name="Total 3 5 3 3 2 2" xfId="18491"/>
    <cellStyle name="Total 3 5 3 4" xfId="11374"/>
    <cellStyle name="Total 3 5 3 4 2" xfId="18915"/>
    <cellStyle name="Total 3 5 4" xfId="6967"/>
    <cellStyle name="Total 3 5 4 2" xfId="9812"/>
    <cellStyle name="Total 3 5 4 2 2" xfId="14692"/>
    <cellStyle name="Total 3 5 4 2 2 2" xfId="18051"/>
    <cellStyle name="Total 3 5 4 3" xfId="12651"/>
    <cellStyle name="Total 3 5 4 3 2" xfId="19312"/>
    <cellStyle name="Total 3 5 5" xfId="7928"/>
    <cellStyle name="Total 3 5 5 2" xfId="13197"/>
    <cellStyle name="Total 3 5 5 2 2" xfId="20050"/>
    <cellStyle name="Total 3 5 6" xfId="10745"/>
    <cellStyle name="Total 3 5 6 2" xfId="17710"/>
    <cellStyle name="Total 3 6" xfId="2726"/>
    <cellStyle name="Total 3 6 2" xfId="5323"/>
    <cellStyle name="Total 3 6 2 2" xfId="6904"/>
    <cellStyle name="Total 3 6 2 2 2" xfId="9765"/>
    <cellStyle name="Total 3 6 2 2 2 2" xfId="14652"/>
    <cellStyle name="Total 3 6 2 2 2 2 2" xfId="15948"/>
    <cellStyle name="Total 3 6 2 2 3" xfId="12588"/>
    <cellStyle name="Total 3 6 2 2 3 2" xfId="16858"/>
    <cellStyle name="Total 3 6 2 3" xfId="8266"/>
    <cellStyle name="Total 3 6 2 3 2" xfId="13531"/>
    <cellStyle name="Total 3 6 2 3 2 2" xfId="18690"/>
    <cellStyle name="Total 3 6 2 4" xfId="11155"/>
    <cellStyle name="Total 3 6 2 4 2" xfId="18322"/>
    <cellStyle name="Total 3 6 3" xfId="5910"/>
    <cellStyle name="Total 3 6 3 2" xfId="6545"/>
    <cellStyle name="Total 3 6 3 2 2" xfId="9506"/>
    <cellStyle name="Total 3 6 3 2 2 2" xfId="14407"/>
    <cellStyle name="Total 3 6 3 2 2 2 2" xfId="16112"/>
    <cellStyle name="Total 3 6 3 2 3" xfId="12230"/>
    <cellStyle name="Total 3 6 3 2 3 2" xfId="16967"/>
    <cellStyle name="Total 3 6 3 3" xfId="8412"/>
    <cellStyle name="Total 3 6 3 3 2" xfId="13677"/>
    <cellStyle name="Total 3 6 3 3 2 2" xfId="16532"/>
    <cellStyle name="Total 3 6 3 4" xfId="11373"/>
    <cellStyle name="Total 3 6 3 4 2" xfId="19126"/>
    <cellStyle name="Total 3 6 4" xfId="6536"/>
    <cellStyle name="Total 3 6 4 2" xfId="9502"/>
    <cellStyle name="Total 3 6 4 2 2" xfId="14403"/>
    <cellStyle name="Total 3 6 4 2 2 2" xfId="16113"/>
    <cellStyle name="Total 3 6 4 3" xfId="12221"/>
    <cellStyle name="Total 3 6 4 3 2" xfId="16973"/>
    <cellStyle name="Total 3 6 5" xfId="7929"/>
    <cellStyle name="Total 3 6 5 2" xfId="13198"/>
    <cellStyle name="Total 3 6 5 2 2" xfId="19429"/>
    <cellStyle name="Total 3 6 6" xfId="10746"/>
    <cellStyle name="Total 3 6 6 2" xfId="17709"/>
    <cellStyle name="Total 3 7" xfId="2727"/>
    <cellStyle name="Total 3 7 2" xfId="5324"/>
    <cellStyle name="Total 3 7 2 2" xfId="6577"/>
    <cellStyle name="Total 3 7 2 2 2" xfId="9536"/>
    <cellStyle name="Total 3 7 2 2 2 2" xfId="14437"/>
    <cellStyle name="Total 3 7 2 2 2 2 2" xfId="16094"/>
    <cellStyle name="Total 3 7 2 2 3" xfId="12262"/>
    <cellStyle name="Total 3 7 2 2 3 2" xfId="17926"/>
    <cellStyle name="Total 3 7 2 3" xfId="8267"/>
    <cellStyle name="Total 3 7 2 3 2" xfId="13532"/>
    <cellStyle name="Total 3 7 2 3 2 2" xfId="16616"/>
    <cellStyle name="Total 3 7 2 4" xfId="11156"/>
    <cellStyle name="Total 3 7 2 4 2" xfId="18275"/>
    <cellStyle name="Total 3 7 3" xfId="5909"/>
    <cellStyle name="Total 3 7 3 2" xfId="7038"/>
    <cellStyle name="Total 3 7 3 2 2" xfId="9862"/>
    <cellStyle name="Total 3 7 3 2 2 2" xfId="14737"/>
    <cellStyle name="Total 3 7 3 2 2 2 2" xfId="15899"/>
    <cellStyle name="Total 3 7 3 2 3" xfId="12722"/>
    <cellStyle name="Total 3 7 3 2 3 2" xfId="19989"/>
    <cellStyle name="Total 3 7 3 3" xfId="8411"/>
    <cellStyle name="Total 3 7 3 3 2" xfId="13676"/>
    <cellStyle name="Total 3 7 3 3 2 2" xfId="15517"/>
    <cellStyle name="Total 3 7 3 4" xfId="11372"/>
    <cellStyle name="Total 3 7 3 4 2" xfId="19774"/>
    <cellStyle name="Total 3 7 4" xfId="6576"/>
    <cellStyle name="Total 3 7 4 2" xfId="9535"/>
    <cellStyle name="Total 3 7 4 2 2" xfId="14436"/>
    <cellStyle name="Total 3 7 4 2 2 2" xfId="16095"/>
    <cellStyle name="Total 3 7 4 3" xfId="12261"/>
    <cellStyle name="Total 3 7 4 3 2" xfId="16952"/>
    <cellStyle name="Total 3 7 5" xfId="7930"/>
    <cellStyle name="Total 3 7 5 2" xfId="13199"/>
    <cellStyle name="Total 3 7 5 2 2" xfId="19099"/>
    <cellStyle name="Total 3 7 6" xfId="10747"/>
    <cellStyle name="Total 3 7 6 2" xfId="18099"/>
    <cellStyle name="Total 3 8" xfId="2728"/>
    <cellStyle name="Total 3 8 2" xfId="5325"/>
    <cellStyle name="Total 3 8 2 2" xfId="6874"/>
    <cellStyle name="Total 3 8 2 2 2" xfId="9748"/>
    <cellStyle name="Total 3 8 2 2 2 2" xfId="14636"/>
    <cellStyle name="Total 3 8 2 2 2 2 2" xfId="18060"/>
    <cellStyle name="Total 3 8 2 2 3" xfId="12558"/>
    <cellStyle name="Total 3 8 2 2 3 2" xfId="19261"/>
    <cellStyle name="Total 3 8 2 3" xfId="8268"/>
    <cellStyle name="Total 3 8 2 3 2" xfId="13533"/>
    <cellStyle name="Total 3 8 2 3 2 2" xfId="18870"/>
    <cellStyle name="Total 3 8 2 4" xfId="11157"/>
    <cellStyle name="Total 3 8 2 4 2" xfId="17388"/>
    <cellStyle name="Total 3 8 3" xfId="5908"/>
    <cellStyle name="Total 3 8 3 2" xfId="6959"/>
    <cellStyle name="Total 3 8 3 2 2" xfId="9806"/>
    <cellStyle name="Total 3 8 3 2 2 2" xfId="14686"/>
    <cellStyle name="Total 3 8 3 2 2 2 2" xfId="15926"/>
    <cellStyle name="Total 3 8 3 2 3" xfId="12643"/>
    <cellStyle name="Total 3 8 3 2 3 2" xfId="19866"/>
    <cellStyle name="Total 3 8 3 3" xfId="8410"/>
    <cellStyle name="Total 3 8 3 3 2" xfId="13675"/>
    <cellStyle name="Total 3 8 3 3 2 2" xfId="16539"/>
    <cellStyle name="Total 3 8 3 4" xfId="11371"/>
    <cellStyle name="Total 3 8 3 4 2" xfId="19315"/>
    <cellStyle name="Total 3 8 4" xfId="6618"/>
    <cellStyle name="Total 3 8 4 2" xfId="9567"/>
    <cellStyle name="Total 3 8 4 2 2" xfId="14467"/>
    <cellStyle name="Total 3 8 4 2 2 2" xfId="16076"/>
    <cellStyle name="Total 3 8 4 3" xfId="12303"/>
    <cellStyle name="Total 3 8 4 3 2" xfId="16933"/>
    <cellStyle name="Total 3 8 5" xfId="7931"/>
    <cellStyle name="Total 3 8 5 2" xfId="13200"/>
    <cellStyle name="Total 3 8 5 2 2" xfId="18636"/>
    <cellStyle name="Total 3 8 6" xfId="10748"/>
    <cellStyle name="Total 3 8 6 2" xfId="18031"/>
    <cellStyle name="Total 3 9" xfId="2729"/>
    <cellStyle name="Total 3 9 2" xfId="5326"/>
    <cellStyle name="Total 3 9 2 2" xfId="6888"/>
    <cellStyle name="Total 3 9 2 2 2" xfId="9756"/>
    <cellStyle name="Total 3 9 2 2 2 2" xfId="14644"/>
    <cellStyle name="Total 3 9 2 2 2 2 2" xfId="15956"/>
    <cellStyle name="Total 3 9 2 2 3" xfId="12572"/>
    <cellStyle name="Total 3 9 2 2 3 2" xfId="19918"/>
    <cellStyle name="Total 3 9 2 3" xfId="8269"/>
    <cellStyle name="Total 3 9 2 3 2" xfId="13534"/>
    <cellStyle name="Total 3 9 2 3 2 2" xfId="18689"/>
    <cellStyle name="Total 3 9 2 4" xfId="11158"/>
    <cellStyle name="Total 3 9 2 4 2" xfId="17387"/>
    <cellStyle name="Total 3 9 3" xfId="5907"/>
    <cellStyle name="Total 3 9 3 2" xfId="7041"/>
    <cellStyle name="Total 3 9 3 2 2" xfId="9864"/>
    <cellStyle name="Total 3 9 3 2 2 2" xfId="14739"/>
    <cellStyle name="Total 3 9 3 2 2 2 2" xfId="15897"/>
    <cellStyle name="Total 3 9 3 2 3" xfId="12725"/>
    <cellStyle name="Total 3 9 3 2 3 2" xfId="18292"/>
    <cellStyle name="Total 3 9 3 3" xfId="8409"/>
    <cellStyle name="Total 3 9 3 3 2" xfId="13674"/>
    <cellStyle name="Total 3 9 3 3 2 2" xfId="16540"/>
    <cellStyle name="Total 3 9 3 4" xfId="11370"/>
    <cellStyle name="Total 3 9 3 4 2" xfId="19936"/>
    <cellStyle name="Total 3 9 4" xfId="6973"/>
    <cellStyle name="Total 3 9 4 2" xfId="9816"/>
    <cellStyle name="Total 3 9 4 2 2" xfId="14696"/>
    <cellStyle name="Total 3 9 4 2 2 2" xfId="15922"/>
    <cellStyle name="Total 3 9 4 3" xfId="12657"/>
    <cellStyle name="Total 3 9 4 3 2" xfId="18988"/>
    <cellStyle name="Total 3 9 5" xfId="7932"/>
    <cellStyle name="Total 3 9 5 2" xfId="13201"/>
    <cellStyle name="Total 3 9 5 2 2" xfId="18571"/>
    <cellStyle name="Total 3 9 6" xfId="10749"/>
    <cellStyle name="Total 3 9 6 2" xfId="17708"/>
    <cellStyle name="Total 4" xfId="4624"/>
    <cellStyle name="Total 4 2" xfId="5374"/>
    <cellStyle name="Total 4 2 2" xfId="7520"/>
    <cellStyle name="Total 4 2 2 2" xfId="6986"/>
    <cellStyle name="Total 4 2 2 2 2" xfId="9827"/>
    <cellStyle name="Total 4 2 2 2 2 2" xfId="12670"/>
    <cellStyle name="Total 4 2 2 2 2 2 2" xfId="19635"/>
    <cellStyle name="Total 4 2 2 2 3" xfId="9281"/>
    <cellStyle name="Total 4 2 2 2 3 2" xfId="14278"/>
    <cellStyle name="Total 4 2 2 2 3 2 2" xfId="18158"/>
    <cellStyle name="Total 4 2 2 2 4" xfId="12059"/>
    <cellStyle name="Total 4 2 2 2 4 2" xfId="17089"/>
    <cellStyle name="Total 4 2 2 3" xfId="8917"/>
    <cellStyle name="Total 4 2 2 3 2" xfId="14156"/>
    <cellStyle name="Total 4 2 2 3 2 2" xfId="18946"/>
    <cellStyle name="Total 4 2 2 4" xfId="11917"/>
    <cellStyle name="Total 4 2 2 4 2" xfId="17183"/>
    <cellStyle name="Total 4 2 3" xfId="6848"/>
    <cellStyle name="Total 4 2 3 2" xfId="9726"/>
    <cellStyle name="Total 4 2 3 2 2" xfId="14617"/>
    <cellStyle name="Total 4 2 3 2 2 2" xfId="18911"/>
    <cellStyle name="Total 4 2 3 3" xfId="12532"/>
    <cellStyle name="Total 4 2 3 3 2" xfId="19525"/>
    <cellStyle name="Total 4 2 4" xfId="8289"/>
    <cellStyle name="Total 4 2 4 2" xfId="13554"/>
    <cellStyle name="Total 4 2 4 2 2" xfId="18869"/>
    <cellStyle name="Total 4 2 5" xfId="11206"/>
    <cellStyle name="Total 4 2 5 2" xfId="17347"/>
    <cellStyle name="Total 4 3" xfId="5794"/>
    <cellStyle name="Total 4 3 2" xfId="7609"/>
    <cellStyle name="Total 4 3 2 2" xfId="6979"/>
    <cellStyle name="Total 4 3 2 2 2" xfId="9821"/>
    <cellStyle name="Total 4 3 2 2 2 2" xfId="12663"/>
    <cellStyle name="Total 4 3 2 2 2 2 2" xfId="19725"/>
    <cellStyle name="Total 4 3 2 2 3" xfId="9370"/>
    <cellStyle name="Total 4 3 2 2 3 2" xfId="14294"/>
    <cellStyle name="Total 4 3 2 2 3 2 2" xfId="16177"/>
    <cellStyle name="Total 4 3 2 2 4" xfId="12076"/>
    <cellStyle name="Total 4 3 2 2 4 2" xfId="17081"/>
    <cellStyle name="Total 4 3 2 3" xfId="8933"/>
    <cellStyle name="Total 4 3 2 3 2" xfId="14172"/>
    <cellStyle name="Total 4 3 2 3 2 2" xfId="18851"/>
    <cellStyle name="Total 4 3 2 4" xfId="11934"/>
    <cellStyle name="Total 4 3 2 4 2" xfId="17173"/>
    <cellStyle name="Total 4 3 3" xfId="7674"/>
    <cellStyle name="Total 4 3 3 2" xfId="10071"/>
    <cellStyle name="Total 4 3 3 2 2" xfId="14915"/>
    <cellStyle name="Total 4 3 3 2 2 2" xfId="18217"/>
    <cellStyle name="Total 4 3 3 3" xfId="12951"/>
    <cellStyle name="Total 4 3 3 3 2" xfId="19786"/>
    <cellStyle name="Total 4 3 4" xfId="8331"/>
    <cellStyle name="Total 4 3 4 2" xfId="13596"/>
    <cellStyle name="Total 4 3 4 2 2" xfId="16585"/>
    <cellStyle name="Total 4 3 5" xfId="11257"/>
    <cellStyle name="Total 4 3 5 2" xfId="17309"/>
    <cellStyle name="Total 4 4" xfId="7426"/>
    <cellStyle name="Total 4 4 2" xfId="6613"/>
    <cellStyle name="Total 4 4 2 2" xfId="9565"/>
    <cellStyle name="Total 4 4 2 2 2" xfId="12298"/>
    <cellStyle name="Total 4 4 2 2 2 2" xfId="17759"/>
    <cellStyle name="Total 4 4 2 3" xfId="9182"/>
    <cellStyle name="Total 4 4 2 3 2" xfId="14251"/>
    <cellStyle name="Total 4 4 2 3 2 2" xfId="19141"/>
    <cellStyle name="Total 4 4 2 4" xfId="12022"/>
    <cellStyle name="Total 4 4 2 4 2" xfId="17112"/>
    <cellStyle name="Total 4 4 3" xfId="8886"/>
    <cellStyle name="Total 4 4 3 2" xfId="14125"/>
    <cellStyle name="Total 4 4 3 2 2" xfId="16262"/>
    <cellStyle name="Total 4 4 4" xfId="11885"/>
    <cellStyle name="Total 4 4 4 2" xfId="17201"/>
    <cellStyle name="Total 4 5" xfId="6605"/>
    <cellStyle name="Total 4 5 2" xfId="9557"/>
    <cellStyle name="Total 4 5 2 2" xfId="14458"/>
    <cellStyle name="Total 4 5 2 2 2" xfId="16081"/>
    <cellStyle name="Total 4 5 3" xfId="12290"/>
    <cellStyle name="Total 4 5 3 2" xfId="16938"/>
    <cellStyle name="Total 4 6" xfId="8061"/>
    <cellStyle name="Total 4 6 2" xfId="13326"/>
    <cellStyle name="Total 4 6 2 2" xfId="16721"/>
    <cellStyle name="Total 4 7" xfId="10924"/>
    <cellStyle name="Total 4 7 2" xfId="17568"/>
    <cellStyle name="Total 5" xfId="4723"/>
    <cellStyle name="Total 5 2" xfId="5381"/>
    <cellStyle name="Total 5 2 2" xfId="6836"/>
    <cellStyle name="Total 5 2 2 2" xfId="9719"/>
    <cellStyle name="Total 5 2 2 2 2" xfId="14610"/>
    <cellStyle name="Total 5 2 2 2 2 2" xfId="15980"/>
    <cellStyle name="Total 5 2 2 3" xfId="12520"/>
    <cellStyle name="Total 5 2 2 3 2" xfId="19671"/>
    <cellStyle name="Total 5 2 3" xfId="8295"/>
    <cellStyle name="Total 5 2 3 2" xfId="13560"/>
    <cellStyle name="Total 5 2 3 2 2" xfId="18687"/>
    <cellStyle name="Total 5 2 4" xfId="11213"/>
    <cellStyle name="Total 5 2 4 2" xfId="17344"/>
    <cellStyle name="Total 5 3" xfId="6012"/>
    <cellStyle name="Total 5 3 2" xfId="7036"/>
    <cellStyle name="Total 5 3 2 2" xfId="9860"/>
    <cellStyle name="Total 5 3 2 2 2" xfId="14735"/>
    <cellStyle name="Total 5 3 2 2 2 2" xfId="15901"/>
    <cellStyle name="Total 5 3 2 3" xfId="12720"/>
    <cellStyle name="Total 5 3 2 3 2" xfId="19217"/>
    <cellStyle name="Total 5 3 3" xfId="8502"/>
    <cellStyle name="Total 5 3 3 2" xfId="13767"/>
    <cellStyle name="Total 5 3 3 2 2" xfId="18482"/>
    <cellStyle name="Total 5 3 4" xfId="11475"/>
    <cellStyle name="Total 5 3 4 2" xfId="18548"/>
    <cellStyle name="Total 5 4" xfId="7018"/>
    <cellStyle name="Total 5 4 2" xfId="9846"/>
    <cellStyle name="Total 5 4 2 2" xfId="14722"/>
    <cellStyle name="Total 5 4 2 2 2" xfId="15908"/>
    <cellStyle name="Total 5 4 3" xfId="12702"/>
    <cellStyle name="Total 5 4 3 2" xfId="16846"/>
    <cellStyle name="Total 5 5" xfId="8067"/>
    <cellStyle name="Total 5 5 2" xfId="13332"/>
    <cellStyle name="Total 5 5 2 2" xfId="18375"/>
    <cellStyle name="Total 5 6" xfId="10931"/>
    <cellStyle name="Total 5 6 2" xfId="17561"/>
    <cellStyle name="Überschrift" xfId="2730"/>
    <cellStyle name="Überschrift 1" xfId="2731"/>
    <cellStyle name="Überschrift 2" xfId="2732"/>
    <cellStyle name="Überschrift 3" xfId="2733"/>
    <cellStyle name="Überschrift 4" xfId="2734"/>
    <cellStyle name="Verknüpfte Zelle" xfId="2735"/>
    <cellStyle name="Warnender Text" xfId="2736"/>
    <cellStyle name="Warning Text" xfId="14" builtinId="11" customBuiltin="1"/>
    <cellStyle name="Warning Text 2" xfId="2737"/>
    <cellStyle name="Warning Text 3" xfId="2738"/>
    <cellStyle name="Warning Text 3 10" xfId="2739"/>
    <cellStyle name="Warning Text 3 11" xfId="2740"/>
    <cellStyle name="Warning Text 3 12" xfId="2741"/>
    <cellStyle name="Warning Text 3 2" xfId="2742"/>
    <cellStyle name="Warning Text 3 3" xfId="2743"/>
    <cellStyle name="Warning Text 3 3 2" xfId="2744"/>
    <cellStyle name="Warning Text 3 4" xfId="2745"/>
    <cellStyle name="Warning Text 3 5" xfId="2746"/>
    <cellStyle name="Warning Text 3 6" xfId="2747"/>
    <cellStyle name="Warning Text 3 7" xfId="2748"/>
    <cellStyle name="Warning Text 3 8" xfId="2749"/>
    <cellStyle name="Warning Text 3 9" xfId="2750"/>
    <cellStyle name="Warning Text 4" xfId="4618"/>
    <cellStyle name="Warning Text 4 2" xfId="7421"/>
    <cellStyle name="Warning Text 4 2 2" xfId="9177"/>
    <cellStyle name="Warning Text 5" xfId="4733"/>
    <cellStyle name="Zelle überprüfen" xfId="2751"/>
    <cellStyle name="강조색1" xfId="2752"/>
    <cellStyle name="강조색1 2" xfId="227"/>
    <cellStyle name="강조색1 2 2" xfId="2754"/>
    <cellStyle name="강조색1 2 3" xfId="2755"/>
    <cellStyle name="강조색1 2 3 2" xfId="2756"/>
    <cellStyle name="강조색1 2 3 3" xfId="2757"/>
    <cellStyle name="강조색1 2 3 4" xfId="2758"/>
    <cellStyle name="강조색1 2 3 5" xfId="4199"/>
    <cellStyle name="강조색1 2 3 6" xfId="4881"/>
    <cellStyle name="강조색1 2 3 7" xfId="5661"/>
    <cellStyle name="강조색1 2 4" xfId="2753"/>
    <cellStyle name="강조색1 3" xfId="228"/>
    <cellStyle name="강조색1 3 2" xfId="2760"/>
    <cellStyle name="강조색1 3 3" xfId="2761"/>
    <cellStyle name="강조색1 3 3 2" xfId="2762"/>
    <cellStyle name="강조색1 3 3 3" xfId="2763"/>
    <cellStyle name="강조색1 3 3 4" xfId="2764"/>
    <cellStyle name="강조색1 3 3 5" xfId="4198"/>
    <cellStyle name="강조색1 3 3 6" xfId="4882"/>
    <cellStyle name="강조색1 3 3 7" xfId="5662"/>
    <cellStyle name="강조색1 3 4" xfId="2759"/>
    <cellStyle name="강조색1 4" xfId="229"/>
    <cellStyle name="강조색1 4 2" xfId="2766"/>
    <cellStyle name="강조색1 4 3" xfId="2767"/>
    <cellStyle name="강조색1 4 3 2" xfId="2768"/>
    <cellStyle name="강조색1 4 3 3" xfId="2769"/>
    <cellStyle name="강조색1 4 3 4" xfId="2770"/>
    <cellStyle name="강조색1 4 3 5" xfId="4197"/>
    <cellStyle name="강조색1 4 3 6" xfId="4883"/>
    <cellStyle name="강조색1 4 3 7" xfId="5663"/>
    <cellStyle name="강조색1 4 4" xfId="2765"/>
    <cellStyle name="강조색1 5" xfId="230"/>
    <cellStyle name="강조색1 5 2" xfId="2772"/>
    <cellStyle name="강조색1 5 3" xfId="2773"/>
    <cellStyle name="강조색1 5 3 2" xfId="2774"/>
    <cellStyle name="강조색1 5 3 3" xfId="2775"/>
    <cellStyle name="강조색1 5 3 4" xfId="2776"/>
    <cellStyle name="강조색1 5 3 5" xfId="4196"/>
    <cellStyle name="강조색1 5 3 6" xfId="4884"/>
    <cellStyle name="강조색1 5 3 7" xfId="5664"/>
    <cellStyle name="강조색1 5 4" xfId="2771"/>
    <cellStyle name="강조색1 6" xfId="231"/>
    <cellStyle name="강조색1 6 2" xfId="2778"/>
    <cellStyle name="강조색1 6 3" xfId="2779"/>
    <cellStyle name="강조색1 6 3 2" xfId="2780"/>
    <cellStyle name="강조색1 6 3 3" xfId="2781"/>
    <cellStyle name="강조색1 6 3 4" xfId="2782"/>
    <cellStyle name="강조색1 6 3 5" xfId="4195"/>
    <cellStyle name="강조색1 6 3 6" xfId="4885"/>
    <cellStyle name="강조색1 6 3 7" xfId="5665"/>
    <cellStyle name="강조색1 6 4" xfId="2777"/>
    <cellStyle name="강조색1 7" xfId="232"/>
    <cellStyle name="강조색1 7 2" xfId="2784"/>
    <cellStyle name="강조색1 7 3" xfId="2785"/>
    <cellStyle name="강조색1 7 3 2" xfId="2786"/>
    <cellStyle name="강조색1 7 3 3" xfId="2787"/>
    <cellStyle name="강조색1 7 3 4" xfId="2788"/>
    <cellStyle name="강조색1 7 3 5" xfId="4194"/>
    <cellStyle name="강조색1 7 3 6" xfId="4886"/>
    <cellStyle name="강조색1 7 3 7" xfId="5666"/>
    <cellStyle name="강조색1 7 4" xfId="2783"/>
    <cellStyle name="강조색1 8" xfId="2789"/>
    <cellStyle name="강조색1 8 2" xfId="2790"/>
    <cellStyle name="강조색1 8 2 2" xfId="2791"/>
    <cellStyle name="강조색1 8 2 3" xfId="2792"/>
    <cellStyle name="강조색1 8 2 4" xfId="2793"/>
    <cellStyle name="강조색1 8 2 5" xfId="4193"/>
    <cellStyle name="강조색1 8 2 6" xfId="4887"/>
    <cellStyle name="강조색1 8 2 7" xfId="5667"/>
    <cellStyle name="강조색2" xfId="2794"/>
    <cellStyle name="강조색2 2" xfId="233"/>
    <cellStyle name="강조색2 2 2" xfId="2796"/>
    <cellStyle name="강조색2 2 3" xfId="2797"/>
    <cellStyle name="강조색2 2 3 2" xfId="2798"/>
    <cellStyle name="강조색2 2 3 3" xfId="2799"/>
    <cellStyle name="강조색2 2 3 4" xfId="2800"/>
    <cellStyle name="강조색2 2 3 5" xfId="4192"/>
    <cellStyle name="강조색2 2 3 6" xfId="4888"/>
    <cellStyle name="강조색2 2 3 7" xfId="5668"/>
    <cellStyle name="강조색2 2 4" xfId="2795"/>
    <cellStyle name="강조색2 3" xfId="234"/>
    <cellStyle name="강조색2 3 2" xfId="2802"/>
    <cellStyle name="강조색2 3 3" xfId="2803"/>
    <cellStyle name="강조색2 3 3 2" xfId="2804"/>
    <cellStyle name="강조색2 3 3 3" xfId="2805"/>
    <cellStyle name="강조색2 3 3 4" xfId="2806"/>
    <cellStyle name="강조색2 3 3 5" xfId="4191"/>
    <cellStyle name="강조색2 3 3 6" xfId="4889"/>
    <cellStyle name="강조색2 3 3 7" xfId="5669"/>
    <cellStyle name="강조색2 3 4" xfId="2801"/>
    <cellStyle name="강조색2 4" xfId="235"/>
    <cellStyle name="강조색2 4 2" xfId="2808"/>
    <cellStyle name="강조색2 4 3" xfId="2809"/>
    <cellStyle name="강조색2 4 3 2" xfId="2810"/>
    <cellStyle name="강조색2 4 3 3" xfId="2811"/>
    <cellStyle name="강조색2 4 3 4" xfId="2812"/>
    <cellStyle name="강조색2 4 3 5" xfId="4190"/>
    <cellStyle name="강조색2 4 3 6" xfId="4890"/>
    <cellStyle name="강조색2 4 3 7" xfId="5670"/>
    <cellStyle name="강조색2 4 4" xfId="2807"/>
    <cellStyle name="강조색2 5" xfId="236"/>
    <cellStyle name="강조색2 5 2" xfId="2814"/>
    <cellStyle name="강조색2 5 3" xfId="2815"/>
    <cellStyle name="강조색2 5 3 2" xfId="2816"/>
    <cellStyle name="강조색2 5 3 3" xfId="2817"/>
    <cellStyle name="강조색2 5 3 4" xfId="2818"/>
    <cellStyle name="강조색2 5 3 5" xfId="4189"/>
    <cellStyle name="강조색2 5 3 6" xfId="4891"/>
    <cellStyle name="강조색2 5 3 7" xfId="5671"/>
    <cellStyle name="강조색2 5 4" xfId="2813"/>
    <cellStyle name="강조색2 6" xfId="237"/>
    <cellStyle name="강조색2 6 2" xfId="2820"/>
    <cellStyle name="강조색2 6 3" xfId="2821"/>
    <cellStyle name="강조색2 6 3 2" xfId="2822"/>
    <cellStyle name="강조색2 6 3 3" xfId="2823"/>
    <cellStyle name="강조색2 6 3 4" xfId="2824"/>
    <cellStyle name="강조색2 6 3 5" xfId="4188"/>
    <cellStyle name="강조색2 6 3 6" xfId="4892"/>
    <cellStyle name="강조색2 6 3 7" xfId="5672"/>
    <cellStyle name="강조색2 6 4" xfId="2819"/>
    <cellStyle name="강조색2 7" xfId="238"/>
    <cellStyle name="강조색2 7 2" xfId="2826"/>
    <cellStyle name="강조색2 7 3" xfId="2827"/>
    <cellStyle name="강조색2 7 3 2" xfId="2828"/>
    <cellStyle name="강조색2 7 3 3" xfId="2829"/>
    <cellStyle name="강조색2 7 3 4" xfId="2830"/>
    <cellStyle name="강조색2 7 3 5" xfId="4187"/>
    <cellStyle name="강조색2 7 3 6" xfId="4893"/>
    <cellStyle name="강조색2 7 3 7" xfId="5673"/>
    <cellStyle name="강조색2 7 4" xfId="2825"/>
    <cellStyle name="강조색2 8" xfId="2831"/>
    <cellStyle name="강조색2 8 2" xfId="2832"/>
    <cellStyle name="강조색2 8 2 2" xfId="2833"/>
    <cellStyle name="강조색2 8 2 3" xfId="2834"/>
    <cellStyle name="강조색2 8 2 4" xfId="2835"/>
    <cellStyle name="강조색2 8 2 5" xfId="4186"/>
    <cellStyle name="강조색2 8 2 6" xfId="4894"/>
    <cellStyle name="강조색2 8 2 7" xfId="5674"/>
    <cellStyle name="강조색3" xfId="2836"/>
    <cellStyle name="강조색3 2" xfId="239"/>
    <cellStyle name="강조색3 2 2" xfId="2838"/>
    <cellStyle name="강조색3 2 3" xfId="2839"/>
    <cellStyle name="강조색3 2 3 2" xfId="2840"/>
    <cellStyle name="강조색3 2 3 3" xfId="2841"/>
    <cellStyle name="강조색3 2 3 4" xfId="2842"/>
    <cellStyle name="강조색3 2 3 5" xfId="4185"/>
    <cellStyle name="강조색3 2 3 6" xfId="4895"/>
    <cellStyle name="강조색3 2 3 7" xfId="5675"/>
    <cellStyle name="강조색3 2 4" xfId="2837"/>
    <cellStyle name="강조색3 3" xfId="240"/>
    <cellStyle name="강조색3 3 2" xfId="2844"/>
    <cellStyle name="강조색3 3 3" xfId="2845"/>
    <cellStyle name="강조색3 3 3 2" xfId="2846"/>
    <cellStyle name="강조색3 3 3 3" xfId="2847"/>
    <cellStyle name="강조색3 3 3 4" xfId="2848"/>
    <cellStyle name="강조색3 3 3 5" xfId="4184"/>
    <cellStyle name="강조색3 3 3 6" xfId="4896"/>
    <cellStyle name="강조색3 3 3 7" xfId="5676"/>
    <cellStyle name="강조색3 3 4" xfId="2843"/>
    <cellStyle name="강조색3 4" xfId="241"/>
    <cellStyle name="강조색3 4 2" xfId="2850"/>
    <cellStyle name="강조색3 4 3" xfId="2851"/>
    <cellStyle name="강조색3 4 3 2" xfId="2852"/>
    <cellStyle name="강조색3 4 3 3" xfId="2853"/>
    <cellStyle name="강조색3 4 3 4" xfId="2854"/>
    <cellStyle name="강조색3 4 3 5" xfId="4183"/>
    <cellStyle name="강조색3 4 3 6" xfId="4897"/>
    <cellStyle name="강조색3 4 3 7" xfId="5677"/>
    <cellStyle name="강조색3 4 4" xfId="2849"/>
    <cellStyle name="강조색3 5" xfId="242"/>
    <cellStyle name="강조색3 5 2" xfId="2856"/>
    <cellStyle name="강조색3 5 3" xfId="2857"/>
    <cellStyle name="강조색3 5 3 2" xfId="2858"/>
    <cellStyle name="강조색3 5 3 3" xfId="2859"/>
    <cellStyle name="강조색3 5 3 4" xfId="2860"/>
    <cellStyle name="강조색3 5 3 5" xfId="4182"/>
    <cellStyle name="강조색3 5 3 6" xfId="4898"/>
    <cellStyle name="강조색3 5 3 7" xfId="5678"/>
    <cellStyle name="강조색3 5 4" xfId="2855"/>
    <cellStyle name="강조색3 6" xfId="243"/>
    <cellStyle name="강조색3 6 2" xfId="2862"/>
    <cellStyle name="강조색3 6 3" xfId="2863"/>
    <cellStyle name="강조색3 6 3 2" xfId="2864"/>
    <cellStyle name="강조색3 6 3 3" xfId="2865"/>
    <cellStyle name="강조색3 6 3 4" xfId="2866"/>
    <cellStyle name="강조색3 6 3 5" xfId="4181"/>
    <cellStyle name="강조색3 6 3 6" xfId="4899"/>
    <cellStyle name="강조색3 6 3 7" xfId="5679"/>
    <cellStyle name="강조색3 6 4" xfId="2861"/>
    <cellStyle name="강조색3 7" xfId="244"/>
    <cellStyle name="강조색3 7 2" xfId="2868"/>
    <cellStyle name="강조색3 7 3" xfId="2869"/>
    <cellStyle name="강조색3 7 3 2" xfId="2870"/>
    <cellStyle name="강조색3 7 3 3" xfId="2871"/>
    <cellStyle name="강조색3 7 3 4" xfId="2872"/>
    <cellStyle name="강조색3 7 3 5" xfId="4180"/>
    <cellStyle name="강조색3 7 3 6" xfId="4900"/>
    <cellStyle name="강조색3 7 3 7" xfId="5680"/>
    <cellStyle name="강조색3 7 4" xfId="2867"/>
    <cellStyle name="강조색3 8" xfId="2873"/>
    <cellStyle name="강조색3 8 2" xfId="2874"/>
    <cellStyle name="강조색3 8 2 2" xfId="2875"/>
    <cellStyle name="강조색3 8 2 3" xfId="2876"/>
    <cellStyle name="강조색3 8 2 4" xfId="2877"/>
    <cellStyle name="강조색3 8 2 5" xfId="4179"/>
    <cellStyle name="강조색3 8 2 6" xfId="4901"/>
    <cellStyle name="강조색3 8 2 7" xfId="5681"/>
    <cellStyle name="강조색4" xfId="2878"/>
    <cellStyle name="강조색4 2" xfId="245"/>
    <cellStyle name="강조색4 2 2" xfId="2880"/>
    <cellStyle name="강조색4 2 3" xfId="2881"/>
    <cellStyle name="강조색4 2 3 2" xfId="2882"/>
    <cellStyle name="강조색4 2 3 3" xfId="2883"/>
    <cellStyle name="강조색4 2 3 4" xfId="2884"/>
    <cellStyle name="강조색4 2 3 5" xfId="4178"/>
    <cellStyle name="강조색4 2 3 6" xfId="4902"/>
    <cellStyle name="강조색4 2 3 7" xfId="5682"/>
    <cellStyle name="강조색4 2 4" xfId="2879"/>
    <cellStyle name="강조색4 3" xfId="246"/>
    <cellStyle name="강조색4 3 2" xfId="2886"/>
    <cellStyle name="강조색4 3 3" xfId="2887"/>
    <cellStyle name="강조색4 3 3 2" xfId="2888"/>
    <cellStyle name="강조색4 3 3 3" xfId="2889"/>
    <cellStyle name="강조색4 3 3 4" xfId="2890"/>
    <cellStyle name="강조색4 3 3 5" xfId="4177"/>
    <cellStyle name="강조색4 3 3 6" xfId="4903"/>
    <cellStyle name="강조색4 3 3 7" xfId="5683"/>
    <cellStyle name="강조색4 3 4" xfId="2885"/>
    <cellStyle name="강조색4 4" xfId="247"/>
    <cellStyle name="강조색4 4 2" xfId="2892"/>
    <cellStyle name="강조색4 4 3" xfId="2893"/>
    <cellStyle name="강조색4 4 3 2" xfId="2894"/>
    <cellStyle name="강조색4 4 3 3" xfId="2895"/>
    <cellStyle name="강조색4 4 3 4" xfId="2896"/>
    <cellStyle name="강조색4 4 3 5" xfId="4176"/>
    <cellStyle name="강조색4 4 3 6" xfId="4904"/>
    <cellStyle name="강조색4 4 3 7" xfId="5684"/>
    <cellStyle name="강조색4 4 4" xfId="2891"/>
    <cellStyle name="강조색4 5" xfId="248"/>
    <cellStyle name="강조색4 5 2" xfId="2898"/>
    <cellStyle name="강조색4 5 3" xfId="2899"/>
    <cellStyle name="강조색4 5 3 2" xfId="2900"/>
    <cellStyle name="강조색4 5 3 3" xfId="2901"/>
    <cellStyle name="강조색4 5 3 4" xfId="2902"/>
    <cellStyle name="강조색4 5 3 5" xfId="4175"/>
    <cellStyle name="강조색4 5 3 6" xfId="4905"/>
    <cellStyle name="강조색4 5 3 7" xfId="5685"/>
    <cellStyle name="강조색4 5 4" xfId="2897"/>
    <cellStyle name="강조색4 6" xfId="249"/>
    <cellStyle name="강조색4 6 2" xfId="2904"/>
    <cellStyle name="강조색4 6 3" xfId="2905"/>
    <cellStyle name="강조색4 6 3 2" xfId="2906"/>
    <cellStyle name="강조색4 6 3 3" xfId="2907"/>
    <cellStyle name="강조색4 6 3 4" xfId="2908"/>
    <cellStyle name="강조색4 6 3 5" xfId="4174"/>
    <cellStyle name="강조색4 6 3 6" xfId="4906"/>
    <cellStyle name="강조색4 6 3 7" xfId="5686"/>
    <cellStyle name="강조색4 6 4" xfId="2903"/>
    <cellStyle name="강조색4 7" xfId="250"/>
    <cellStyle name="강조색4 7 2" xfId="2910"/>
    <cellStyle name="강조색4 7 3" xfId="2911"/>
    <cellStyle name="강조색4 7 3 2" xfId="2912"/>
    <cellStyle name="강조색4 7 3 3" xfId="2913"/>
    <cellStyle name="강조색4 7 3 4" xfId="2914"/>
    <cellStyle name="강조색4 7 3 5" xfId="4173"/>
    <cellStyle name="강조색4 7 3 6" xfId="4907"/>
    <cellStyle name="강조색4 7 3 7" xfId="5687"/>
    <cellStyle name="강조색4 7 4" xfId="2909"/>
    <cellStyle name="강조색4 8" xfId="2915"/>
    <cellStyle name="강조색4 8 2" xfId="2916"/>
    <cellStyle name="강조색4 8 2 2" xfId="2917"/>
    <cellStyle name="강조색4 8 2 3" xfId="2918"/>
    <cellStyle name="강조색4 8 2 4" xfId="2919"/>
    <cellStyle name="강조색4 8 2 5" xfId="4172"/>
    <cellStyle name="강조색4 8 2 6" xfId="4908"/>
    <cellStyle name="강조색4 8 2 7" xfId="5688"/>
    <cellStyle name="강조색5" xfId="2920"/>
    <cellStyle name="강조색5 2" xfId="251"/>
    <cellStyle name="강조색5 3" xfId="252"/>
    <cellStyle name="강조색5 4" xfId="253"/>
    <cellStyle name="강조색5 5" xfId="254"/>
    <cellStyle name="강조색5 6" xfId="255"/>
    <cellStyle name="강조색5 7" xfId="256"/>
    <cellStyle name="강조색5 8" xfId="2921"/>
    <cellStyle name="강조색6" xfId="2922"/>
    <cellStyle name="강조색6 2" xfId="257"/>
    <cellStyle name="강조색6 3" xfId="258"/>
    <cellStyle name="강조색6 4" xfId="259"/>
    <cellStyle name="강조색6 5" xfId="260"/>
    <cellStyle name="강조색6 6" xfId="261"/>
    <cellStyle name="강조색6 7" xfId="262"/>
    <cellStyle name="강조색6 8" xfId="2923"/>
    <cellStyle name="경고문" xfId="2924"/>
    <cellStyle name="경고문 2" xfId="263"/>
    <cellStyle name="경고문 3" xfId="264"/>
    <cellStyle name="경고문 4" xfId="265"/>
    <cellStyle name="경고문 5" xfId="266"/>
    <cellStyle name="경고문 6" xfId="267"/>
    <cellStyle name="경고문 7" xfId="268"/>
    <cellStyle name="경고문 8" xfId="2925"/>
    <cellStyle name="계산" xfId="2926"/>
    <cellStyle name="계산 10" xfId="2927"/>
    <cellStyle name="계산 10 2" xfId="2928"/>
    <cellStyle name="계산 10 2 2" xfId="2929"/>
    <cellStyle name="계산 10 2 3" xfId="2930"/>
    <cellStyle name="계산 10 2 4" xfId="2931"/>
    <cellStyle name="계산 10 2 5" xfId="4171"/>
    <cellStyle name="계산 10 2 6" xfId="4909"/>
    <cellStyle name="계산 10 2 7" xfId="5689"/>
    <cellStyle name="계산 11" xfId="2932"/>
    <cellStyle name="계산 11 2" xfId="2933"/>
    <cellStyle name="계산 11 2 2" xfId="2934"/>
    <cellStyle name="계산 11 2 3" xfId="2935"/>
    <cellStyle name="계산 11 2 4" xfId="2936"/>
    <cellStyle name="계산 11 2 5" xfId="4170"/>
    <cellStyle name="계산 11 2 6" xfId="4910"/>
    <cellStyle name="계산 11 2 7" xfId="5690"/>
    <cellStyle name="계산 12" xfId="5225"/>
    <cellStyle name="계산 12 2" xfId="6201"/>
    <cellStyle name="계산 12 2 2" xfId="7704"/>
    <cellStyle name="계산 12 2 2 2" xfId="10096"/>
    <cellStyle name="계산 12 2 2 2 2" xfId="14938"/>
    <cellStyle name="계산 12 2 2 2 2 2" xfId="15450"/>
    <cellStyle name="계산 12 2 2 3" xfId="12981"/>
    <cellStyle name="계산 12 2 2 3 2" xfId="19587"/>
    <cellStyle name="계산 12 2 3" xfId="8666"/>
    <cellStyle name="계산 12 2 3 2" xfId="13931"/>
    <cellStyle name="계산 12 2 3 2 2" xfId="16379"/>
    <cellStyle name="계산 12 2 4" xfId="11664"/>
    <cellStyle name="계산 12 2 4 2" xfId="19985"/>
    <cellStyle name="계산 12 3" xfId="6660"/>
    <cellStyle name="계산 12 3 2" xfId="9609"/>
    <cellStyle name="계산 12 3 2 2" xfId="14509"/>
    <cellStyle name="계산 12 3 2 2 2" xfId="16046"/>
    <cellStyle name="계산 12 3 3" xfId="12345"/>
    <cellStyle name="계산 12 3 3 2" xfId="16913"/>
    <cellStyle name="계산 12 4" xfId="8194"/>
    <cellStyle name="계산 12 4 2" xfId="13459"/>
    <cellStyle name="계산 12 4 2 2" xfId="19151"/>
    <cellStyle name="계산 12 5" xfId="11083"/>
    <cellStyle name="계산 12 5 2" xfId="17445"/>
    <cellStyle name="계산 13" xfId="6065"/>
    <cellStyle name="계산 13 2" xfId="7075"/>
    <cellStyle name="계산 13 2 2" xfId="9886"/>
    <cellStyle name="계산 13 2 2 2" xfId="14759"/>
    <cellStyle name="계산 13 2 2 2 2" xfId="15885"/>
    <cellStyle name="계산 13 2 3" xfId="12759"/>
    <cellStyle name="계산 13 2 3 2" xfId="19895"/>
    <cellStyle name="계산 13 3" xfId="8548"/>
    <cellStyle name="계산 13 3 2" xfId="13813"/>
    <cellStyle name="계산 13 3 2 2" xfId="16452"/>
    <cellStyle name="계산 13 4" xfId="11528"/>
    <cellStyle name="계산 13 4 2" xfId="19974"/>
    <cellStyle name="계산 14" xfId="6624"/>
    <cellStyle name="계산 14 2" xfId="9573"/>
    <cellStyle name="계산 14 2 2" xfId="14473"/>
    <cellStyle name="계산 14 2 2 2" xfId="16070"/>
    <cellStyle name="계산 14 3" xfId="12309"/>
    <cellStyle name="계산 14 3 2" xfId="17927"/>
    <cellStyle name="계산 15" xfId="7933"/>
    <cellStyle name="계산 15 2" xfId="13202"/>
    <cellStyle name="계산 15 2 2" xfId="18254"/>
    <cellStyle name="계산 16" xfId="10750"/>
    <cellStyle name="계산 16 2" xfId="17707"/>
    <cellStyle name="계산 2" xfId="269"/>
    <cellStyle name="계산 2 2" xfId="2938"/>
    <cellStyle name="계산 2 3" xfId="2939"/>
    <cellStyle name="계산 2 3 2" xfId="2940"/>
    <cellStyle name="계산 2 3 3" xfId="2941"/>
    <cellStyle name="계산 2 3 4" xfId="2942"/>
    <cellStyle name="계산 2 3 5" xfId="4169"/>
    <cellStyle name="계산 2 3 6" xfId="4911"/>
    <cellStyle name="계산 2 3 7" xfId="5691"/>
    <cellStyle name="계산 2 4" xfId="2937"/>
    <cellStyle name="계산 3" xfId="270"/>
    <cellStyle name="계산 3 2" xfId="2944"/>
    <cellStyle name="계산 3 3" xfId="2945"/>
    <cellStyle name="계산 3 3 2" xfId="2946"/>
    <cellStyle name="계산 3 3 3" xfId="2947"/>
    <cellStyle name="계산 3 3 4" xfId="2948"/>
    <cellStyle name="계산 3 3 5" xfId="4168"/>
    <cellStyle name="계산 3 3 6" xfId="4912"/>
    <cellStyle name="계산 3 3 7" xfId="5692"/>
    <cellStyle name="계산 3 4" xfId="2943"/>
    <cellStyle name="계산 4" xfId="271"/>
    <cellStyle name="계산 4 2" xfId="2950"/>
    <cellStyle name="계산 4 3" xfId="2951"/>
    <cellStyle name="계산 4 3 2" xfId="2952"/>
    <cellStyle name="계산 4 3 3" xfId="2953"/>
    <cellStyle name="계산 4 3 4" xfId="2954"/>
    <cellStyle name="계산 4 3 5" xfId="4167"/>
    <cellStyle name="계산 4 3 6" xfId="4913"/>
    <cellStyle name="계산 4 3 7" xfId="5693"/>
    <cellStyle name="계산 4 4" xfId="2949"/>
    <cellStyle name="계산 5" xfId="272"/>
    <cellStyle name="계산 5 2" xfId="2956"/>
    <cellStyle name="계산 5 3" xfId="2957"/>
    <cellStyle name="계산 5 3 2" xfId="2958"/>
    <cellStyle name="계산 5 3 3" xfId="2959"/>
    <cellStyle name="계산 5 3 4" xfId="2960"/>
    <cellStyle name="계산 5 3 5" xfId="4166"/>
    <cellStyle name="계산 5 3 6" xfId="4914"/>
    <cellStyle name="계산 5 3 7" xfId="5694"/>
    <cellStyle name="계산 5 4" xfId="2955"/>
    <cellStyle name="계산 6" xfId="273"/>
    <cellStyle name="계산 6 2" xfId="2962"/>
    <cellStyle name="계산 6 3" xfId="2963"/>
    <cellStyle name="계산 6 3 2" xfId="2964"/>
    <cellStyle name="계산 6 3 3" xfId="2965"/>
    <cellStyle name="계산 6 3 4" xfId="2966"/>
    <cellStyle name="계산 6 3 5" xfId="4165"/>
    <cellStyle name="계산 6 3 6" xfId="4915"/>
    <cellStyle name="계산 6 3 7" xfId="5695"/>
    <cellStyle name="계산 6 4" xfId="2961"/>
    <cellStyle name="계산 7" xfId="274"/>
    <cellStyle name="계산 7 2" xfId="2968"/>
    <cellStyle name="계산 7 3" xfId="2969"/>
    <cellStyle name="계산 7 3 2" xfId="2970"/>
    <cellStyle name="계산 7 3 3" xfId="2971"/>
    <cellStyle name="계산 7 3 4" xfId="2972"/>
    <cellStyle name="계산 7 3 5" xfId="4164"/>
    <cellStyle name="계산 7 3 6" xfId="4916"/>
    <cellStyle name="계산 7 3 7" xfId="5696"/>
    <cellStyle name="계산 7 4" xfId="2967"/>
    <cellStyle name="계산 8" xfId="2973"/>
    <cellStyle name="계산 8 2" xfId="2974"/>
    <cellStyle name="계산 8 2 2" xfId="2975"/>
    <cellStyle name="계산 8 2 3" xfId="2976"/>
    <cellStyle name="계산 8 2 4" xfId="2977"/>
    <cellStyle name="계산 8 2 5" xfId="4163"/>
    <cellStyle name="계산 8 2 6" xfId="4917"/>
    <cellStyle name="계산 8 2 7" xfId="5697"/>
    <cellStyle name="계산 9" xfId="2978"/>
    <cellStyle name="계산 9 2" xfId="2979"/>
    <cellStyle name="계산 9 2 2" xfId="2980"/>
    <cellStyle name="계산 9 2 3" xfId="2981"/>
    <cellStyle name="계산 9 2 4" xfId="2982"/>
    <cellStyle name="계산 9 2 5" xfId="4162"/>
    <cellStyle name="계산 9 2 6" xfId="4918"/>
    <cellStyle name="계산 9 2 7" xfId="5698"/>
    <cellStyle name="나쁨" xfId="2983"/>
    <cellStyle name="나쁨 2" xfId="275"/>
    <cellStyle name="나쁨 2 2" xfId="2985"/>
    <cellStyle name="나쁨 2 3" xfId="2986"/>
    <cellStyle name="나쁨 2 3 2" xfId="2987"/>
    <cellStyle name="나쁨 2 3 3" xfId="2988"/>
    <cellStyle name="나쁨 2 3 4" xfId="2989"/>
    <cellStyle name="나쁨 2 3 5" xfId="4161"/>
    <cellStyle name="나쁨 2 3 6" xfId="4919"/>
    <cellStyle name="나쁨 2 3 7" xfId="5699"/>
    <cellStyle name="나쁨 2 4" xfId="2984"/>
    <cellStyle name="나쁨 3" xfId="276"/>
    <cellStyle name="나쁨 3 2" xfId="2991"/>
    <cellStyle name="나쁨 3 3" xfId="2992"/>
    <cellStyle name="나쁨 3 3 2" xfId="2993"/>
    <cellStyle name="나쁨 3 3 3" xfId="2994"/>
    <cellStyle name="나쁨 3 3 4" xfId="2995"/>
    <cellStyle name="나쁨 3 3 5" xfId="4160"/>
    <cellStyle name="나쁨 3 3 6" xfId="4920"/>
    <cellStyle name="나쁨 3 3 7" xfId="5700"/>
    <cellStyle name="나쁨 3 4" xfId="2990"/>
    <cellStyle name="나쁨 4" xfId="277"/>
    <cellStyle name="나쁨 4 2" xfId="2997"/>
    <cellStyle name="나쁨 4 3" xfId="2998"/>
    <cellStyle name="나쁨 4 3 2" xfId="2999"/>
    <cellStyle name="나쁨 4 3 3" xfId="3000"/>
    <cellStyle name="나쁨 4 3 4" xfId="3001"/>
    <cellStyle name="나쁨 4 3 5" xfId="4159"/>
    <cellStyle name="나쁨 4 3 6" xfId="4921"/>
    <cellStyle name="나쁨 4 3 7" xfId="5701"/>
    <cellStyle name="나쁨 4 4" xfId="2996"/>
    <cellStyle name="나쁨 5" xfId="278"/>
    <cellStyle name="나쁨 5 2" xfId="3003"/>
    <cellStyle name="나쁨 5 3" xfId="3004"/>
    <cellStyle name="나쁨 5 3 2" xfId="3005"/>
    <cellStyle name="나쁨 5 3 3" xfId="3006"/>
    <cellStyle name="나쁨 5 3 4" xfId="3007"/>
    <cellStyle name="나쁨 5 3 5" xfId="4158"/>
    <cellStyle name="나쁨 5 3 6" xfId="4922"/>
    <cellStyle name="나쁨 5 3 7" xfId="5702"/>
    <cellStyle name="나쁨 5 4" xfId="3002"/>
    <cellStyle name="나쁨 6" xfId="279"/>
    <cellStyle name="나쁨 6 2" xfId="3009"/>
    <cellStyle name="나쁨 6 3" xfId="3010"/>
    <cellStyle name="나쁨 6 3 2" xfId="3011"/>
    <cellStyle name="나쁨 6 3 3" xfId="3012"/>
    <cellStyle name="나쁨 6 3 4" xfId="3013"/>
    <cellStyle name="나쁨 6 3 5" xfId="4157"/>
    <cellStyle name="나쁨 6 3 6" xfId="4923"/>
    <cellStyle name="나쁨 6 3 7" xfId="5703"/>
    <cellStyle name="나쁨 6 4" xfId="3008"/>
    <cellStyle name="나쁨 7" xfId="280"/>
    <cellStyle name="나쁨 7 2" xfId="3015"/>
    <cellStyle name="나쁨 7 3" xfId="3016"/>
    <cellStyle name="나쁨 7 3 2" xfId="3017"/>
    <cellStyle name="나쁨 7 3 3" xfId="3018"/>
    <cellStyle name="나쁨 7 3 4" xfId="3019"/>
    <cellStyle name="나쁨 7 3 5" xfId="4156"/>
    <cellStyle name="나쁨 7 3 6" xfId="4924"/>
    <cellStyle name="나쁨 7 3 7" xfId="5704"/>
    <cellStyle name="나쁨 7 4" xfId="3014"/>
    <cellStyle name="나쁨 8" xfId="3020"/>
    <cellStyle name="나쁨 8 2" xfId="3021"/>
    <cellStyle name="나쁨 8 2 2" xfId="3022"/>
    <cellStyle name="나쁨 8 2 3" xfId="3023"/>
    <cellStyle name="나쁨 8 2 4" xfId="3024"/>
    <cellStyle name="나쁨 8 2 5" xfId="4155"/>
    <cellStyle name="나쁨 8 2 6" xfId="4925"/>
    <cellStyle name="나쁨 8 2 7" xfId="5705"/>
    <cellStyle name="메모" xfId="3025"/>
    <cellStyle name="메모 10" xfId="5990"/>
    <cellStyle name="메모 10 2" xfId="8485"/>
    <cellStyle name="메모 10 2 2" xfId="13750"/>
    <cellStyle name="메모 10 2 2 2" xfId="16495"/>
    <cellStyle name="메모 10 3" xfId="11453"/>
    <cellStyle name="메모 10 3 2" xfId="19840"/>
    <cellStyle name="메모 11" xfId="7934"/>
    <cellStyle name="메모 11 2" xfId="13203"/>
    <cellStyle name="메모 11 2 2" xfId="16815"/>
    <cellStyle name="메모 12" xfId="10751"/>
    <cellStyle name="메모 12 2" xfId="17706"/>
    <cellStyle name="메모 2" xfId="281"/>
    <cellStyle name="메모 2 2" xfId="3027"/>
    <cellStyle name="메모 2 2 10" xfId="3028"/>
    <cellStyle name="메모 2 2 11" xfId="3029"/>
    <cellStyle name="메모 2 2 2" xfId="3030"/>
    <cellStyle name="메모 2 2 3" xfId="3031"/>
    <cellStyle name="메모 2 2 4" xfId="3032"/>
    <cellStyle name="메모 2 2 5" xfId="3033"/>
    <cellStyle name="메모 2 2 6" xfId="3034"/>
    <cellStyle name="메모 2 2 7" xfId="3035"/>
    <cellStyle name="메모 2 2 8" xfId="3036"/>
    <cellStyle name="메모 2 2 9" xfId="3037"/>
    <cellStyle name="메모 2 3" xfId="3038"/>
    <cellStyle name="메모 2 3 2" xfId="3039"/>
    <cellStyle name="메모 2 3 2 2" xfId="4433"/>
    <cellStyle name="메모 2 3 3" xfId="3040"/>
    <cellStyle name="메모 2 3 3 2" xfId="4434"/>
    <cellStyle name="메모 2 3 4" xfId="3041"/>
    <cellStyle name="메모 2 3 4 2" xfId="4435"/>
    <cellStyle name="메모 2 3 5" xfId="3042"/>
    <cellStyle name="메모 2 3 6" xfId="4154"/>
    <cellStyle name="메모 2 3 7" xfId="4926"/>
    <cellStyle name="메모 2 3 8" xfId="5706"/>
    <cellStyle name="메모 2 4" xfId="3026"/>
    <cellStyle name="메모 3" xfId="282"/>
    <cellStyle name="메모 3 2" xfId="3044"/>
    <cellStyle name="메모 3 2 10" xfId="3045"/>
    <cellStyle name="메모 3 2 11" xfId="3046"/>
    <cellStyle name="메모 3 2 2" xfId="3047"/>
    <cellStyle name="메모 3 2 3" xfId="3048"/>
    <cellStyle name="메모 3 2 4" xfId="3049"/>
    <cellStyle name="메모 3 2 5" xfId="3050"/>
    <cellStyle name="메모 3 2 6" xfId="3051"/>
    <cellStyle name="메모 3 2 7" xfId="3052"/>
    <cellStyle name="메모 3 2 8" xfId="3053"/>
    <cellStyle name="메모 3 2 9" xfId="3054"/>
    <cellStyle name="메모 3 3" xfId="3055"/>
    <cellStyle name="메모 3 3 2" xfId="3056"/>
    <cellStyle name="메모 3 3 2 2" xfId="4436"/>
    <cellStyle name="메모 3 3 3" xfId="3057"/>
    <cellStyle name="메모 3 3 3 2" xfId="4437"/>
    <cellStyle name="메모 3 3 4" xfId="3058"/>
    <cellStyle name="메모 3 3 4 2" xfId="4438"/>
    <cellStyle name="메모 3 3 5" xfId="3059"/>
    <cellStyle name="메모 3 3 6" xfId="4153"/>
    <cellStyle name="메모 3 3 7" xfId="4927"/>
    <cellStyle name="메모 3 3 8" xfId="5707"/>
    <cellStyle name="메모 3 4" xfId="3043"/>
    <cellStyle name="메모 4" xfId="283"/>
    <cellStyle name="메모 4 2" xfId="3061"/>
    <cellStyle name="메모 4 2 10" xfId="3062"/>
    <cellStyle name="메모 4 2 11" xfId="3063"/>
    <cellStyle name="메모 4 2 2" xfId="3064"/>
    <cellStyle name="메모 4 2 3" xfId="3065"/>
    <cellStyle name="메모 4 2 4" xfId="3066"/>
    <cellStyle name="메모 4 2 5" xfId="3067"/>
    <cellStyle name="메모 4 2 6" xfId="3068"/>
    <cellStyle name="메모 4 2 7" xfId="3069"/>
    <cellStyle name="메모 4 2 8" xfId="3070"/>
    <cellStyle name="메모 4 2 9" xfId="3071"/>
    <cellStyle name="메모 4 3" xfId="3072"/>
    <cellStyle name="메모 4 3 2" xfId="3073"/>
    <cellStyle name="메모 4 3 2 2" xfId="4439"/>
    <cellStyle name="메모 4 3 3" xfId="3074"/>
    <cellStyle name="메모 4 3 3 2" xfId="4440"/>
    <cellStyle name="메모 4 3 4" xfId="3075"/>
    <cellStyle name="메모 4 3 4 2" xfId="4441"/>
    <cellStyle name="메모 4 3 5" xfId="3076"/>
    <cellStyle name="메모 4 3 6" xfId="4152"/>
    <cellStyle name="메모 4 3 7" xfId="4928"/>
    <cellStyle name="메모 4 3 8" xfId="5708"/>
    <cellStyle name="메모 4 4" xfId="3060"/>
    <cellStyle name="메모 5" xfId="284"/>
    <cellStyle name="메모 5 2" xfId="3078"/>
    <cellStyle name="메모 5 2 10" xfId="3079"/>
    <cellStyle name="메모 5 2 11" xfId="3080"/>
    <cellStyle name="메모 5 2 2" xfId="3081"/>
    <cellStyle name="메모 5 2 3" xfId="3082"/>
    <cellStyle name="메모 5 2 4" xfId="3083"/>
    <cellStyle name="메모 5 2 5" xfId="3084"/>
    <cellStyle name="메모 5 2 6" xfId="3085"/>
    <cellStyle name="메모 5 2 7" xfId="3086"/>
    <cellStyle name="메모 5 2 8" xfId="3087"/>
    <cellStyle name="메모 5 2 9" xfId="3088"/>
    <cellStyle name="메모 5 3" xfId="3089"/>
    <cellStyle name="메모 5 3 2" xfId="3090"/>
    <cellStyle name="메모 5 3 2 2" xfId="4442"/>
    <cellStyle name="메모 5 3 3" xfId="3091"/>
    <cellStyle name="메모 5 3 3 2" xfId="4443"/>
    <cellStyle name="메모 5 3 4" xfId="3092"/>
    <cellStyle name="메모 5 3 4 2" xfId="4444"/>
    <cellStyle name="메모 5 3 5" xfId="3093"/>
    <cellStyle name="메모 5 3 6" xfId="4151"/>
    <cellStyle name="메모 5 3 7" xfId="4929"/>
    <cellStyle name="메모 5 3 8" xfId="5709"/>
    <cellStyle name="메모 5 4" xfId="3077"/>
    <cellStyle name="메모 6" xfId="285"/>
    <cellStyle name="메모 6 2" xfId="3095"/>
    <cellStyle name="메모 6 2 10" xfId="3096"/>
    <cellStyle name="메모 6 2 11" xfId="3097"/>
    <cellStyle name="메모 6 2 2" xfId="3098"/>
    <cellStyle name="메모 6 2 3" xfId="3099"/>
    <cellStyle name="메모 6 2 4" xfId="3100"/>
    <cellStyle name="메모 6 2 5" xfId="3101"/>
    <cellStyle name="메모 6 2 6" xfId="3102"/>
    <cellStyle name="메모 6 2 7" xfId="3103"/>
    <cellStyle name="메모 6 2 8" xfId="3104"/>
    <cellStyle name="메모 6 2 9" xfId="3105"/>
    <cellStyle name="메모 6 3" xfId="3106"/>
    <cellStyle name="메모 6 3 2" xfId="3107"/>
    <cellStyle name="메모 6 3 2 2" xfId="4445"/>
    <cellStyle name="메모 6 3 3" xfId="3108"/>
    <cellStyle name="메모 6 3 3 2" xfId="4446"/>
    <cellStyle name="메모 6 3 4" xfId="3109"/>
    <cellStyle name="메모 6 3 4 2" xfId="4447"/>
    <cellStyle name="메모 6 3 5" xfId="3110"/>
    <cellStyle name="메모 6 3 6" xfId="4150"/>
    <cellStyle name="메모 6 3 7" xfId="4930"/>
    <cellStyle name="메모 6 3 8" xfId="5710"/>
    <cellStyle name="메모 6 4" xfId="3094"/>
    <cellStyle name="메모 7" xfId="286"/>
    <cellStyle name="메모 7 2" xfId="3112"/>
    <cellStyle name="메모 7 2 10" xfId="3113"/>
    <cellStyle name="메모 7 2 11" xfId="3114"/>
    <cellStyle name="메모 7 2 2" xfId="3115"/>
    <cellStyle name="메모 7 2 3" xfId="3116"/>
    <cellStyle name="메모 7 2 4" xfId="3117"/>
    <cellStyle name="메모 7 2 5" xfId="3118"/>
    <cellStyle name="메모 7 2 6" xfId="3119"/>
    <cellStyle name="메모 7 2 7" xfId="3120"/>
    <cellStyle name="메모 7 2 8" xfId="3121"/>
    <cellStyle name="메모 7 2 9" xfId="3122"/>
    <cellStyle name="메모 7 3" xfId="3123"/>
    <cellStyle name="메모 7 3 2" xfId="3124"/>
    <cellStyle name="메모 7 3 2 2" xfId="4448"/>
    <cellStyle name="메모 7 3 3" xfId="3125"/>
    <cellStyle name="메모 7 3 3 2" xfId="4449"/>
    <cellStyle name="메모 7 3 4" xfId="3126"/>
    <cellStyle name="메모 7 3 4 2" xfId="4450"/>
    <cellStyle name="메모 7 3 5" xfId="3127"/>
    <cellStyle name="메모 7 3 6" xfId="4149"/>
    <cellStyle name="메모 7 3 7" xfId="4931"/>
    <cellStyle name="메모 7 3 8" xfId="5711"/>
    <cellStyle name="메모 7 4" xfId="3111"/>
    <cellStyle name="메모 8" xfId="3128"/>
    <cellStyle name="메모 8 10" xfId="3129"/>
    <cellStyle name="메모 8 11" xfId="3130"/>
    <cellStyle name="메모 8 12" xfId="3131"/>
    <cellStyle name="메모 8 2" xfId="3132"/>
    <cellStyle name="메모 8 3" xfId="3133"/>
    <cellStyle name="메모 8 3 2" xfId="3134"/>
    <cellStyle name="메모 8 3 2 2" xfId="4451"/>
    <cellStyle name="메모 8 3 3" xfId="3135"/>
    <cellStyle name="메모 8 3 3 2" xfId="4452"/>
    <cellStyle name="메모 8 3 4" xfId="3136"/>
    <cellStyle name="메모 8 3 4 2" xfId="4453"/>
    <cellStyle name="메모 8 3 5" xfId="3137"/>
    <cellStyle name="메모 8 3 6" xfId="4148"/>
    <cellStyle name="메모 8 3 7" xfId="4932"/>
    <cellStyle name="메모 8 3 8" xfId="5712"/>
    <cellStyle name="메모 8 4" xfId="3138"/>
    <cellStyle name="메모 8 5" xfId="3139"/>
    <cellStyle name="메모 8 6" xfId="3140"/>
    <cellStyle name="메모 8 7" xfId="3141"/>
    <cellStyle name="메모 8 8" xfId="3142"/>
    <cellStyle name="메모 8 9" xfId="3143"/>
    <cellStyle name="메모 9" xfId="5224"/>
    <cellStyle name="메모 9 2" xfId="6200"/>
    <cellStyle name="메모 9 2 2" xfId="8665"/>
    <cellStyle name="메모 9 2 2 2" xfId="13930"/>
    <cellStyle name="메모 9 2 2 2 2" xfId="16380"/>
    <cellStyle name="메모 9 2 3" xfId="11663"/>
    <cellStyle name="메모 9 2 3 2" xfId="19683"/>
    <cellStyle name="메모 9 3" xfId="8193"/>
    <cellStyle name="메모 9 3 2" xfId="13458"/>
    <cellStyle name="메모 9 3 2 2" xfId="16651"/>
    <cellStyle name="메모 9 4" xfId="11082"/>
    <cellStyle name="메모 9 4 2" xfId="17446"/>
    <cellStyle name="백분율 2" xfId="287"/>
    <cellStyle name="보통" xfId="3144"/>
    <cellStyle name="보통 2" xfId="288"/>
    <cellStyle name="보통 3" xfId="289"/>
    <cellStyle name="보통 4" xfId="290"/>
    <cellStyle name="보통 5" xfId="291"/>
    <cellStyle name="보통 6" xfId="292"/>
    <cellStyle name="보통 7" xfId="293"/>
    <cellStyle name="보통 8" xfId="3145"/>
    <cellStyle name="설명 텍스트" xfId="3146"/>
    <cellStyle name="설명 텍스트 2" xfId="294"/>
    <cellStyle name="설명 텍스트 3" xfId="295"/>
    <cellStyle name="설명 텍스트 4" xfId="296"/>
    <cellStyle name="설명 텍스트 5" xfId="297"/>
    <cellStyle name="설명 텍스트 6" xfId="298"/>
    <cellStyle name="설명 텍스트 7" xfId="299"/>
    <cellStyle name="설명 텍스트 8" xfId="3147"/>
    <cellStyle name="셀 확인" xfId="3148"/>
    <cellStyle name="셀 확인 2" xfId="300"/>
    <cellStyle name="셀 확인 3" xfId="301"/>
    <cellStyle name="셀 확인 4" xfId="302"/>
    <cellStyle name="셀 확인 5" xfId="303"/>
    <cellStyle name="셀 확인 6" xfId="304"/>
    <cellStyle name="셀 확인 7" xfId="305"/>
    <cellStyle name="셀 확인 8" xfId="3149"/>
    <cellStyle name="연결된 셀" xfId="3150"/>
    <cellStyle name="연결된 셀 2" xfId="306"/>
    <cellStyle name="연결된 셀 3" xfId="307"/>
    <cellStyle name="연결된 셀 4" xfId="308"/>
    <cellStyle name="연결된 셀 5" xfId="309"/>
    <cellStyle name="연결된 셀 6" xfId="310"/>
    <cellStyle name="연결된 셀 7" xfId="311"/>
    <cellStyle name="연결된 셀 8" xfId="3151"/>
    <cellStyle name="요약" xfId="3152"/>
    <cellStyle name="요약 10" xfId="6035"/>
    <cellStyle name="요약 10 2" xfId="6766"/>
    <cellStyle name="요약 10 2 2" xfId="9677"/>
    <cellStyle name="요약 10 2 2 2" xfId="14574"/>
    <cellStyle name="요약 10 2 2 2 2" xfId="16006"/>
    <cellStyle name="요약 10 2 3" xfId="12450"/>
    <cellStyle name="요약 10 2 3 2" xfId="20082"/>
    <cellStyle name="요약 10 3" xfId="8523"/>
    <cellStyle name="요약 10 3 2" xfId="13788"/>
    <cellStyle name="요약 10 3 2 2" xfId="18168"/>
    <cellStyle name="요약 10 4" xfId="11498"/>
    <cellStyle name="요약 10 4 2" xfId="19086"/>
    <cellStyle name="요약 11" xfId="6687"/>
    <cellStyle name="요약 11 2" xfId="9634"/>
    <cellStyle name="요약 11 2 2" xfId="14531"/>
    <cellStyle name="요약 11 2 2 2" xfId="18134"/>
    <cellStyle name="요약 11 3" xfId="12371"/>
    <cellStyle name="요약 11 3 2" xfId="17960"/>
    <cellStyle name="요약 12" xfId="7935"/>
    <cellStyle name="요약 12 2" xfId="13204"/>
    <cellStyle name="요약 12 2 2" xfId="16814"/>
    <cellStyle name="요약 13" xfId="10752"/>
    <cellStyle name="요약 13 2" xfId="17705"/>
    <cellStyle name="요약 2" xfId="312"/>
    <cellStyle name="요약 2 2" xfId="3154"/>
    <cellStyle name="요약 2 2 2" xfId="5110"/>
    <cellStyle name="요약 2 2 2 2" xfId="6086"/>
    <cellStyle name="요약 2 2 2 2 2" xfId="6588"/>
    <cellStyle name="요약 2 2 2 2 2 2" xfId="12273"/>
    <cellStyle name="요약 2 2 2 2 2 2 2" xfId="16947"/>
    <cellStyle name="요약 2 2 2 2 3" xfId="11549"/>
    <cellStyle name="요약 2 2 2 2 3 2" xfId="19851"/>
    <cellStyle name="요약 2 2 2 3" xfId="6839"/>
    <cellStyle name="요약 2 2 2 3 2" xfId="12523"/>
    <cellStyle name="요약 2 2 2 3 2 2" xfId="19022"/>
    <cellStyle name="요약 2 2 2 4" xfId="10968"/>
    <cellStyle name="요약 2 2 2 4 2" xfId="18622"/>
    <cellStyle name="요약 2 2 3" xfId="5854"/>
    <cellStyle name="요약 2 2 3 2" xfId="6875"/>
    <cellStyle name="요약 2 2 3 2 2" xfId="12559"/>
    <cellStyle name="요약 2 2 3 2 2 2" xfId="19766"/>
    <cellStyle name="요약 2 2 3 3" xfId="11317"/>
    <cellStyle name="요약 2 2 3 3 2" xfId="18922"/>
    <cellStyle name="요약 2 2 4" xfId="6689"/>
    <cellStyle name="요약 2 2 4 2" xfId="12373"/>
    <cellStyle name="요약 2 2 4 2 2" xfId="17929"/>
    <cellStyle name="요약 2 2 5" xfId="10754"/>
    <cellStyle name="요약 2 2 5 2" xfId="18629"/>
    <cellStyle name="요약 2 3" xfId="3155"/>
    <cellStyle name="요약 2 3 2" xfId="3156"/>
    <cellStyle name="요약 2 3 2 2" xfId="5328"/>
    <cellStyle name="요약 2 3 2 2 2" xfId="6889"/>
    <cellStyle name="요약 2 3 2 2 2 2" xfId="12573"/>
    <cellStyle name="요약 2 3 2 2 2 2 2" xfId="19297"/>
    <cellStyle name="요약 2 3 2 2 3" xfId="11160"/>
    <cellStyle name="요약 2 3 2 2 3 2" xfId="17385"/>
    <cellStyle name="요약 2 3 2 3" xfId="5841"/>
    <cellStyle name="요약 2 3 2 3 2" xfId="6774"/>
    <cellStyle name="요약 2 3 2 3 2 2" xfId="12458"/>
    <cellStyle name="요약 2 3 2 3 2 2 2" xfId="19557"/>
    <cellStyle name="요약 2 3 2 3 3" xfId="11304"/>
    <cellStyle name="요약 2 3 2 3 3 2" xfId="17283"/>
    <cellStyle name="요약 2 3 2 4" xfId="6818"/>
    <cellStyle name="요약 2 3 2 4 2" xfId="12502"/>
    <cellStyle name="요약 2 3 2 4 2 2" xfId="18391"/>
    <cellStyle name="요약 2 3 2 5" xfId="10756"/>
    <cellStyle name="요약 2 3 2 5 2" xfId="18336"/>
    <cellStyle name="요약 2 3 3" xfId="3157"/>
    <cellStyle name="요약 2 3 3 2" xfId="5329"/>
    <cellStyle name="요약 2 3 3 2 2" xfId="6742"/>
    <cellStyle name="요약 2 3 3 2 2 2" xfId="12426"/>
    <cellStyle name="요약 2 3 3 2 2 2 2" xfId="16869"/>
    <cellStyle name="요약 2 3 3 2 3" xfId="11161"/>
    <cellStyle name="요약 2 3 3 2 3 2" xfId="17384"/>
    <cellStyle name="요약 2 3 3 3" xfId="5840"/>
    <cellStyle name="요약 2 3 3 3 2" xfId="6771"/>
    <cellStyle name="요약 2 3 3 3 2 2" xfId="12455"/>
    <cellStyle name="요약 2 3 3 3 2 2 2" xfId="19097"/>
    <cellStyle name="요약 2 3 3 3 3" xfId="11303"/>
    <cellStyle name="요약 2 3 3 3 3 2" xfId="17284"/>
    <cellStyle name="요약 2 3 3 4" xfId="6946"/>
    <cellStyle name="요약 2 3 3 4 2" xfId="12630"/>
    <cellStyle name="요약 2 3 3 4 2 2" xfId="19376"/>
    <cellStyle name="요약 2 3 3 5" xfId="10757"/>
    <cellStyle name="요약 2 3 3 5 2" xfId="18289"/>
    <cellStyle name="요약 2 3 4" xfId="3158"/>
    <cellStyle name="요약 2 3 4 2" xfId="5330"/>
    <cellStyle name="요약 2 3 4 2 2" xfId="6837"/>
    <cellStyle name="요약 2 3 4 2 2 2" xfId="12521"/>
    <cellStyle name="요약 2 3 4 2 2 2 2" xfId="19973"/>
    <cellStyle name="요약 2 3 4 2 3" xfId="11162"/>
    <cellStyle name="요약 2 3 4 2 3 2" xfId="17383"/>
    <cellStyle name="요약 2 3 4 3" xfId="5839"/>
    <cellStyle name="요약 2 3 4 3 2" xfId="6773"/>
    <cellStyle name="요약 2 3 4 3 2 2" xfId="12457"/>
    <cellStyle name="요약 2 3 4 3 2 2 2" xfId="18413"/>
    <cellStyle name="요약 2 3 4 3 3" xfId="11302"/>
    <cellStyle name="요약 2 3 4 3 3 2" xfId="17285"/>
    <cellStyle name="요약 2 3 4 4" xfId="6834"/>
    <cellStyle name="요약 2 3 4 4 2" xfId="12518"/>
    <cellStyle name="요약 2 3 4 4 2 2" xfId="19797"/>
    <cellStyle name="요약 2 3 4 5" xfId="10758"/>
    <cellStyle name="요약 2 3 4 5 2" xfId="17703"/>
    <cellStyle name="요약 2 3 5" xfId="4147"/>
    <cellStyle name="요약 2 3 6" xfId="4933"/>
    <cellStyle name="요약 2 3 6 2" xfId="5386"/>
    <cellStyle name="요약 2 3 6 2 2" xfId="6894"/>
    <cellStyle name="요약 2 3 6 2 2 2" xfId="12578"/>
    <cellStyle name="요약 2 3 6 2 2 2 2" xfId="18580"/>
    <cellStyle name="요약 2 3 6 2 3" xfId="11218"/>
    <cellStyle name="요약 2 3 6 2 3 2" xfId="17339"/>
    <cellStyle name="요약 2 3 6 3" xfId="5829"/>
    <cellStyle name="요약 2 3 6 3 2" xfId="7710"/>
    <cellStyle name="요약 2 3 6 3 2 2" xfId="12987"/>
    <cellStyle name="요약 2 3 6 3 2 2 2" xfId="19066"/>
    <cellStyle name="요약 2 3 6 3 3" xfId="11292"/>
    <cellStyle name="요약 2 3 6 3 3 2" xfId="15357"/>
    <cellStyle name="요약 2 3 6 4" xfId="6722"/>
    <cellStyle name="요약 2 3 6 4 2" xfId="12406"/>
    <cellStyle name="요약 2 3 6 4 2 2" xfId="17925"/>
    <cellStyle name="요약 2 3 6 5" xfId="10936"/>
    <cellStyle name="요약 2 3 6 5 2" xfId="17560"/>
    <cellStyle name="요약 2 3 7" xfId="5327"/>
    <cellStyle name="요약 2 3 7 2" xfId="5842"/>
    <cellStyle name="요약 2 3 7 2 2" xfId="6542"/>
    <cellStyle name="요약 2 3 7 2 2 2" xfId="12227"/>
    <cellStyle name="요약 2 3 7 2 2 2 2" xfId="17856"/>
    <cellStyle name="요약 2 3 7 2 3" xfId="11305"/>
    <cellStyle name="요약 2 3 7 2 3 2" xfId="17282"/>
    <cellStyle name="요약 2 3 7 3" xfId="6741"/>
    <cellStyle name="요약 2 3 7 3 2" xfId="12425"/>
    <cellStyle name="요약 2 3 7 3 2 2" xfId="16870"/>
    <cellStyle name="요약 2 3 7 4" xfId="11159"/>
    <cellStyle name="요약 2 3 7 4 2" xfId="17386"/>
    <cellStyle name="요약 2 3 8" xfId="6846"/>
    <cellStyle name="요약 2 3 8 2" xfId="12530"/>
    <cellStyle name="요약 2 3 8 2 2" xfId="18995"/>
    <cellStyle name="요약 2 3 9" xfId="10755"/>
    <cellStyle name="요약 2 3 9 2" xfId="18606"/>
    <cellStyle name="요약 2 4" xfId="5111"/>
    <cellStyle name="요약 2 4 2" xfId="6087"/>
    <cellStyle name="요약 2 4 2 2" xfId="6614"/>
    <cellStyle name="요약 2 4 2 2 2" xfId="12299"/>
    <cellStyle name="요약 2 4 2 2 2 2" xfId="16935"/>
    <cellStyle name="요약 2 4 2 3" xfId="11550"/>
    <cellStyle name="요약 2 4 2 3 2" xfId="19231"/>
    <cellStyle name="요약 2 4 3" xfId="6882"/>
    <cellStyle name="요약 2 4 3 2" xfId="12566"/>
    <cellStyle name="요약 2 4 3 2 2" xfId="19211"/>
    <cellStyle name="요약 2 4 4" xfId="10969"/>
    <cellStyle name="요약 2 4 4 2" xfId="18599"/>
    <cellStyle name="요약 2 5" xfId="5945"/>
    <cellStyle name="요약 2 5 2" xfId="7052"/>
    <cellStyle name="요약 2 5 2 2" xfId="12736"/>
    <cellStyle name="요약 2 5 2 2 2" xfId="19276"/>
    <cellStyle name="요약 2 5 3" xfId="11408"/>
    <cellStyle name="요약 2 5 3 2" xfId="19128"/>
    <cellStyle name="요약 2 6" xfId="3153"/>
    <cellStyle name="요약 2 6 2" xfId="6688"/>
    <cellStyle name="요약 2 6 2 2" xfId="12372"/>
    <cellStyle name="요약 2 6 2 2 2" xfId="17764"/>
    <cellStyle name="요약 2 6 3" xfId="10753"/>
    <cellStyle name="요약 2 6 3 2" xfId="17704"/>
    <cellStyle name="요약 3" xfId="313"/>
    <cellStyle name="요약 3 2" xfId="3160"/>
    <cellStyle name="요약 3 2 2" xfId="5108"/>
    <cellStyle name="요약 3 2 2 2" xfId="6084"/>
    <cellStyle name="요약 3 2 2 2 2" xfId="6999"/>
    <cellStyle name="요약 3 2 2 2 2 2" xfId="12683"/>
    <cellStyle name="요약 3 2 2 2 2 2 2" xfId="19977"/>
    <cellStyle name="요약 3 2 2 2 3" xfId="11547"/>
    <cellStyle name="요약 3 2 2 2 3 2" xfId="18541"/>
    <cellStyle name="요약 3 2 2 3" xfId="6729"/>
    <cellStyle name="요약 3 2 2 3 2" xfId="12413"/>
    <cellStyle name="요약 3 2 2 3 2 2" xfId="18040"/>
    <cellStyle name="요약 3 2 2 4" xfId="10966"/>
    <cellStyle name="요약 3 2 2 4 2" xfId="17534"/>
    <cellStyle name="요약 3 2 3" xfId="5942"/>
    <cellStyle name="요약 3 2 3 2" xfId="7027"/>
    <cellStyle name="요약 3 2 3 2 2" xfId="12711"/>
    <cellStyle name="요약 3 2 3 2 2 2" xfId="19891"/>
    <cellStyle name="요약 3 2 3 3" xfId="11405"/>
    <cellStyle name="요약 3 2 3 3 2" xfId="19938"/>
    <cellStyle name="요약 3 2 4" xfId="6993"/>
    <cellStyle name="요약 3 2 4 2" xfId="12677"/>
    <cellStyle name="요약 3 2 4 2 2" xfId="18312"/>
    <cellStyle name="요약 3 2 5" xfId="10760"/>
    <cellStyle name="요약 3 2 5 2" xfId="17701"/>
    <cellStyle name="요약 3 3" xfId="3161"/>
    <cellStyle name="요약 3 3 2" xfId="3162"/>
    <cellStyle name="요약 3 3 2 2" xfId="5332"/>
    <cellStyle name="요약 3 3 2 2 2" xfId="6744"/>
    <cellStyle name="요약 3 3 2 2 2 2" xfId="12428"/>
    <cellStyle name="요약 3 3 2 2 2 2 2" xfId="16867"/>
    <cellStyle name="요약 3 3 2 2 3" xfId="11164"/>
    <cellStyle name="요약 3 3 2 2 3 2" xfId="17381"/>
    <cellStyle name="요약 3 3 2 3" xfId="5903"/>
    <cellStyle name="요약 3 3 2 3 2" xfId="6465"/>
    <cellStyle name="요약 3 3 2 3 2 2" xfId="12150"/>
    <cellStyle name="요약 3 3 2 3 2 2 2" xfId="18906"/>
    <cellStyle name="요약 3 3 2 3 3" xfId="11366"/>
    <cellStyle name="요약 3 3 2 3 3 2" xfId="19625"/>
    <cellStyle name="요약 3 3 2 4" xfId="7051"/>
    <cellStyle name="요약 3 3 2 4 2" xfId="12735"/>
    <cellStyle name="요약 3 3 2 4 2 2" xfId="19897"/>
    <cellStyle name="요약 3 3 2 5" xfId="10762"/>
    <cellStyle name="요약 3 3 2 5 2" xfId="17699"/>
    <cellStyle name="요약 3 3 3" xfId="3163"/>
    <cellStyle name="요약 3 3 3 2" xfId="5333"/>
    <cellStyle name="요약 3 3 3 2 2" xfId="6458"/>
    <cellStyle name="요약 3 3 3 2 2 2" xfId="12143"/>
    <cellStyle name="요약 3 3 3 2 2 2 2" xfId="17031"/>
    <cellStyle name="요약 3 3 3 2 3" xfId="11165"/>
    <cellStyle name="요약 3 3 3 2 3 2" xfId="17380"/>
    <cellStyle name="요약 3 3 3 3" xfId="6053"/>
    <cellStyle name="요약 3 3 3 3 2" xfId="7066"/>
    <cellStyle name="요약 3 3 3 3 2 2" xfId="12750"/>
    <cellStyle name="요약 3 3 3 3 2 2 2" xfId="16844"/>
    <cellStyle name="요약 3 3 3 3 3" xfId="11516"/>
    <cellStyle name="요약 3 3 3 3 3 2" xfId="19563"/>
    <cellStyle name="요약 3 3 3 4" xfId="6826"/>
    <cellStyle name="요약 3 3 3 4 2" xfId="12510"/>
    <cellStyle name="요약 3 3 3 4 2 2" xfId="18378"/>
    <cellStyle name="요약 3 3 3 5" xfId="10763"/>
    <cellStyle name="요약 3 3 3 5 2" xfId="17698"/>
    <cellStyle name="요약 3 3 4" xfId="3164"/>
    <cellStyle name="요약 3 3 4 2" xfId="5334"/>
    <cellStyle name="요약 3 3 4 2 2" xfId="6474"/>
    <cellStyle name="요약 3 3 4 2 2 2" xfId="12159"/>
    <cellStyle name="요약 3 3 4 2 2 2 2" xfId="17020"/>
    <cellStyle name="요약 3 3 4 2 3" xfId="11166"/>
    <cellStyle name="요약 3 3 4 2 3 2" xfId="17379"/>
    <cellStyle name="요약 3 3 4 3" xfId="6009"/>
    <cellStyle name="요약 3 3 4 3 2" xfId="6475"/>
    <cellStyle name="요약 3 3 4 3 2 2" xfId="12160"/>
    <cellStyle name="요약 3 3 4 3 2 2 2" xfId="17019"/>
    <cellStyle name="요약 3 3 4 3 3" xfId="11472"/>
    <cellStyle name="요약 3 3 4 3 3 2" xfId="20074"/>
    <cellStyle name="요약 3 3 4 4" xfId="6827"/>
    <cellStyle name="요약 3 3 4 4 2" xfId="12511"/>
    <cellStyle name="요약 3 3 4 4 2 2" xfId="18377"/>
    <cellStyle name="요약 3 3 4 5" xfId="10764"/>
    <cellStyle name="요약 3 3 4 5 2" xfId="17697"/>
    <cellStyle name="요약 3 3 5" xfId="4146"/>
    <cellStyle name="요약 3 3 6" xfId="4934"/>
    <cellStyle name="요약 3 3 6 2" xfId="5387"/>
    <cellStyle name="요약 3 3 6 2 2" xfId="6748"/>
    <cellStyle name="요약 3 3 6 2 2 2" xfId="12432"/>
    <cellStyle name="요약 3 3 6 2 2 2 2" xfId="18416"/>
    <cellStyle name="요약 3 3 6 2 3" xfId="11219"/>
    <cellStyle name="요약 3 3 6 2 3 2" xfId="17338"/>
    <cellStyle name="요약 3 3 6 3" xfId="5828"/>
    <cellStyle name="요약 3 3 6 3 2" xfId="6770"/>
    <cellStyle name="요약 3 3 6 3 2 2" xfId="12454"/>
    <cellStyle name="요약 3 3 6 3 2 2 2" xfId="19427"/>
    <cellStyle name="요약 3 3 6 3 3" xfId="11291"/>
    <cellStyle name="요약 3 3 6 3 3 2" xfId="17291"/>
    <cellStyle name="요약 3 3 6 4" xfId="6483"/>
    <cellStyle name="요약 3 3 6 4 2" xfId="12168"/>
    <cellStyle name="요약 3 3 6 4 2 2" xfId="18073"/>
    <cellStyle name="요약 3 3 6 5" xfId="10937"/>
    <cellStyle name="요약 3 3 6 5 2" xfId="17559"/>
    <cellStyle name="요약 3 3 7" xfId="5331"/>
    <cellStyle name="요약 3 3 7 2" xfId="5803"/>
    <cellStyle name="요약 3 3 7 2 2" xfId="6767"/>
    <cellStyle name="요약 3 3 7 2 2 2" xfId="12451"/>
    <cellStyle name="요약 3 3 7 2 2 2 2" xfId="19461"/>
    <cellStyle name="요약 3 3 7 2 3" xfId="11266"/>
    <cellStyle name="요약 3 3 7 2 3 2" xfId="18809"/>
    <cellStyle name="요약 3 3 7 3" xfId="6960"/>
    <cellStyle name="요약 3 3 7 3 2" xfId="12644"/>
    <cellStyle name="요약 3 3 7 3 2 2" xfId="19246"/>
    <cellStyle name="요약 3 3 7 4" xfId="11163"/>
    <cellStyle name="요약 3 3 7 4 2" xfId="17382"/>
    <cellStyle name="요약 3 3 8" xfId="7063"/>
    <cellStyle name="요약 3 3 8 2" xfId="12747"/>
    <cellStyle name="요약 3 3 8 2 2" xfId="19441"/>
    <cellStyle name="요약 3 3 9" xfId="10761"/>
    <cellStyle name="요약 3 3 9 2" xfId="17700"/>
    <cellStyle name="요약 3 4" xfId="5109"/>
    <cellStyle name="요약 3 4 2" xfId="6085"/>
    <cellStyle name="요약 3 4 2 2" xfId="6855"/>
    <cellStyle name="요약 3 4 2 2 2" xfId="12539"/>
    <cellStyle name="요약 3 4 2 2 2 2" xfId="19612"/>
    <cellStyle name="요약 3 4 2 3" xfId="11548"/>
    <cellStyle name="요약 3 4 2 3 2" xfId="19546"/>
    <cellStyle name="요약 3 4 3" xfId="7677"/>
    <cellStyle name="요약 3 4 3 2" xfId="12954"/>
    <cellStyle name="요약 3 4 3 2 2" xfId="19954"/>
    <cellStyle name="요약 3 4 4" xfId="10967"/>
    <cellStyle name="요약 3 4 4 2" xfId="17533"/>
    <cellStyle name="요약 3 5" xfId="5853"/>
    <cellStyle name="요약 3 5 2" xfId="6580"/>
    <cellStyle name="요약 3 5 2 2" xfId="12265"/>
    <cellStyle name="요약 3 5 2 2 2" xfId="18198"/>
    <cellStyle name="요약 3 5 3" xfId="11316"/>
    <cellStyle name="요약 3 5 3 2" xfId="18080"/>
    <cellStyle name="요약 3 6" xfId="3159"/>
    <cellStyle name="요약 3 6 2" xfId="6994"/>
    <cellStyle name="요약 3 6 2 2" xfId="12678"/>
    <cellStyle name="요약 3 6 2 2 2" xfId="17990"/>
    <cellStyle name="요약 3 6 3" xfId="10759"/>
    <cellStyle name="요약 3 6 3 2" xfId="17702"/>
    <cellStyle name="요약 4" xfId="314"/>
    <cellStyle name="요약 4 2" xfId="3166"/>
    <cellStyle name="요약 4 2 2" xfId="5106"/>
    <cellStyle name="요약 4 2 2 2" xfId="6082"/>
    <cellStyle name="요약 4 2 2 2 2" xfId="6782"/>
    <cellStyle name="요약 4 2 2 2 2 2" xfId="12466"/>
    <cellStyle name="요약 4 2 2 2 2 2 2" xfId="19861"/>
    <cellStyle name="요약 4 2 2 2 3" xfId="11545"/>
    <cellStyle name="요약 4 2 2 2 3 2" xfId="19335"/>
    <cellStyle name="요약 4 2 2 3" xfId="6884"/>
    <cellStyle name="요약 4 2 2 3 2" xfId="12568"/>
    <cellStyle name="요약 4 2 2 3 2 2" xfId="20058"/>
    <cellStyle name="요약 4 2 2 4" xfId="10964"/>
    <cellStyle name="요약 4 2 2 4 2" xfId="17536"/>
    <cellStyle name="요약 4 2 3" xfId="5944"/>
    <cellStyle name="요약 4 2 3 2" xfId="7073"/>
    <cellStyle name="요약 4 2 3 2 2" xfId="12757"/>
    <cellStyle name="요약 4 2 3 2 2 2" xfId="19062"/>
    <cellStyle name="요약 4 2 3 3" xfId="11407"/>
    <cellStyle name="요약 4 2 3 3 2" xfId="19776"/>
    <cellStyle name="요약 4 2 4" xfId="6923"/>
    <cellStyle name="요약 4 2 4 2" xfId="12607"/>
    <cellStyle name="요약 4 2 4 2 2" xfId="19009"/>
    <cellStyle name="요약 4 2 5" xfId="10766"/>
    <cellStyle name="요약 4 2 5 2" xfId="17695"/>
    <cellStyle name="요약 4 3" xfId="3167"/>
    <cellStyle name="요약 4 3 2" xfId="3168"/>
    <cellStyle name="요약 4 3 2 2" xfId="5336"/>
    <cellStyle name="요약 4 3 2 2 2" xfId="6931"/>
    <cellStyle name="요약 4 3 2 2 2 2" xfId="12615"/>
    <cellStyle name="요약 4 3 2 2 2 2 2" xfId="18528"/>
    <cellStyle name="요약 4 3 2 2 3" xfId="11168"/>
    <cellStyle name="요약 4 3 2 2 3 2" xfId="17377"/>
    <cellStyle name="요약 4 3 2 3" xfId="5905"/>
    <cellStyle name="요약 4 3 2 3 2" xfId="6970"/>
    <cellStyle name="요약 4 3 2 3 2 2" xfId="12654"/>
    <cellStyle name="요약 4 3 2 3 2 2 2" xfId="19318"/>
    <cellStyle name="요약 4 3 2 3 3" xfId="11368"/>
    <cellStyle name="요약 4 3 2 3 3 2" xfId="19309"/>
    <cellStyle name="요약 4 3 2 4" xfId="7040"/>
    <cellStyle name="요약 4 3 2 4 2" xfId="12724"/>
    <cellStyle name="요약 4 3 2 4 2 2" xfId="19038"/>
    <cellStyle name="요약 4 3 2 5" xfId="10768"/>
    <cellStyle name="요약 4 3 2 5 2" xfId="17693"/>
    <cellStyle name="요약 4 3 3" xfId="3169"/>
    <cellStyle name="요약 4 3 3 2" xfId="5337"/>
    <cellStyle name="요약 4 3 3 2 2" xfId="7023"/>
    <cellStyle name="요약 4 3 3 2 2 2" xfId="12707"/>
    <cellStyle name="요약 4 3 3 2 2 2 2" xfId="20000"/>
    <cellStyle name="요약 4 3 3 2 3" xfId="11169"/>
    <cellStyle name="요약 4 3 3 2 3 2" xfId="17376"/>
    <cellStyle name="요약 4 3 3 3" xfId="5904"/>
    <cellStyle name="요약 4 3 3 3 2" xfId="6824"/>
    <cellStyle name="요약 4 3 3 3 2 2" xfId="12508"/>
    <cellStyle name="요약 4 3 3 3 2 2 2" xfId="18380"/>
    <cellStyle name="요약 4 3 3 3 3" xfId="11367"/>
    <cellStyle name="요약 4 3 3 3 3 2" xfId="19930"/>
    <cellStyle name="요약 4 3 3 4" xfId="6943"/>
    <cellStyle name="요약 4 3 3 4 2" xfId="12627"/>
    <cellStyle name="요약 4 3 3 4 2 2" xfId="19195"/>
    <cellStyle name="요약 4 3 3 5" xfId="10769"/>
    <cellStyle name="요약 4 3 3 5 2" xfId="17692"/>
    <cellStyle name="요약 4 3 4" xfId="3170"/>
    <cellStyle name="요약 4 3 4 2" xfId="5338"/>
    <cellStyle name="요약 4 3 4 2 2" xfId="6739"/>
    <cellStyle name="요약 4 3 4 2 2 2" xfId="12423"/>
    <cellStyle name="요약 4 3 4 2 2 2 2" xfId="16872"/>
    <cellStyle name="요약 4 3 4 2 3" xfId="11170"/>
    <cellStyle name="요약 4 3 4 2 3 2" xfId="17375"/>
    <cellStyle name="요약 4 3 4 3" xfId="5838"/>
    <cellStyle name="요약 4 3 4 3 2" xfId="6772"/>
    <cellStyle name="요약 4 3 4 3 2 2" xfId="12456"/>
    <cellStyle name="요약 4 3 4 3 2 2 2" xfId="18634"/>
    <cellStyle name="요약 4 3 4 3 3" xfId="11301"/>
    <cellStyle name="요약 4 3 4 3 3 2" xfId="17286"/>
    <cellStyle name="요약 4 3 4 4" xfId="6987"/>
    <cellStyle name="요약 4 3 4 4 2" xfId="12671"/>
    <cellStyle name="요약 4 3 4 4 2 2" xfId="19937"/>
    <cellStyle name="요약 4 3 4 5" xfId="10770"/>
    <cellStyle name="요약 4 3 4 5 2" xfId="17691"/>
    <cellStyle name="요약 4 3 5" xfId="4145"/>
    <cellStyle name="요약 4 3 6" xfId="4935"/>
    <cellStyle name="요약 4 3 6 2" xfId="5388"/>
    <cellStyle name="요약 4 3 6 2 2" xfId="6895"/>
    <cellStyle name="요약 4 3 6 2 2 2" xfId="12579"/>
    <cellStyle name="요약 4 3 6 2 2 2 2" xfId="18263"/>
    <cellStyle name="요약 4 3 6 2 3" xfId="11220"/>
    <cellStyle name="요약 4 3 6 2 3 2" xfId="17337"/>
    <cellStyle name="요약 4 3 6 3" xfId="5827"/>
    <cellStyle name="요약 4 3 6 3 2" xfId="6486"/>
    <cellStyle name="요약 4 3 6 3 2 2" xfId="12171"/>
    <cellStyle name="요약 4 3 6 3 2 2 2" xfId="17983"/>
    <cellStyle name="요약 4 3 6 3 3" xfId="11290"/>
    <cellStyle name="요약 4 3 6 3 3 2" xfId="17292"/>
    <cellStyle name="요약 4 3 6 4" xfId="6723"/>
    <cellStyle name="요약 4 3 6 4 2" xfId="12407"/>
    <cellStyle name="요약 4 3 6 4 2 2" xfId="16883"/>
    <cellStyle name="요약 4 3 6 5" xfId="10938"/>
    <cellStyle name="요약 4 3 6 5 2" xfId="17558"/>
    <cellStyle name="요약 4 3 7" xfId="5335"/>
    <cellStyle name="요약 4 3 7 2" xfId="5906"/>
    <cellStyle name="요약 4 3 7 2 2" xfId="7085"/>
    <cellStyle name="요약 4 3 7 2 2 2" xfId="12769"/>
    <cellStyle name="요약 4 3 7 2 2 2 2" xfId="19727"/>
    <cellStyle name="요약 4 3 7 2 3" xfId="11369"/>
    <cellStyle name="요약 4 3 7 2 3 2" xfId="19634"/>
    <cellStyle name="요약 4 3 7 3" xfId="6617"/>
    <cellStyle name="요약 4 3 7 3 2" xfId="12302"/>
    <cellStyle name="요약 4 3 7 3 2 2" xfId="17919"/>
    <cellStyle name="요약 4 3 7 4" xfId="11167"/>
    <cellStyle name="요약 4 3 7 4 2" xfId="17378"/>
    <cellStyle name="요약 4 3 8" xfId="7086"/>
    <cellStyle name="요약 4 3 8 2" xfId="12770"/>
    <cellStyle name="요약 4 3 8 2 2" xfId="20029"/>
    <cellStyle name="요약 4 3 9" xfId="10767"/>
    <cellStyle name="요약 4 3 9 2" xfId="17694"/>
    <cellStyle name="요약 4 4" xfId="5107"/>
    <cellStyle name="요약 4 4 2" xfId="6083"/>
    <cellStyle name="요약 4 4 2 2" xfId="6825"/>
    <cellStyle name="요약 4 4 2 2 2" xfId="12509"/>
    <cellStyle name="요약 4 4 2 2 2 2" xfId="18379"/>
    <cellStyle name="요약 4 4 2 3" xfId="11546"/>
    <cellStyle name="요약 4 4 2 3 2" xfId="19005"/>
    <cellStyle name="요약 4 4 3" xfId="7678"/>
    <cellStyle name="요약 4 4 3 2" xfId="12955"/>
    <cellStyle name="요약 4 4 3 2 2" xfId="19333"/>
    <cellStyle name="요약 4 4 4" xfId="10965"/>
    <cellStyle name="요약 4 4 4 2" xfId="17535"/>
    <cellStyle name="요약 4 5" xfId="6006"/>
    <cellStyle name="요약 4 5 2" xfId="6985"/>
    <cellStyle name="요약 4 5 2 2" xfId="12669"/>
    <cellStyle name="요약 4 5 2 2 2" xfId="19310"/>
    <cellStyle name="요약 4 5 3" xfId="11469"/>
    <cellStyle name="요약 4 5 3 2" xfId="19886"/>
    <cellStyle name="요약 4 6" xfId="3165"/>
    <cellStyle name="요약 4 6 2" xfId="6971"/>
    <cellStyle name="요약 4 6 2 2" xfId="12655"/>
    <cellStyle name="요약 4 6 2 2 2" xfId="19777"/>
    <cellStyle name="요약 4 6 3" xfId="10765"/>
    <cellStyle name="요약 4 6 3 2" xfId="17696"/>
    <cellStyle name="요약 5" xfId="315"/>
    <cellStyle name="요약 5 2" xfId="3172"/>
    <cellStyle name="요약 5 2 2" xfId="5105"/>
    <cellStyle name="요약 5 2 2 2" xfId="6081"/>
    <cellStyle name="요약 5 2 2 2 2" xfId="6781"/>
    <cellStyle name="요약 5 2 2 2 2 2" xfId="12465"/>
    <cellStyle name="요약 5 2 2 2 2 2 2" xfId="19556"/>
    <cellStyle name="요약 5 2 2 2 3" xfId="11544"/>
    <cellStyle name="요약 5 2 2 2 3 2" xfId="19956"/>
    <cellStyle name="요약 5 2 2 3" xfId="6728"/>
    <cellStyle name="요약 5 2 2 3 2" xfId="12412"/>
    <cellStyle name="요약 5 2 2 3 2 2" xfId="16879"/>
    <cellStyle name="요약 5 2 2 4" xfId="10963"/>
    <cellStyle name="요약 5 2 2 4 2" xfId="17537"/>
    <cellStyle name="요약 5 2 3" xfId="5852"/>
    <cellStyle name="요약 5 2 3 2" xfId="6543"/>
    <cellStyle name="요약 5 2 3 2 2" xfId="12228"/>
    <cellStyle name="요약 5 2 3 2 2 2" xfId="16968"/>
    <cellStyle name="요약 5 2 3 3" xfId="11315"/>
    <cellStyle name="요약 5 2 3 3 2" xfId="15364"/>
    <cellStyle name="요약 5 2 4" xfId="6817"/>
    <cellStyle name="요약 5 2 4 2" xfId="12501"/>
    <cellStyle name="요약 5 2 4 2 2" xfId="18357"/>
    <cellStyle name="요약 5 2 5" xfId="10772"/>
    <cellStyle name="요약 5 2 5 2" xfId="17689"/>
    <cellStyle name="요약 5 3" xfId="3173"/>
    <cellStyle name="요약 5 3 2" xfId="3174"/>
    <cellStyle name="요약 5 3 2 2" xfId="5340"/>
    <cellStyle name="요약 5 3 2 2 2" xfId="6743"/>
    <cellStyle name="요약 5 3 2 2 2 2" xfId="12427"/>
    <cellStyle name="요약 5 3 2 2 2 2 2" xfId="16868"/>
    <cellStyle name="요약 5 3 2 2 3" xfId="11172"/>
    <cellStyle name="요약 5 3 2 2 3 2" xfId="18592"/>
    <cellStyle name="요약 5 3 2 3" xfId="5899"/>
    <cellStyle name="요약 5 3 2 3 2" xfId="7055"/>
    <cellStyle name="요약 5 3 2 3 2 2" xfId="12739"/>
    <cellStyle name="요약 5 3 2 3 2 2 2" xfId="19397"/>
    <cellStyle name="요약 5 3 2 3 3" xfId="11362"/>
    <cellStyle name="요약 5 3 2 3 3 2" xfId="19707"/>
    <cellStyle name="요약 5 3 2 4" xfId="6829"/>
    <cellStyle name="요약 5 3 2 4 2" xfId="12513"/>
    <cellStyle name="요약 5 3 2 4 2 2" xfId="15532"/>
    <cellStyle name="요약 5 3 2 5" xfId="10774"/>
    <cellStyle name="요약 5 3 2 5 2" xfId="17687"/>
    <cellStyle name="요약 5 3 3" xfId="3175"/>
    <cellStyle name="요약 5 3 3 2" xfId="5341"/>
    <cellStyle name="요약 5 3 3 2 2" xfId="7076"/>
    <cellStyle name="요약 5 3 3 2 2 2" xfId="12760"/>
    <cellStyle name="요약 5 3 3 2 2 2 2" xfId="19274"/>
    <cellStyle name="요약 5 3 3 2 3" xfId="11173"/>
    <cellStyle name="요약 5 3 3 2 3 2" xfId="18321"/>
    <cellStyle name="요약 5 3 3 3" xfId="6052"/>
    <cellStyle name="요약 5 3 3 3 2" xfId="6947"/>
    <cellStyle name="요약 5 3 3 3 2 2" xfId="12631"/>
    <cellStyle name="요약 5 3 3 3 2 2 2" xfId="19046"/>
    <cellStyle name="요약 5 3 3 3 3" xfId="11515"/>
    <cellStyle name="요약 5 3 3 3 3 2" xfId="19093"/>
    <cellStyle name="요약 5 3 3 4" xfId="6695"/>
    <cellStyle name="요약 5 3 3 4 2" xfId="12379"/>
    <cellStyle name="요약 5 3 3 4 2 2" xfId="16896"/>
    <cellStyle name="요약 5 3 3 5" xfId="10775"/>
    <cellStyle name="요약 5 3 3 5 2" xfId="17686"/>
    <cellStyle name="요약 5 3 4" xfId="3176"/>
    <cellStyle name="요약 5 3 4 2" xfId="5342"/>
    <cellStyle name="요약 5 3 4 2 2" xfId="6747"/>
    <cellStyle name="요약 5 3 4 2 2 2" xfId="12431"/>
    <cellStyle name="요약 5 3 4 2 2 2 2" xfId="15369"/>
    <cellStyle name="요약 5 3 4 2 3" xfId="11174"/>
    <cellStyle name="요약 5 3 4 2 3 2" xfId="18274"/>
    <cellStyle name="요약 5 3 4 3" xfId="6010"/>
    <cellStyle name="요약 5 3 4 3 2" xfId="6921"/>
    <cellStyle name="요약 5 3 4 3 2 2" xfId="12605"/>
    <cellStyle name="요약 5 3 4 3 2 2 2" xfId="19960"/>
    <cellStyle name="요약 5 3 4 3 3" xfId="11473"/>
    <cellStyle name="요약 5 3 4 3 3 2" xfId="19453"/>
    <cellStyle name="요약 5 3 4 4" xfId="7014"/>
    <cellStyle name="요약 5 3 4 4 2" xfId="12698"/>
    <cellStyle name="요약 5 3 4 4 2 2" xfId="20065"/>
    <cellStyle name="요약 5 3 4 5" xfId="10776"/>
    <cellStyle name="요약 5 3 4 5 2" xfId="17685"/>
    <cellStyle name="요약 5 3 5" xfId="4144"/>
    <cellStyle name="요약 5 3 6" xfId="4936"/>
    <cellStyle name="요약 5 3 6 2" xfId="5389"/>
    <cellStyle name="요약 5 3 6 2 2" xfId="6749"/>
    <cellStyle name="요약 5 3 6 2 2 2" xfId="12433"/>
    <cellStyle name="요약 5 3 6 2 2 2 2" xfId="19559"/>
    <cellStyle name="요약 5 3 6 2 3" xfId="11221"/>
    <cellStyle name="요약 5 3 6 2 3 2" xfId="17336"/>
    <cellStyle name="요약 5 3 6 3" xfId="5884"/>
    <cellStyle name="요약 5 3 6 3 2" xfId="6616"/>
    <cellStyle name="요약 5 3 6 3 2 2" xfId="12301"/>
    <cellStyle name="요약 5 3 6 3 2 2 2" xfId="16934"/>
    <cellStyle name="요약 5 3 6 3 3" xfId="11347"/>
    <cellStyle name="요약 5 3 6 3 3 2" xfId="19354"/>
    <cellStyle name="요약 5 3 6 4" xfId="6830"/>
    <cellStyle name="요약 5 3 6 4 2" xfId="12514"/>
    <cellStyle name="요약 5 3 6 4 2 2" xfId="15419"/>
    <cellStyle name="요약 5 3 6 5" xfId="10939"/>
    <cellStyle name="요약 5 3 6 5 2" xfId="17557"/>
    <cellStyle name="요약 5 3 7" xfId="5339"/>
    <cellStyle name="요약 5 3 7 2" xfId="5837"/>
    <cellStyle name="요약 5 3 7 2 2" xfId="6487"/>
    <cellStyle name="요약 5 3 7 2 2 2" xfId="12172"/>
    <cellStyle name="요약 5 3 7 2 2 2 2" xfId="17012"/>
    <cellStyle name="요약 5 3 7 2 3" xfId="11300"/>
    <cellStyle name="요약 5 3 7 2 3 2" xfId="17287"/>
    <cellStyle name="요약 5 3 7 3" xfId="6484"/>
    <cellStyle name="요약 5 3 7 3 2" xfId="12169"/>
    <cellStyle name="요약 5 3 7 3 2 2" xfId="18903"/>
    <cellStyle name="요약 5 3 7 4" xfId="11171"/>
    <cellStyle name="요약 5 3 7 4 2" xfId="18615"/>
    <cellStyle name="요약 5 3 8" xfId="6821"/>
    <cellStyle name="요약 5 3 8 2" xfId="12505"/>
    <cellStyle name="요약 5 3 8 2 2" xfId="18395"/>
    <cellStyle name="요약 5 3 9" xfId="10773"/>
    <cellStyle name="요약 5 3 9 2" xfId="17688"/>
    <cellStyle name="요약 5 4" xfId="5170"/>
    <cellStyle name="요약 5 4 2" xfId="6146"/>
    <cellStyle name="요약 5 4 2 2" xfId="6788"/>
    <cellStyle name="요약 5 4 2 2 2" xfId="12472"/>
    <cellStyle name="요약 5 4 2 2 2 2" xfId="18408"/>
    <cellStyle name="요약 5 4 2 3" xfId="11609"/>
    <cellStyle name="요약 5 4 2 3 2" xfId="19121"/>
    <cellStyle name="요약 5 4 3" xfId="7074"/>
    <cellStyle name="요약 5 4 3 2" xfId="12758"/>
    <cellStyle name="요약 5 4 3 2 2" xfId="19590"/>
    <cellStyle name="요약 5 4 4" xfId="11028"/>
    <cellStyle name="요약 5 4 4 2" xfId="17492"/>
    <cellStyle name="요약 5 5" xfId="5943"/>
    <cellStyle name="요약 5 5 2" xfId="6955"/>
    <cellStyle name="요약 5 5 2 2" xfId="12639"/>
    <cellStyle name="요약 5 5 2 2 2" xfId="19125"/>
    <cellStyle name="요약 5 5 3" xfId="11406"/>
    <cellStyle name="요약 5 5 3 2" xfId="19317"/>
    <cellStyle name="요약 5 6" xfId="3171"/>
    <cellStyle name="요약 5 6 2" xfId="6828"/>
    <cellStyle name="요약 5 6 2 2" xfId="12512"/>
    <cellStyle name="요약 5 6 2 2 2" xfId="18376"/>
    <cellStyle name="요약 5 6 3" xfId="10771"/>
    <cellStyle name="요약 5 6 3 2" xfId="17690"/>
    <cellStyle name="요약 6" xfId="316"/>
    <cellStyle name="요약 6 2" xfId="3178"/>
    <cellStyle name="요약 6 2 2" xfId="5103"/>
    <cellStyle name="요약 6 2 2 2" xfId="6079"/>
    <cellStyle name="요약 6 2 2 2 2" xfId="6779"/>
    <cellStyle name="요약 6 2 2 2 2 2" xfId="12463"/>
    <cellStyle name="요약 6 2 2 2 2 2 2" xfId="18410"/>
    <cellStyle name="요약 6 2 2 2 3" xfId="11542"/>
    <cellStyle name="요약 6 2 2 2 3 2" xfId="19258"/>
    <cellStyle name="요약 6 2 2 3" xfId="7679"/>
    <cellStyle name="요약 6 2 2 3 2" xfId="12956"/>
    <cellStyle name="요약 6 2 2 3 2 2" xfId="19003"/>
    <cellStyle name="요약 6 2 2 4" xfId="10961"/>
    <cellStyle name="요약 6 2 2 4 2" xfId="17539"/>
    <cellStyle name="요약 6 2 3" xfId="5815"/>
    <cellStyle name="요약 6 2 3 2" xfId="7673"/>
    <cellStyle name="요약 6 2 3 2 2" xfId="12950"/>
    <cellStyle name="요약 6 2 3 2 2 2" xfId="19481"/>
    <cellStyle name="요약 6 2 3 3" xfId="11278"/>
    <cellStyle name="요약 6 2 3 3 2" xfId="17304"/>
    <cellStyle name="요약 6 2 4" xfId="6478"/>
    <cellStyle name="요약 6 2 4 2" xfId="12163"/>
    <cellStyle name="요약 6 2 4 2 2" xfId="17016"/>
    <cellStyle name="요약 6 2 5" xfId="10778"/>
    <cellStyle name="요약 6 2 5 2" xfId="17683"/>
    <cellStyle name="요약 6 3" xfId="3179"/>
    <cellStyle name="요약 6 3 2" xfId="3180"/>
    <cellStyle name="요약 6 3 2 2" xfId="5344"/>
    <cellStyle name="요약 6 3 2 2 2" xfId="6578"/>
    <cellStyle name="요약 6 3 2 2 2 2" xfId="12263"/>
    <cellStyle name="요약 6 3 2 2 2 2 2" xfId="16951"/>
    <cellStyle name="요약 6 3 2 2 3" xfId="11176"/>
    <cellStyle name="요약 6 3 2 2 3 2" xfId="17373"/>
    <cellStyle name="요약 6 3 2 3" xfId="5901"/>
    <cellStyle name="요약 6 3 2 3 2" xfId="6761"/>
    <cellStyle name="요약 6 3 2 3 2 2" xfId="12445"/>
    <cellStyle name="요약 6 3 2 3 2 2 2" xfId="19621"/>
    <cellStyle name="요약 6 3 2 3 3" xfId="11364"/>
    <cellStyle name="요약 6 3 2 3 3 2" xfId="19388"/>
    <cellStyle name="요약 6 3 2 4" xfId="6692"/>
    <cellStyle name="요약 6 3 2 4 2" xfId="12376"/>
    <cellStyle name="요약 6 3 2 4 2 2" xfId="16898"/>
    <cellStyle name="요약 6 3 2 5" xfId="10780"/>
    <cellStyle name="요약 6 3 2 5 2" xfId="17681"/>
    <cellStyle name="요약 6 3 3" xfId="3181"/>
    <cellStyle name="요약 6 3 3 2" xfId="5345"/>
    <cellStyle name="요약 6 3 3 2 2" xfId="7011"/>
    <cellStyle name="요약 6 3 3 2 2 2" xfId="12695"/>
    <cellStyle name="요약 6 3 3 2 2 2 2" xfId="19839"/>
    <cellStyle name="요약 6 3 3 2 3" xfId="11177"/>
    <cellStyle name="요약 6 3 3 2 3 2" xfId="17372"/>
    <cellStyle name="요약 6 3 3 3" xfId="5900"/>
    <cellStyle name="요약 6 3 3 3 2" xfId="7077"/>
    <cellStyle name="요약 6 3 3 3 2 2" xfId="12761"/>
    <cellStyle name="요약 6 3 3 3 2 2 2" xfId="19649"/>
    <cellStyle name="요약 6 3 3 3 3" xfId="11363"/>
    <cellStyle name="요약 6 3 3 3 3 2" xfId="20009"/>
    <cellStyle name="요약 6 3 3 4" xfId="6693"/>
    <cellStyle name="요약 6 3 3 4 2" xfId="12377"/>
    <cellStyle name="요약 6 3 3 4 2 2" xfId="17959"/>
    <cellStyle name="요약 6 3 3 5" xfId="10781"/>
    <cellStyle name="요약 6 3 3 5 2" xfId="17680"/>
    <cellStyle name="요약 6 3 4" xfId="3182"/>
    <cellStyle name="요약 6 3 4 2" xfId="5346"/>
    <cellStyle name="요약 6 3 4 2 2" xfId="6890"/>
    <cellStyle name="요약 6 3 4 2 2 2" xfId="12574"/>
    <cellStyle name="요약 6 3 4 2 2 2 2" xfId="19676"/>
    <cellStyle name="요약 6 3 4 2 3" xfId="11178"/>
    <cellStyle name="요약 6 3 4 2 3 2" xfId="17371"/>
    <cellStyle name="요약 6 3 4 3" xfId="5836"/>
    <cellStyle name="요약 6 3 4 3 2" xfId="6769"/>
    <cellStyle name="요약 6 3 4 3 2 2" xfId="12453"/>
    <cellStyle name="요약 6 3 4 3 2 2 2" xfId="20048"/>
    <cellStyle name="요약 6 3 4 3 3" xfId="11299"/>
    <cellStyle name="요약 6 3 4 3 3 2" xfId="17288"/>
    <cellStyle name="요약 6 3 4 4" xfId="6694"/>
    <cellStyle name="요약 6 3 4 4 2" xfId="12378"/>
    <cellStyle name="요약 6 3 4 4 2 2" xfId="16897"/>
    <cellStyle name="요약 6 3 4 5" xfId="10782"/>
    <cellStyle name="요약 6 3 4 5 2" xfId="17679"/>
    <cellStyle name="요약 6 3 5" xfId="4143"/>
    <cellStyle name="요약 6 3 6" xfId="4937"/>
    <cellStyle name="요약 6 3 6 2" xfId="5390"/>
    <cellStyle name="요약 6 3 6 2 2" xfId="7069"/>
    <cellStyle name="요약 6 3 6 2 2 2" xfId="12753"/>
    <cellStyle name="요약 6 3 6 2 2 2 2" xfId="19171"/>
    <cellStyle name="요약 6 3 6 2 3" xfId="11222"/>
    <cellStyle name="요약 6 3 6 2 3 2" xfId="17335"/>
    <cellStyle name="요약 6 3 6 3" xfId="6049"/>
    <cellStyle name="요약 6 3 6 3 2" xfId="7033"/>
    <cellStyle name="요약 6 3 6 3 2 2" xfId="12717"/>
    <cellStyle name="요약 6 3 6 3 2 2 2" xfId="18553"/>
    <cellStyle name="요약 6 3 6 3 3" xfId="11512"/>
    <cellStyle name="요약 6 3 6 3 3 2" xfId="19742"/>
    <cellStyle name="요약 6 3 6 4" xfId="6850"/>
    <cellStyle name="요약 6 3 6 4 2" xfId="12534"/>
    <cellStyle name="요약 6 3 6 4 2 2" xfId="19210"/>
    <cellStyle name="요약 6 3 6 5" xfId="10940"/>
    <cellStyle name="요약 6 3 6 5 2" xfId="17556"/>
    <cellStyle name="요약 6 3 7" xfId="5343"/>
    <cellStyle name="요약 6 3 7 2" xfId="5902"/>
    <cellStyle name="요약 6 3 7 2 2" xfId="6976"/>
    <cellStyle name="요약 6 3 7 2 2 2" xfId="12660"/>
    <cellStyle name="요약 6 3 7 2 2 2 2" xfId="19551"/>
    <cellStyle name="요약 6 3 7 2 3" xfId="11365"/>
    <cellStyle name="요약 6 3 7 2 3 2" xfId="19058"/>
    <cellStyle name="요약 6 3 7 3" xfId="6538"/>
    <cellStyle name="요약 6 3 7 3 2" xfId="12223"/>
    <cellStyle name="요약 6 3 7 3 2 2" xfId="16971"/>
    <cellStyle name="요약 6 3 7 4" xfId="11175"/>
    <cellStyle name="요약 6 3 7 4 2" xfId="17374"/>
    <cellStyle name="요약 6 3 8" xfId="6691"/>
    <cellStyle name="요약 6 3 8 2" xfId="12375"/>
    <cellStyle name="요약 6 3 8 2 2" xfId="17958"/>
    <cellStyle name="요약 6 3 9" xfId="10779"/>
    <cellStyle name="요약 6 3 9 2" xfId="17682"/>
    <cellStyle name="요약 6 4" xfId="5104"/>
    <cellStyle name="요약 6 4 2" xfId="6080"/>
    <cellStyle name="요약 6 4 2 2" xfId="6780"/>
    <cellStyle name="요약 6 4 2 2 2" xfId="12464"/>
    <cellStyle name="요약 6 4 2 2 2 2" xfId="18409"/>
    <cellStyle name="요약 6 4 2 3" xfId="11543"/>
    <cellStyle name="요약 6 4 2 3 2" xfId="19654"/>
    <cellStyle name="요약 6 4 3" xfId="6883"/>
    <cellStyle name="요약 6 4 3 2" xfId="12567"/>
    <cellStyle name="요약 6 4 3 2 2" xfId="19756"/>
    <cellStyle name="요약 6 4 4" xfId="10962"/>
    <cellStyle name="요약 6 4 4 2" xfId="17538"/>
    <cellStyle name="요약 6 5" xfId="5851"/>
    <cellStyle name="요약 6 5 2" xfId="6785"/>
    <cellStyle name="요약 6 5 2 2" xfId="12469"/>
    <cellStyle name="요약 6 5 2 2 2" xfId="20035"/>
    <cellStyle name="요약 6 5 3" xfId="11314"/>
    <cellStyle name="요약 6 5 3 2" xfId="15420"/>
    <cellStyle name="요약 6 6" xfId="3177"/>
    <cellStyle name="요약 6 6 2" xfId="6684"/>
    <cellStyle name="요약 6 6 2 2" xfId="12368"/>
    <cellStyle name="요약 6 6 2 2 2" xfId="16900"/>
    <cellStyle name="요약 6 6 3" xfId="10777"/>
    <cellStyle name="요약 6 6 3 2" xfId="17684"/>
    <cellStyle name="요약 7" xfId="317"/>
    <cellStyle name="요약 7 2" xfId="3184"/>
    <cellStyle name="요약 7 2 2" xfId="5101"/>
    <cellStyle name="요약 7 2 2 2" xfId="6077"/>
    <cellStyle name="요약 7 2 2 2 2" xfId="6877"/>
    <cellStyle name="요약 7 2 2 2 2 2" xfId="12561"/>
    <cellStyle name="요약 7 2 2 2 2 2 2" xfId="19447"/>
    <cellStyle name="요약 7 2 2 2 3" xfId="11540"/>
    <cellStyle name="요약 7 2 2 2 3 2" xfId="19574"/>
    <cellStyle name="요약 7 2 2 3" xfId="6489"/>
    <cellStyle name="요약 7 2 2 3 2" xfId="12174"/>
    <cellStyle name="요약 7 2 2 3 2 2" xfId="17010"/>
    <cellStyle name="요약 7 2 2 4" xfId="10959"/>
    <cellStyle name="요약 7 2 2 4 2" xfId="17541"/>
    <cellStyle name="요약 7 2 3" xfId="6007"/>
    <cellStyle name="요약 7 2 3 2" xfId="7044"/>
    <cellStyle name="요약 7 2 3 2 2" xfId="12728"/>
    <cellStyle name="요약 7 2 3 2 2 2" xfId="19793"/>
    <cellStyle name="요약 7 2 3 3" xfId="11470"/>
    <cellStyle name="요약 7 2 3 3 2" xfId="19265"/>
    <cellStyle name="요약 7 2 4" xfId="7060"/>
    <cellStyle name="요약 7 2 4 2" xfId="12744"/>
    <cellStyle name="요약 7 2 4 2 2" xfId="19233"/>
    <cellStyle name="요약 7 2 5" xfId="10784"/>
    <cellStyle name="요약 7 2 5 2" xfId="17665"/>
    <cellStyle name="요약 7 3" xfId="3185"/>
    <cellStyle name="요약 7 3 2" xfId="3186"/>
    <cellStyle name="요약 7 3 2 2" xfId="5348"/>
    <cellStyle name="요약 7 3 2 2 2" xfId="6891"/>
    <cellStyle name="요약 7 3 2 2 2 2" xfId="12575"/>
    <cellStyle name="요약 7 3 2 2 2 2 2" xfId="19978"/>
    <cellStyle name="요약 7 3 2 2 3" xfId="11180"/>
    <cellStyle name="요약 7 3 2 2 3 2" xfId="17369"/>
    <cellStyle name="요약 7 3 2 3" xfId="5834"/>
    <cellStyle name="요약 7 3 2 3 2" xfId="6918"/>
    <cellStyle name="요약 7 3 2 3 2 2" xfId="12602"/>
    <cellStyle name="요약 7 3 2 3 2 2 2" xfId="19817"/>
    <cellStyle name="요약 7 3 2 3 3" xfId="11297"/>
    <cellStyle name="요약 7 3 2 3 3 2" xfId="17290"/>
    <cellStyle name="요약 7 3 2 4" xfId="7007"/>
    <cellStyle name="요약 7 3 2 4 2" xfId="12691"/>
    <cellStyle name="요약 7 3 2 4 2 2" xfId="19329"/>
    <cellStyle name="요약 7 3 2 5" xfId="10786"/>
    <cellStyle name="요약 7 3 2 5 2" xfId="18628"/>
    <cellStyle name="요약 7 3 3" xfId="3187"/>
    <cellStyle name="요약 7 3 3 2" xfId="5349"/>
    <cellStyle name="요약 7 3 3 2 2" xfId="6746"/>
    <cellStyle name="요약 7 3 3 2 2 2" xfId="12430"/>
    <cellStyle name="요약 7 3 3 2 2 2 2" xfId="16865"/>
    <cellStyle name="요약 7 3 3 2 3" xfId="11181"/>
    <cellStyle name="요약 7 3 3 2 3 2" xfId="17368"/>
    <cellStyle name="요약 7 3 3 3" xfId="5895"/>
    <cellStyle name="요약 7 3 3 3 2" xfId="7048"/>
    <cellStyle name="요약 7 3 3 3 2 2" xfId="12732"/>
    <cellStyle name="요약 7 3 3 3 2 2 2" xfId="19338"/>
    <cellStyle name="요약 7 3 3 3 3" xfId="11358"/>
    <cellStyle name="요약 7 3 3 3 3 2" xfId="18086"/>
    <cellStyle name="요약 7 3 3 4" xfId="6560"/>
    <cellStyle name="요약 7 3 3 4 2" xfId="12245"/>
    <cellStyle name="요약 7 3 3 4 2 2" xfId="18511"/>
    <cellStyle name="요약 7 3 3 5" xfId="10787"/>
    <cellStyle name="요약 7 3 3 5 2" xfId="18605"/>
    <cellStyle name="요약 7 3 4" xfId="3188"/>
    <cellStyle name="요약 7 3 4 2" xfId="5350"/>
    <cellStyle name="요약 7 3 4 2 2" xfId="6892"/>
    <cellStyle name="요약 7 3 4 2 2 2" xfId="12576"/>
    <cellStyle name="요약 7 3 4 2 2 2 2" xfId="19357"/>
    <cellStyle name="요약 7 3 4 2 3" xfId="11182"/>
    <cellStyle name="요약 7 3 4 2 3 2" xfId="17367"/>
    <cellStyle name="요약 7 3 4 3" xfId="6051"/>
    <cellStyle name="요약 7 3 4 3 2" xfId="6492"/>
    <cellStyle name="요약 7 3 4 3 2 2" xfId="12177"/>
    <cellStyle name="요약 7 3 4 3 2 2 2" xfId="17007"/>
    <cellStyle name="요약 7 3 4 3 3" xfId="11514"/>
    <cellStyle name="요약 7 3 4 3 3 2" xfId="19423"/>
    <cellStyle name="요약 7 3 4 4" xfId="6845"/>
    <cellStyle name="요약 7 3 4 4 2" xfId="12529"/>
    <cellStyle name="요약 7 3 4 4 2 2" xfId="19325"/>
    <cellStyle name="요약 7 3 4 5" xfId="10788"/>
    <cellStyle name="요약 7 3 4 5 2" xfId="18335"/>
    <cellStyle name="요약 7 3 5" xfId="4142"/>
    <cellStyle name="요약 7 3 6" xfId="4938"/>
    <cellStyle name="요약 7 3 6 2" xfId="5391"/>
    <cellStyle name="요약 7 3 6 2 2" xfId="6750"/>
    <cellStyle name="요약 7 3 6 2 2 2" xfId="12434"/>
    <cellStyle name="요약 7 3 6 2 2 2 2" xfId="19864"/>
    <cellStyle name="요약 7 3 6 2 3" xfId="11223"/>
    <cellStyle name="요약 7 3 6 2 3 2" xfId="17334"/>
    <cellStyle name="요약 7 3 6 3" xfId="6013"/>
    <cellStyle name="요약 7 3 6 3 2" xfId="6764"/>
    <cellStyle name="요약 7 3 6 3 2 2" xfId="12448"/>
    <cellStyle name="요약 7 3 6 3 2 2 2" xfId="19746"/>
    <cellStyle name="요약 7 3 6 3 3" xfId="11476"/>
    <cellStyle name="요약 7 3 6 3 3 2" xfId="19537"/>
    <cellStyle name="요약 7 3 6 4" xfId="7694"/>
    <cellStyle name="요약 7 3 6 4 2" xfId="12971"/>
    <cellStyle name="요약 7 3 6 4 2 2" xfId="19083"/>
    <cellStyle name="요약 7 3 6 5" xfId="10941"/>
    <cellStyle name="요약 7 3 6 5 2" xfId="17555"/>
    <cellStyle name="요약 7 3 7" xfId="5347"/>
    <cellStyle name="요약 7 3 7 2" xfId="5835"/>
    <cellStyle name="요약 7 3 7 2 2" xfId="6867"/>
    <cellStyle name="요약 7 3 7 2 2 2" xfId="12551"/>
    <cellStyle name="요약 7 3 7 2 2 2 2" xfId="19175"/>
    <cellStyle name="요약 7 3 7 2 3" xfId="11298"/>
    <cellStyle name="요약 7 3 7 2 3 2" xfId="17289"/>
    <cellStyle name="요약 7 3 7 3" xfId="6745"/>
    <cellStyle name="요약 7 3 7 3 2" xfId="12429"/>
    <cellStyle name="요약 7 3 7 3 2 2" xfId="16866"/>
    <cellStyle name="요약 7 3 7 4" xfId="11179"/>
    <cellStyle name="요약 7 3 7 4 2" xfId="17370"/>
    <cellStyle name="요약 7 3 8" xfId="6957"/>
    <cellStyle name="요약 7 3 8 2" xfId="12641"/>
    <cellStyle name="요약 7 3 8 2 2" xfId="18729"/>
    <cellStyle name="요약 7 3 9" xfId="10785"/>
    <cellStyle name="요약 7 3 9 2" xfId="18637"/>
    <cellStyle name="요약 7 4" xfId="5102"/>
    <cellStyle name="요약 7 4 2" xfId="6078"/>
    <cellStyle name="요약 7 4 2 2" xfId="6778"/>
    <cellStyle name="요약 7 4 2 2 2" xfId="12462"/>
    <cellStyle name="요약 7 4 2 2 2 2" xfId="18411"/>
    <cellStyle name="요약 7 4 2 3" xfId="11541"/>
    <cellStyle name="요약 7 4 2 3 2" xfId="19879"/>
    <cellStyle name="요약 7 4 3" xfId="6727"/>
    <cellStyle name="요약 7 4 3 2" xfId="12411"/>
    <cellStyle name="요약 7 4 3 2 2" xfId="16880"/>
    <cellStyle name="요약 7 4 4" xfId="10960"/>
    <cellStyle name="요약 7 4 4 2" xfId="17540"/>
    <cellStyle name="요약 7 5" xfId="6055"/>
    <cellStyle name="요약 7 5 2" xfId="6775"/>
    <cellStyle name="요약 7 5 2 2" xfId="12459"/>
    <cellStyle name="요약 7 5 2 2 2" xfId="19862"/>
    <cellStyle name="요약 7 5 3" xfId="11518"/>
    <cellStyle name="요약 7 5 3 2" xfId="19248"/>
    <cellStyle name="요약 7 6" xfId="3183"/>
    <cellStyle name="요약 7 6 2" xfId="6820"/>
    <cellStyle name="요약 7 6 2 2" xfId="12504"/>
    <cellStyle name="요약 7 6 2 2 2" xfId="18396"/>
    <cellStyle name="요약 7 6 3" xfId="10783"/>
    <cellStyle name="요약 7 6 3 2" xfId="19156"/>
    <cellStyle name="요약 8" xfId="3189"/>
    <cellStyle name="요약 8 2" xfId="3190"/>
    <cellStyle name="요약 8 2 2" xfId="3191"/>
    <cellStyle name="요약 8 2 2 2" xfId="5352"/>
    <cellStyle name="요약 8 2 2 2 2" xfId="6893"/>
    <cellStyle name="요약 8 2 2 2 2 2" xfId="12577"/>
    <cellStyle name="요약 8 2 2 2 2 2 2" xfId="19027"/>
    <cellStyle name="요약 8 2 2 2 3" xfId="11184"/>
    <cellStyle name="요약 8 2 2 2 3 2" xfId="17365"/>
    <cellStyle name="요약 8 2 2 3" xfId="5898"/>
    <cellStyle name="요약 8 2 2 3 2" xfId="7083"/>
    <cellStyle name="요약 8 2 2 3 2 2" xfId="12767"/>
    <cellStyle name="요약 8 2 2 3 2 2 2" xfId="19848"/>
    <cellStyle name="요약 8 2 2 3 3" xfId="11361"/>
    <cellStyle name="요약 8 2 2 3 3 2" xfId="19196"/>
    <cellStyle name="요약 8 2 2 4" xfId="6690"/>
    <cellStyle name="요약 8 2 2 4 2" xfId="12374"/>
    <cellStyle name="요약 8 2 2 4 2 2" xfId="16899"/>
    <cellStyle name="요약 8 2 2 5" xfId="10791"/>
    <cellStyle name="요약 8 2 2 5 2" xfId="17677"/>
    <cellStyle name="요약 8 2 3" xfId="3192"/>
    <cellStyle name="요약 8 2 3 2" xfId="5353"/>
    <cellStyle name="요약 8 2 3 2 2" xfId="6539"/>
    <cellStyle name="요약 8 2 3 2 2 2" xfId="12224"/>
    <cellStyle name="요약 8 2 3 2 2 2 2" xfId="16970"/>
    <cellStyle name="요약 8 2 3 2 3" xfId="11185"/>
    <cellStyle name="요약 8 2 3 2 3 2" xfId="17364"/>
    <cellStyle name="요약 8 2 3 3" xfId="5897"/>
    <cellStyle name="요약 8 2 3 3 2" xfId="6965"/>
    <cellStyle name="요약 8 2 3 3 2 2" xfId="12649"/>
    <cellStyle name="요약 8 2 3 3 2 2 2" xfId="19628"/>
    <cellStyle name="요약 8 2 3 3 3" xfId="11360"/>
    <cellStyle name="요약 8 2 3 3 3 2" xfId="19816"/>
    <cellStyle name="요약 8 2 3 4" xfId="6479"/>
    <cellStyle name="요약 8 2 3 4 2" xfId="12164"/>
    <cellStyle name="요약 8 2 3 4 2 2" xfId="17015"/>
    <cellStyle name="요약 8 2 3 5" xfId="10792"/>
    <cellStyle name="요약 8 2 3 5 2" xfId="17676"/>
    <cellStyle name="요약 8 2 4" xfId="3193"/>
    <cellStyle name="요약 8 2 4 2" xfId="5354"/>
    <cellStyle name="요약 8 2 4 2 2" xfId="6579"/>
    <cellStyle name="요약 8 2 4 2 2 2" xfId="12264"/>
    <cellStyle name="요약 8 2 4 2 2 2 2" xfId="18510"/>
    <cellStyle name="요약 8 2 4 2 3" xfId="11186"/>
    <cellStyle name="요약 8 2 4 2 3 2" xfId="17363"/>
    <cellStyle name="요약 8 2 4 3" xfId="5896"/>
    <cellStyle name="요약 8 2 4 3 2" xfId="6760"/>
    <cellStyle name="요약 8 2 4 3 2 2" xfId="12444"/>
    <cellStyle name="요약 8 2 4 3 2 2 2" xfId="19243"/>
    <cellStyle name="요약 8 2 4 3 3" xfId="11359"/>
    <cellStyle name="요약 8 2 4 3 3 2" xfId="19511"/>
    <cellStyle name="요약 8 2 4 4" xfId="6696"/>
    <cellStyle name="요약 8 2 4 4 2" xfId="12380"/>
    <cellStyle name="요약 8 2 4 4 2 2" xfId="16895"/>
    <cellStyle name="요약 8 2 4 5" xfId="10793"/>
    <cellStyle name="요약 8 2 4 5 2" xfId="17675"/>
    <cellStyle name="요약 8 2 5" xfId="4141"/>
    <cellStyle name="요약 8 2 6" xfId="4939"/>
    <cellStyle name="요약 8 2 6 2" xfId="5392"/>
    <cellStyle name="요약 8 2 6 2 2" xfId="6540"/>
    <cellStyle name="요약 8 2 6 2 2 2" xfId="12225"/>
    <cellStyle name="요약 8 2 6 2 2 2 2" xfId="16969"/>
    <cellStyle name="요약 8 2 6 2 3" xfId="11224"/>
    <cellStyle name="요약 8 2 6 2 3 2" xfId="17333"/>
    <cellStyle name="요약 8 2 6 3" xfId="5885"/>
    <cellStyle name="요약 8 2 6 3 2" xfId="6759"/>
    <cellStyle name="요약 8 2 6 3 2 2" xfId="12443"/>
    <cellStyle name="요약 8 2 6 3 2 2 2" xfId="19863"/>
    <cellStyle name="요약 8 2 6 3 3" xfId="11348"/>
    <cellStyle name="요약 8 2 6 3 3 2" xfId="19024"/>
    <cellStyle name="요약 8 2 6 4" xfId="6905"/>
    <cellStyle name="요약 8 2 6 4 2" xfId="12589"/>
    <cellStyle name="요약 8 2 6 4 2 2" xfId="16857"/>
    <cellStyle name="요약 8 2 6 5" xfId="10942"/>
    <cellStyle name="요약 8 2 6 5 2" xfId="17554"/>
    <cellStyle name="요약 8 2 7" xfId="5351"/>
    <cellStyle name="요약 8 2 7 2" xfId="6011"/>
    <cellStyle name="요약 8 2 7 2 2" xfId="7082"/>
    <cellStyle name="요약 8 2 7 2 2 2" xfId="12766"/>
    <cellStyle name="요약 8 2 7 2 2 2 2" xfId="19543"/>
    <cellStyle name="요약 8 2 7 2 3" xfId="11474"/>
    <cellStyle name="요약 8 2 7 2 3 2" xfId="19123"/>
    <cellStyle name="요약 8 2 7 3" xfId="7045"/>
    <cellStyle name="요약 8 2 7 3 2" xfId="12729"/>
    <cellStyle name="요약 8 2 7 3 2 2" xfId="19172"/>
    <cellStyle name="요약 8 2 7 4" xfId="11183"/>
    <cellStyle name="요약 8 2 7 4 2" xfId="17366"/>
    <cellStyle name="요약 8 2 8" xfId="7015"/>
    <cellStyle name="요약 8 2 8 2" xfId="12699"/>
    <cellStyle name="요약 8 2 8 2 2" xfId="19444"/>
    <cellStyle name="요약 8 2 9" xfId="10790"/>
    <cellStyle name="요약 8 2 9 2" xfId="17678"/>
    <cellStyle name="요약 8 3" xfId="5100"/>
    <cellStyle name="요약 8 3 2" xfId="6076"/>
    <cellStyle name="요약 8 3 2 2" xfId="6587"/>
    <cellStyle name="요약 8 3 2 2 2" xfId="12272"/>
    <cellStyle name="요약 8 3 2 2 2 2" xfId="16948"/>
    <cellStyle name="요약 8 3 2 3" xfId="11539"/>
    <cellStyle name="요약 8 3 2 3 2" xfId="19102"/>
    <cellStyle name="요약 8 3 3" xfId="7020"/>
    <cellStyle name="요약 8 3 3 2" xfId="12704"/>
    <cellStyle name="요약 8 3 3 2 2" xfId="19794"/>
    <cellStyle name="요약 8 3 4" xfId="10958"/>
    <cellStyle name="요약 8 3 4 2" xfId="17542"/>
    <cellStyle name="요약 8 4" xfId="5941"/>
    <cellStyle name="요약 8 4 2" xfId="6861"/>
    <cellStyle name="요약 8 4 2 2" xfId="12545"/>
    <cellStyle name="요약 8 4 2 2 2" xfId="19072"/>
    <cellStyle name="요약 8 4 3" xfId="11404"/>
    <cellStyle name="요약 8 4 3 2" xfId="19636"/>
    <cellStyle name="요약 8 5" xfId="6924"/>
    <cellStyle name="요약 8 5 2" xfId="12608"/>
    <cellStyle name="요약 8 5 2 2" xfId="19560"/>
    <cellStyle name="요약 8 6" xfId="10789"/>
    <cellStyle name="요약 8 6 2" xfId="18288"/>
    <cellStyle name="요약 9" xfId="5223"/>
    <cellStyle name="요약 9 2" xfId="6199"/>
    <cellStyle name="요약 9 2 2" xfId="6795"/>
    <cellStyle name="요약 9 2 2 2" xfId="9690"/>
    <cellStyle name="요약 9 2 2 2 2" xfId="14586"/>
    <cellStyle name="요약 9 2 2 2 2 2" xfId="15999"/>
    <cellStyle name="요약 9 2 2 3" xfId="12479"/>
    <cellStyle name="요약 9 2 2 3 2" xfId="18387"/>
    <cellStyle name="요약 9 2 3" xfId="8664"/>
    <cellStyle name="요약 9 2 3 2" xfId="13929"/>
    <cellStyle name="요약 9 2 3 2 2" xfId="16381"/>
    <cellStyle name="요약 9 2 4" xfId="11662"/>
    <cellStyle name="요약 9 2 4 2" xfId="19250"/>
    <cellStyle name="요약 9 3" xfId="6737"/>
    <cellStyle name="요약 9 3 2" xfId="9665"/>
    <cellStyle name="요약 9 3 2 2" xfId="14562"/>
    <cellStyle name="요약 9 3 2 2 2" xfId="16018"/>
    <cellStyle name="요약 9 3 3" xfId="12421"/>
    <cellStyle name="요약 9 3 3 2" xfId="16874"/>
    <cellStyle name="요약 9 4" xfId="8192"/>
    <cellStyle name="요약 9 4 2" xfId="13457"/>
    <cellStyle name="요약 9 4 2 2" xfId="16652"/>
    <cellStyle name="요약 9 5" xfId="11081"/>
    <cellStyle name="요약 9 5 2" xfId="17447"/>
    <cellStyle name="입력" xfId="3194"/>
    <cellStyle name="입력 10" xfId="5989"/>
    <cellStyle name="입력 10 2" xfId="7706"/>
    <cellStyle name="입력 10 2 2" xfId="10098"/>
    <cellStyle name="입력 10 2 2 2" xfId="14940"/>
    <cellStyle name="입력 10 2 2 2 2" xfId="15448"/>
    <cellStyle name="입력 10 2 3" xfId="12983"/>
    <cellStyle name="입력 10 2 3 2" xfId="19271"/>
    <cellStyle name="입력 10 3" xfId="8484"/>
    <cellStyle name="입력 10 3 2" xfId="13749"/>
    <cellStyle name="입력 10 3 2 2" xfId="17783"/>
    <cellStyle name="입력 10 4" xfId="11452"/>
    <cellStyle name="입력 10 4 2" xfId="19535"/>
    <cellStyle name="입력 11" xfId="6901"/>
    <cellStyle name="입력 11 2" xfId="9762"/>
    <cellStyle name="입력 11 2 2" xfId="14650"/>
    <cellStyle name="입력 11 2 2 2" xfId="15950"/>
    <cellStyle name="입력 11 3" xfId="12585"/>
    <cellStyle name="입력 11 3 2" xfId="16861"/>
    <cellStyle name="입력 12" xfId="7936"/>
    <cellStyle name="입력 12 2" xfId="13205"/>
    <cellStyle name="입력 12 2 2" xfId="16813"/>
    <cellStyle name="입력 13" xfId="10794"/>
    <cellStyle name="입력 13 2" xfId="17674"/>
    <cellStyle name="입력 2" xfId="318"/>
    <cellStyle name="입력 3" xfId="319"/>
    <cellStyle name="입력 4" xfId="320"/>
    <cellStyle name="입력 5" xfId="321"/>
    <cellStyle name="입력 6" xfId="322"/>
    <cellStyle name="입력 7" xfId="323"/>
    <cellStyle name="입력 8" xfId="3195"/>
    <cellStyle name="입력 9" xfId="5222"/>
    <cellStyle name="입력 9 2" xfId="6198"/>
    <cellStyle name="입력 9 2 2" xfId="6629"/>
    <cellStyle name="입력 9 2 2 2" xfId="9578"/>
    <cellStyle name="입력 9 2 2 2 2" xfId="14478"/>
    <cellStyle name="입력 9 2 2 2 2 2" xfId="15465"/>
    <cellStyle name="입력 9 2 2 3" xfId="12314"/>
    <cellStyle name="입력 9 2 2 3 2" xfId="16928"/>
    <cellStyle name="입력 9 2 3" xfId="8663"/>
    <cellStyle name="입력 9 2 3 2" xfId="13928"/>
    <cellStyle name="입력 9 2 3 2 2" xfId="16382"/>
    <cellStyle name="입력 9 2 4" xfId="11661"/>
    <cellStyle name="입력 9 2 4 2" xfId="19870"/>
    <cellStyle name="입력 9 3" xfId="6659"/>
    <cellStyle name="입력 9 3 2" xfId="9608"/>
    <cellStyle name="입력 9 3 2 2" xfId="14508"/>
    <cellStyle name="입력 9 3 2 2 2" xfId="15462"/>
    <cellStyle name="입력 9 3 3" xfId="12344"/>
    <cellStyle name="입력 9 3 3 2" xfId="17953"/>
    <cellStyle name="입력 9 4" xfId="8191"/>
    <cellStyle name="입력 9 4 2" xfId="13456"/>
    <cellStyle name="입력 9 4 2 2" xfId="18242"/>
    <cellStyle name="입력 9 5" xfId="11080"/>
    <cellStyle name="입력 9 5 2" xfId="17448"/>
    <cellStyle name="제목" xfId="3196"/>
    <cellStyle name="제목 1" xfId="3197"/>
    <cellStyle name="제목 1 2" xfId="324"/>
    <cellStyle name="제목 1 2 2" xfId="3199"/>
    <cellStyle name="제목 1 2 2 2" xfId="3200"/>
    <cellStyle name="제목 1 2 2 2 2" xfId="4454"/>
    <cellStyle name="제목 1 2 2 3" xfId="3201"/>
    <cellStyle name="제목 1 2 2 3 2" xfId="4455"/>
    <cellStyle name="제목 1 2 2 4" xfId="3202"/>
    <cellStyle name="제목 1 2 2 4 2" xfId="4456"/>
    <cellStyle name="제목 1 2 2 5" xfId="3203"/>
    <cellStyle name="제목 1 2 2 6" xfId="4140"/>
    <cellStyle name="제목 1 2 2 7" xfId="4940"/>
    <cellStyle name="제목 1 2 2 8" xfId="5713"/>
    <cellStyle name="제목 1 2 3" xfId="3204"/>
    <cellStyle name="제목 1 2 3 2" xfId="3205"/>
    <cellStyle name="제목 1 2 3 2 2" xfId="4458"/>
    <cellStyle name="제목 1 2 3 3" xfId="3206"/>
    <cellStyle name="제목 1 2 3 3 2" xfId="4459"/>
    <cellStyle name="제목 1 2 3 4" xfId="3207"/>
    <cellStyle name="제목 1 2 3 5" xfId="4139"/>
    <cellStyle name="제목 1 2 3 6" xfId="4457"/>
    <cellStyle name="제목 1 2 3 7" xfId="4941"/>
    <cellStyle name="제목 1 2 3 8" xfId="5714"/>
    <cellStyle name="제목 1 2 4" xfId="3198"/>
    <cellStyle name="제목 1 3" xfId="325"/>
    <cellStyle name="제목 1 3 2" xfId="3209"/>
    <cellStyle name="제목 1 3 2 2" xfId="3210"/>
    <cellStyle name="제목 1 3 2 2 2" xfId="4460"/>
    <cellStyle name="제목 1 3 2 3" xfId="3211"/>
    <cellStyle name="제목 1 3 2 3 2" xfId="4461"/>
    <cellStyle name="제목 1 3 2 4" xfId="3212"/>
    <cellStyle name="제목 1 3 2 4 2" xfId="4462"/>
    <cellStyle name="제목 1 3 2 5" xfId="3213"/>
    <cellStyle name="제목 1 3 2 6" xfId="4138"/>
    <cellStyle name="제목 1 3 2 7" xfId="4942"/>
    <cellStyle name="제목 1 3 2 8" xfId="5715"/>
    <cellStyle name="제목 1 3 3" xfId="3214"/>
    <cellStyle name="제목 1 3 3 2" xfId="3215"/>
    <cellStyle name="제목 1 3 3 2 2" xfId="4464"/>
    <cellStyle name="제목 1 3 3 3" xfId="3216"/>
    <cellStyle name="제목 1 3 3 3 2" xfId="4465"/>
    <cellStyle name="제목 1 3 3 4" xfId="3217"/>
    <cellStyle name="제목 1 3 3 5" xfId="4137"/>
    <cellStyle name="제목 1 3 3 6" xfId="4463"/>
    <cellStyle name="제목 1 3 3 7" xfId="4943"/>
    <cellStyle name="제목 1 3 3 8" xfId="5716"/>
    <cellStyle name="제목 1 3 4" xfId="3208"/>
    <cellStyle name="제목 1 4" xfId="326"/>
    <cellStyle name="제목 1 4 2" xfId="3219"/>
    <cellStyle name="제목 1 4 2 2" xfId="3220"/>
    <cellStyle name="제목 1 4 2 2 2" xfId="4466"/>
    <cellStyle name="제목 1 4 2 3" xfId="3221"/>
    <cellStyle name="제목 1 4 2 3 2" xfId="4467"/>
    <cellStyle name="제목 1 4 2 4" xfId="3222"/>
    <cellStyle name="제목 1 4 2 4 2" xfId="4468"/>
    <cellStyle name="제목 1 4 2 5" xfId="3223"/>
    <cellStyle name="제목 1 4 2 6" xfId="4136"/>
    <cellStyle name="제목 1 4 2 7" xfId="4944"/>
    <cellStyle name="제목 1 4 2 8" xfId="5717"/>
    <cellStyle name="제목 1 4 3" xfId="3224"/>
    <cellStyle name="제목 1 4 3 2" xfId="3225"/>
    <cellStyle name="제목 1 4 3 2 2" xfId="4470"/>
    <cellStyle name="제목 1 4 3 3" xfId="3226"/>
    <cellStyle name="제목 1 4 3 3 2" xfId="4471"/>
    <cellStyle name="제목 1 4 3 4" xfId="3227"/>
    <cellStyle name="제목 1 4 3 5" xfId="4135"/>
    <cellStyle name="제목 1 4 3 6" xfId="4469"/>
    <cellStyle name="제목 1 4 3 7" xfId="4945"/>
    <cellStyle name="제목 1 4 3 8" xfId="5718"/>
    <cellStyle name="제목 1 4 4" xfId="3218"/>
    <cellStyle name="제목 1 5" xfId="327"/>
    <cellStyle name="제목 1 5 2" xfId="3229"/>
    <cellStyle name="제목 1 5 2 2" xfId="3230"/>
    <cellStyle name="제목 1 5 2 2 2" xfId="4472"/>
    <cellStyle name="제목 1 5 2 3" xfId="3231"/>
    <cellStyle name="제목 1 5 2 3 2" xfId="4473"/>
    <cellStyle name="제목 1 5 2 4" xfId="3232"/>
    <cellStyle name="제목 1 5 2 4 2" xfId="4474"/>
    <cellStyle name="제목 1 5 2 5" xfId="3233"/>
    <cellStyle name="제목 1 5 2 6" xfId="4134"/>
    <cellStyle name="제목 1 5 2 7" xfId="4946"/>
    <cellStyle name="제목 1 5 2 8" xfId="5719"/>
    <cellStyle name="제목 1 5 3" xfId="3234"/>
    <cellStyle name="제목 1 5 3 2" xfId="3235"/>
    <cellStyle name="제목 1 5 3 2 2" xfId="4476"/>
    <cellStyle name="제목 1 5 3 3" xfId="3236"/>
    <cellStyle name="제목 1 5 3 3 2" xfId="4477"/>
    <cellStyle name="제목 1 5 3 4" xfId="3237"/>
    <cellStyle name="제목 1 5 3 5" xfId="4133"/>
    <cellStyle name="제목 1 5 3 6" xfId="4475"/>
    <cellStyle name="제목 1 5 3 7" xfId="4947"/>
    <cellStyle name="제목 1 5 3 8" xfId="5720"/>
    <cellStyle name="제목 1 5 4" xfId="3228"/>
    <cellStyle name="제목 1 6" xfId="328"/>
    <cellStyle name="제목 1 6 2" xfId="3239"/>
    <cellStyle name="제목 1 6 2 2" xfId="3240"/>
    <cellStyle name="제목 1 6 2 2 2" xfId="4478"/>
    <cellStyle name="제목 1 6 2 3" xfId="3241"/>
    <cellStyle name="제목 1 6 2 3 2" xfId="4479"/>
    <cellStyle name="제목 1 6 2 4" xfId="3242"/>
    <cellStyle name="제목 1 6 2 4 2" xfId="4480"/>
    <cellStyle name="제목 1 6 2 5" xfId="3243"/>
    <cellStyle name="제목 1 6 2 6" xfId="4132"/>
    <cellStyle name="제목 1 6 2 7" xfId="4948"/>
    <cellStyle name="제목 1 6 2 8" xfId="5721"/>
    <cellStyle name="제목 1 6 3" xfId="3244"/>
    <cellStyle name="제목 1 6 3 2" xfId="3245"/>
    <cellStyle name="제목 1 6 3 2 2" xfId="4482"/>
    <cellStyle name="제목 1 6 3 3" xfId="3246"/>
    <cellStyle name="제목 1 6 3 3 2" xfId="4483"/>
    <cellStyle name="제목 1 6 3 4" xfId="3247"/>
    <cellStyle name="제목 1 6 3 5" xfId="4131"/>
    <cellStyle name="제목 1 6 3 6" xfId="4481"/>
    <cellStyle name="제목 1 6 3 7" xfId="4949"/>
    <cellStyle name="제목 1 6 3 8" xfId="5722"/>
    <cellStyle name="제목 1 6 4" xfId="3238"/>
    <cellStyle name="제목 1 7" xfId="329"/>
    <cellStyle name="제목 1 7 2" xfId="3249"/>
    <cellStyle name="제목 1 7 2 2" xfId="3250"/>
    <cellStyle name="제목 1 7 2 2 2" xfId="4484"/>
    <cellStyle name="제목 1 7 2 3" xfId="3251"/>
    <cellStyle name="제목 1 7 2 3 2" xfId="4485"/>
    <cellStyle name="제목 1 7 2 4" xfId="3252"/>
    <cellStyle name="제목 1 7 2 4 2" xfId="4486"/>
    <cellStyle name="제목 1 7 2 5" xfId="3253"/>
    <cellStyle name="제목 1 7 2 6" xfId="4130"/>
    <cellStyle name="제목 1 7 2 7" xfId="4950"/>
    <cellStyle name="제목 1 7 2 8" xfId="5723"/>
    <cellStyle name="제목 1 7 3" xfId="3254"/>
    <cellStyle name="제목 1 7 3 2" xfId="3255"/>
    <cellStyle name="제목 1 7 3 2 2" xfId="4488"/>
    <cellStyle name="제목 1 7 3 3" xfId="3256"/>
    <cellStyle name="제목 1 7 3 3 2" xfId="4489"/>
    <cellStyle name="제목 1 7 3 4" xfId="3257"/>
    <cellStyle name="제목 1 7 3 5" xfId="4129"/>
    <cellStyle name="제목 1 7 3 6" xfId="4487"/>
    <cellStyle name="제목 1 7 3 7" xfId="4951"/>
    <cellStyle name="제목 1 7 3 8" xfId="5724"/>
    <cellStyle name="제목 1 7 4" xfId="3248"/>
    <cellStyle name="제목 1 8" xfId="3258"/>
    <cellStyle name="제목 1 8 2" xfId="3259"/>
    <cellStyle name="제목 1 8 2 2" xfId="3260"/>
    <cellStyle name="제목 1 8 2 2 2" xfId="4491"/>
    <cellStyle name="제목 1 8 2 3" xfId="3261"/>
    <cellStyle name="제목 1 8 2 3 2" xfId="4492"/>
    <cellStyle name="제목 1 8 2 4" xfId="3262"/>
    <cellStyle name="제목 1 8 2 5" xfId="4128"/>
    <cellStyle name="제목 1 8 2 6" xfId="4490"/>
    <cellStyle name="제목 1 8 2 7" xfId="4953"/>
    <cellStyle name="제목 1 8 2 8" xfId="5726"/>
    <cellStyle name="제목 1 8 3" xfId="3263"/>
    <cellStyle name="제목 1 8 4" xfId="4952"/>
    <cellStyle name="제목 1 8 5" xfId="5725"/>
    <cellStyle name="제목 10" xfId="330"/>
    <cellStyle name="제목 10 2" xfId="3265"/>
    <cellStyle name="제목 10 2 2" xfId="3266"/>
    <cellStyle name="제목 10 2 2 2" xfId="4493"/>
    <cellStyle name="제목 10 2 3" xfId="3267"/>
    <cellStyle name="제목 10 2 3 2" xfId="4494"/>
    <cellStyle name="제목 10 2 4" xfId="3268"/>
    <cellStyle name="제목 10 2 4 2" xfId="4495"/>
    <cellStyle name="제목 10 2 5" xfId="3269"/>
    <cellStyle name="제목 10 2 6" xfId="4127"/>
    <cellStyle name="제목 10 2 7" xfId="4954"/>
    <cellStyle name="제목 10 2 8" xfId="5727"/>
    <cellStyle name="제목 10 3" xfId="3270"/>
    <cellStyle name="제목 10 3 2" xfId="3271"/>
    <cellStyle name="제목 10 3 2 2" xfId="4497"/>
    <cellStyle name="제목 10 3 3" xfId="3272"/>
    <cellStyle name="제목 10 3 3 2" xfId="4498"/>
    <cellStyle name="제목 10 3 4" xfId="3273"/>
    <cellStyle name="제목 10 3 5" xfId="4126"/>
    <cellStyle name="제목 10 3 6" xfId="4496"/>
    <cellStyle name="제목 10 3 7" xfId="4955"/>
    <cellStyle name="제목 10 3 8" xfId="5728"/>
    <cellStyle name="제목 10 4" xfId="3264"/>
    <cellStyle name="제목 11" xfId="3274"/>
    <cellStyle name="제목 11 2" xfId="3275"/>
    <cellStyle name="제목 11 2 2" xfId="3276"/>
    <cellStyle name="제목 11 2 2 2" xfId="4500"/>
    <cellStyle name="제목 11 2 3" xfId="3277"/>
    <cellStyle name="제목 11 2 3 2" xfId="4501"/>
    <cellStyle name="제목 11 2 4" xfId="3278"/>
    <cellStyle name="제목 11 2 5" xfId="4125"/>
    <cellStyle name="제목 11 2 6" xfId="4499"/>
    <cellStyle name="제목 11 2 7" xfId="4957"/>
    <cellStyle name="제목 11 2 8" xfId="5730"/>
    <cellStyle name="제목 11 3" xfId="3279"/>
    <cellStyle name="제목 11 4" xfId="4956"/>
    <cellStyle name="제목 11 5" xfId="5729"/>
    <cellStyle name="제목 2" xfId="3280"/>
    <cellStyle name="제목 2 2" xfId="331"/>
    <cellStyle name="제목 2 2 2" xfId="3282"/>
    <cellStyle name="제목 2 2 3" xfId="3283"/>
    <cellStyle name="제목 2 2 3 2" xfId="3284"/>
    <cellStyle name="제목 2 2 3 3" xfId="3285"/>
    <cellStyle name="제목 2 2 3 4" xfId="3286"/>
    <cellStyle name="제목 2 2 3 5" xfId="4124"/>
    <cellStyle name="제목 2 2 3 6" xfId="4958"/>
    <cellStyle name="제목 2 2 3 7" xfId="5731"/>
    <cellStyle name="제목 2 2 4" xfId="3281"/>
    <cellStyle name="제목 2 3" xfId="332"/>
    <cellStyle name="제목 2 3 2" xfId="3288"/>
    <cellStyle name="제목 2 3 3" xfId="3289"/>
    <cellStyle name="제목 2 3 3 2" xfId="3290"/>
    <cellStyle name="제목 2 3 3 3" xfId="3291"/>
    <cellStyle name="제목 2 3 3 4" xfId="3292"/>
    <cellStyle name="제목 2 3 3 5" xfId="4123"/>
    <cellStyle name="제목 2 3 3 6" xfId="4959"/>
    <cellStyle name="제목 2 3 3 7" xfId="5732"/>
    <cellStyle name="제목 2 3 4" xfId="3287"/>
    <cellStyle name="제목 2 4" xfId="333"/>
    <cellStyle name="제목 2 4 2" xfId="3294"/>
    <cellStyle name="제목 2 4 3" xfId="3295"/>
    <cellStyle name="제목 2 4 3 2" xfId="3296"/>
    <cellStyle name="제목 2 4 3 3" xfId="3297"/>
    <cellStyle name="제목 2 4 3 4" xfId="3298"/>
    <cellStyle name="제목 2 4 3 5" xfId="4122"/>
    <cellStyle name="제목 2 4 3 6" xfId="4960"/>
    <cellStyle name="제목 2 4 3 7" xfId="5733"/>
    <cellStyle name="제목 2 4 4" xfId="3293"/>
    <cellStyle name="제목 2 5" xfId="334"/>
    <cellStyle name="제목 2 5 2" xfId="3300"/>
    <cellStyle name="제목 2 5 3" xfId="3301"/>
    <cellStyle name="제목 2 5 3 2" xfId="3302"/>
    <cellStyle name="제목 2 5 3 3" xfId="3303"/>
    <cellStyle name="제목 2 5 3 4" xfId="3304"/>
    <cellStyle name="제목 2 5 3 5" xfId="4121"/>
    <cellStyle name="제목 2 5 3 6" xfId="4961"/>
    <cellStyle name="제목 2 5 3 7" xfId="5734"/>
    <cellStyle name="제목 2 5 4" xfId="3299"/>
    <cellStyle name="제목 2 6" xfId="335"/>
    <cellStyle name="제목 2 6 2" xfId="3306"/>
    <cellStyle name="제목 2 6 3" xfId="3307"/>
    <cellStyle name="제목 2 6 3 2" xfId="3308"/>
    <cellStyle name="제목 2 6 3 3" xfId="3309"/>
    <cellStyle name="제목 2 6 3 4" xfId="3310"/>
    <cellStyle name="제목 2 6 3 5" xfId="4120"/>
    <cellStyle name="제목 2 6 3 6" xfId="4962"/>
    <cellStyle name="제목 2 6 3 7" xfId="5735"/>
    <cellStyle name="제목 2 6 4" xfId="3305"/>
    <cellStyle name="제목 2 7" xfId="336"/>
    <cellStyle name="제목 2 7 2" xfId="3312"/>
    <cellStyle name="제목 2 7 3" xfId="3313"/>
    <cellStyle name="제목 2 7 3 2" xfId="3314"/>
    <cellStyle name="제목 2 7 3 3" xfId="3315"/>
    <cellStyle name="제목 2 7 3 4" xfId="3316"/>
    <cellStyle name="제목 2 7 3 5" xfId="4119"/>
    <cellStyle name="제목 2 7 3 6" xfId="4963"/>
    <cellStyle name="제목 2 7 3 7" xfId="5736"/>
    <cellStyle name="제목 2 7 4" xfId="3311"/>
    <cellStyle name="제목 2 8" xfId="3317"/>
    <cellStyle name="제목 2 8 2" xfId="3318"/>
    <cellStyle name="제목 2 8 2 2" xfId="3319"/>
    <cellStyle name="제목 2 8 2 3" xfId="3320"/>
    <cellStyle name="제목 2 8 2 4" xfId="3321"/>
    <cellStyle name="제목 2 8 2 5" xfId="4118"/>
    <cellStyle name="제목 2 8 2 6" xfId="4964"/>
    <cellStyle name="제목 2 8 2 7" xfId="5737"/>
    <cellStyle name="제목 3" xfId="3322"/>
    <cellStyle name="제목 3 2" xfId="337"/>
    <cellStyle name="제목 3 2 2" xfId="3324"/>
    <cellStyle name="제목 3 2 2 2" xfId="3325"/>
    <cellStyle name="제목 3 2 2 2 2" xfId="4502"/>
    <cellStyle name="제목 3 2 2 3" xfId="3326"/>
    <cellStyle name="제목 3 2 2 3 2" xfId="4503"/>
    <cellStyle name="제목 3 2 2 4" xfId="3327"/>
    <cellStyle name="제목 3 2 2 4 2" xfId="4504"/>
    <cellStyle name="제목 3 2 2 5" xfId="3328"/>
    <cellStyle name="제목 3 2 2 6" xfId="4117"/>
    <cellStyle name="제목 3 2 2 7" xfId="4965"/>
    <cellStyle name="제목 3 2 2 8" xfId="5738"/>
    <cellStyle name="제목 3 2 3" xfId="3329"/>
    <cellStyle name="제목 3 2 3 2" xfId="3330"/>
    <cellStyle name="제목 3 2 3 2 2" xfId="4506"/>
    <cellStyle name="제목 3 2 3 3" xfId="3331"/>
    <cellStyle name="제목 3 2 3 3 2" xfId="4507"/>
    <cellStyle name="제목 3 2 3 4" xfId="3332"/>
    <cellStyle name="제목 3 2 3 5" xfId="4116"/>
    <cellStyle name="제목 3 2 3 6" xfId="4505"/>
    <cellStyle name="제목 3 2 3 7" xfId="4966"/>
    <cellStyle name="제목 3 2 3 8" xfId="5739"/>
    <cellStyle name="제목 3 2 4" xfId="3323"/>
    <cellStyle name="제목 3 3" xfId="338"/>
    <cellStyle name="제목 3 3 2" xfId="3334"/>
    <cellStyle name="제목 3 3 2 2" xfId="3335"/>
    <cellStyle name="제목 3 3 2 2 2" xfId="4508"/>
    <cellStyle name="제목 3 3 2 3" xfId="3336"/>
    <cellStyle name="제목 3 3 2 3 2" xfId="4509"/>
    <cellStyle name="제목 3 3 2 4" xfId="3337"/>
    <cellStyle name="제목 3 3 2 4 2" xfId="4510"/>
    <cellStyle name="제목 3 3 2 5" xfId="3338"/>
    <cellStyle name="제목 3 3 2 6" xfId="4115"/>
    <cellStyle name="제목 3 3 2 7" xfId="4967"/>
    <cellStyle name="제목 3 3 2 8" xfId="5740"/>
    <cellStyle name="제목 3 3 3" xfId="3339"/>
    <cellStyle name="제목 3 3 3 2" xfId="3340"/>
    <cellStyle name="제목 3 3 3 2 2" xfId="4512"/>
    <cellStyle name="제목 3 3 3 3" xfId="3341"/>
    <cellStyle name="제목 3 3 3 3 2" xfId="4513"/>
    <cellStyle name="제목 3 3 3 4" xfId="3342"/>
    <cellStyle name="제목 3 3 3 5" xfId="4114"/>
    <cellStyle name="제목 3 3 3 6" xfId="4511"/>
    <cellStyle name="제목 3 3 3 7" xfId="4968"/>
    <cellStyle name="제목 3 3 3 8" xfId="5741"/>
    <cellStyle name="제목 3 3 4" xfId="3333"/>
    <cellStyle name="제목 3 4" xfId="339"/>
    <cellStyle name="제목 3 4 2" xfId="3344"/>
    <cellStyle name="제목 3 4 2 2" xfId="3345"/>
    <cellStyle name="제목 3 4 2 2 2" xfId="4514"/>
    <cellStyle name="제목 3 4 2 3" xfId="3346"/>
    <cellStyle name="제목 3 4 2 3 2" xfId="4515"/>
    <cellStyle name="제목 3 4 2 4" xfId="3347"/>
    <cellStyle name="제목 3 4 2 4 2" xfId="4516"/>
    <cellStyle name="제목 3 4 2 5" xfId="3348"/>
    <cellStyle name="제목 3 4 2 6" xfId="4113"/>
    <cellStyle name="제목 3 4 2 7" xfId="4969"/>
    <cellStyle name="제목 3 4 2 8" xfId="5742"/>
    <cellStyle name="제목 3 4 3" xfId="3349"/>
    <cellStyle name="제목 3 4 3 2" xfId="3350"/>
    <cellStyle name="제목 3 4 3 2 2" xfId="4518"/>
    <cellStyle name="제목 3 4 3 3" xfId="3351"/>
    <cellStyle name="제목 3 4 3 3 2" xfId="4519"/>
    <cellStyle name="제목 3 4 3 4" xfId="3352"/>
    <cellStyle name="제목 3 4 3 5" xfId="4112"/>
    <cellStyle name="제목 3 4 3 6" xfId="4517"/>
    <cellStyle name="제목 3 4 3 7" xfId="4970"/>
    <cellStyle name="제목 3 4 3 8" xfId="5743"/>
    <cellStyle name="제목 3 4 4" xfId="3343"/>
    <cellStyle name="제목 3 5" xfId="340"/>
    <cellStyle name="제목 3 5 2" xfId="3354"/>
    <cellStyle name="제목 3 5 2 2" xfId="3355"/>
    <cellStyle name="제목 3 5 2 2 2" xfId="4520"/>
    <cellStyle name="제목 3 5 2 3" xfId="3356"/>
    <cellStyle name="제목 3 5 2 3 2" xfId="4521"/>
    <cellStyle name="제목 3 5 2 4" xfId="3357"/>
    <cellStyle name="제목 3 5 2 4 2" xfId="4522"/>
    <cellStyle name="제목 3 5 2 5" xfId="3358"/>
    <cellStyle name="제목 3 5 2 6" xfId="4111"/>
    <cellStyle name="제목 3 5 2 7" xfId="4971"/>
    <cellStyle name="제목 3 5 2 8" xfId="5744"/>
    <cellStyle name="제목 3 5 3" xfId="3359"/>
    <cellStyle name="제목 3 5 3 2" xfId="3360"/>
    <cellStyle name="제목 3 5 3 2 2" xfId="4524"/>
    <cellStyle name="제목 3 5 3 3" xfId="3361"/>
    <cellStyle name="제목 3 5 3 3 2" xfId="4525"/>
    <cellStyle name="제목 3 5 3 4" xfId="3362"/>
    <cellStyle name="제목 3 5 3 5" xfId="4110"/>
    <cellStyle name="제목 3 5 3 6" xfId="4523"/>
    <cellStyle name="제목 3 5 3 7" xfId="4972"/>
    <cellStyle name="제목 3 5 3 8" xfId="5745"/>
    <cellStyle name="제목 3 5 4" xfId="3353"/>
    <cellStyle name="제목 3 6" xfId="341"/>
    <cellStyle name="제목 3 6 2" xfId="3364"/>
    <cellStyle name="제목 3 6 2 2" xfId="3365"/>
    <cellStyle name="제목 3 6 2 2 2" xfId="4526"/>
    <cellStyle name="제목 3 6 2 3" xfId="3366"/>
    <cellStyle name="제목 3 6 2 3 2" xfId="4527"/>
    <cellStyle name="제목 3 6 2 4" xfId="3367"/>
    <cellStyle name="제목 3 6 2 4 2" xfId="4528"/>
    <cellStyle name="제목 3 6 2 5" xfId="3368"/>
    <cellStyle name="제목 3 6 2 6" xfId="4109"/>
    <cellStyle name="제목 3 6 2 7" xfId="4973"/>
    <cellStyle name="제목 3 6 2 8" xfId="5746"/>
    <cellStyle name="제목 3 6 3" xfId="3369"/>
    <cellStyle name="제목 3 6 3 2" xfId="3370"/>
    <cellStyle name="제목 3 6 3 2 2" xfId="4530"/>
    <cellStyle name="제목 3 6 3 3" xfId="3371"/>
    <cellStyle name="제목 3 6 3 3 2" xfId="4531"/>
    <cellStyle name="제목 3 6 3 4" xfId="3372"/>
    <cellStyle name="제목 3 6 3 5" xfId="4108"/>
    <cellStyle name="제목 3 6 3 6" xfId="4529"/>
    <cellStyle name="제목 3 6 3 7" xfId="4974"/>
    <cellStyle name="제목 3 6 3 8" xfId="5747"/>
    <cellStyle name="제목 3 6 4" xfId="3363"/>
    <cellStyle name="제목 3 7" xfId="342"/>
    <cellStyle name="제목 3 7 2" xfId="3374"/>
    <cellStyle name="제목 3 7 2 2" xfId="3375"/>
    <cellStyle name="제목 3 7 2 2 2" xfId="4532"/>
    <cellStyle name="제목 3 7 2 3" xfId="3376"/>
    <cellStyle name="제목 3 7 2 3 2" xfId="4533"/>
    <cellStyle name="제목 3 7 2 4" xfId="3377"/>
    <cellStyle name="제목 3 7 2 4 2" xfId="4534"/>
    <cellStyle name="제목 3 7 2 5" xfId="3378"/>
    <cellStyle name="제목 3 7 2 6" xfId="4107"/>
    <cellStyle name="제목 3 7 2 7" xfId="4975"/>
    <cellStyle name="제목 3 7 2 8" xfId="5748"/>
    <cellStyle name="제목 3 7 3" xfId="3379"/>
    <cellStyle name="제목 3 7 3 2" xfId="3380"/>
    <cellStyle name="제목 3 7 3 2 2" xfId="4536"/>
    <cellStyle name="제목 3 7 3 3" xfId="3381"/>
    <cellStyle name="제목 3 7 3 3 2" xfId="4537"/>
    <cellStyle name="제목 3 7 3 4" xfId="3382"/>
    <cellStyle name="제목 3 7 3 5" xfId="4106"/>
    <cellStyle name="제목 3 7 3 6" xfId="4535"/>
    <cellStyle name="제목 3 7 3 7" xfId="4976"/>
    <cellStyle name="제목 3 7 3 8" xfId="5749"/>
    <cellStyle name="제목 3 7 4" xfId="3373"/>
    <cellStyle name="제목 3 8" xfId="3383"/>
    <cellStyle name="제목 3 8 2" xfId="3384"/>
    <cellStyle name="제목 3 8 2 2" xfId="3385"/>
    <cellStyle name="제목 3 8 2 2 2" xfId="4539"/>
    <cellStyle name="제목 3 8 2 3" xfId="3386"/>
    <cellStyle name="제목 3 8 2 3 2" xfId="4540"/>
    <cellStyle name="제목 3 8 2 4" xfId="3387"/>
    <cellStyle name="제목 3 8 2 5" xfId="4105"/>
    <cellStyle name="제목 3 8 2 6" xfId="4538"/>
    <cellStyle name="제목 3 8 2 7" xfId="4978"/>
    <cellStyle name="제목 3 8 2 8" xfId="5751"/>
    <cellStyle name="제목 3 8 3" xfId="3388"/>
    <cellStyle name="제목 3 8 4" xfId="4977"/>
    <cellStyle name="제목 3 8 5" xfId="5750"/>
    <cellStyle name="제목 4" xfId="3389"/>
    <cellStyle name="제목 4 2" xfId="343"/>
    <cellStyle name="제목 4 2 2" xfId="3391"/>
    <cellStyle name="제목 4 2 2 2" xfId="3392"/>
    <cellStyle name="제목 4 2 2 2 2" xfId="4541"/>
    <cellStyle name="제목 4 2 2 3" xfId="3393"/>
    <cellStyle name="제목 4 2 2 3 2" xfId="4542"/>
    <cellStyle name="제목 4 2 2 4" xfId="3394"/>
    <cellStyle name="제목 4 2 2 4 2" xfId="4543"/>
    <cellStyle name="제목 4 2 2 5" xfId="3395"/>
    <cellStyle name="제목 4 2 2 6" xfId="4104"/>
    <cellStyle name="제목 4 2 2 7" xfId="4979"/>
    <cellStyle name="제목 4 2 2 8" xfId="5752"/>
    <cellStyle name="제목 4 2 3" xfId="3396"/>
    <cellStyle name="제목 4 2 3 2" xfId="3397"/>
    <cellStyle name="제목 4 2 3 2 2" xfId="4545"/>
    <cellStyle name="제목 4 2 3 3" xfId="3398"/>
    <cellStyle name="제목 4 2 3 3 2" xfId="4546"/>
    <cellStyle name="제목 4 2 3 4" xfId="3399"/>
    <cellStyle name="제목 4 2 3 5" xfId="4103"/>
    <cellStyle name="제목 4 2 3 6" xfId="4544"/>
    <cellStyle name="제목 4 2 3 7" xfId="4980"/>
    <cellStyle name="제목 4 2 3 8" xfId="5753"/>
    <cellStyle name="제목 4 2 4" xfId="3390"/>
    <cellStyle name="제목 4 3" xfId="344"/>
    <cellStyle name="제목 4 3 2" xfId="3401"/>
    <cellStyle name="제목 4 3 2 2" xfId="3402"/>
    <cellStyle name="제목 4 3 2 2 2" xfId="4547"/>
    <cellStyle name="제목 4 3 2 3" xfId="3403"/>
    <cellStyle name="제목 4 3 2 3 2" xfId="4548"/>
    <cellStyle name="제목 4 3 2 4" xfId="3404"/>
    <cellStyle name="제목 4 3 2 4 2" xfId="4549"/>
    <cellStyle name="제목 4 3 2 5" xfId="3405"/>
    <cellStyle name="제목 4 3 2 6" xfId="4102"/>
    <cellStyle name="제목 4 3 2 7" xfId="4981"/>
    <cellStyle name="제목 4 3 2 8" xfId="5754"/>
    <cellStyle name="제목 4 3 3" xfId="3406"/>
    <cellStyle name="제목 4 3 3 2" xfId="3407"/>
    <cellStyle name="제목 4 3 3 2 2" xfId="4551"/>
    <cellStyle name="제목 4 3 3 3" xfId="3408"/>
    <cellStyle name="제목 4 3 3 3 2" xfId="4552"/>
    <cellStyle name="제목 4 3 3 4" xfId="3409"/>
    <cellStyle name="제목 4 3 3 5" xfId="4101"/>
    <cellStyle name="제목 4 3 3 6" xfId="4550"/>
    <cellStyle name="제목 4 3 3 7" xfId="4982"/>
    <cellStyle name="제목 4 3 3 8" xfId="5755"/>
    <cellStyle name="제목 4 3 4" xfId="3400"/>
    <cellStyle name="제목 4 4" xfId="345"/>
    <cellStyle name="제목 4 4 2" xfId="3411"/>
    <cellStyle name="제목 4 4 2 2" xfId="3412"/>
    <cellStyle name="제목 4 4 2 2 2" xfId="4553"/>
    <cellStyle name="제목 4 4 2 3" xfId="3413"/>
    <cellStyle name="제목 4 4 2 3 2" xfId="4554"/>
    <cellStyle name="제목 4 4 2 4" xfId="3414"/>
    <cellStyle name="제목 4 4 2 4 2" xfId="4555"/>
    <cellStyle name="제목 4 4 2 5" xfId="3415"/>
    <cellStyle name="제목 4 4 2 6" xfId="4100"/>
    <cellStyle name="제목 4 4 2 7" xfId="4983"/>
    <cellStyle name="제목 4 4 2 8" xfId="5756"/>
    <cellStyle name="제목 4 4 3" xfId="3416"/>
    <cellStyle name="제목 4 4 3 2" xfId="3417"/>
    <cellStyle name="제목 4 4 3 2 2" xfId="4557"/>
    <cellStyle name="제목 4 4 3 3" xfId="3418"/>
    <cellStyle name="제목 4 4 3 3 2" xfId="4558"/>
    <cellStyle name="제목 4 4 3 4" xfId="3419"/>
    <cellStyle name="제목 4 4 3 5" xfId="4099"/>
    <cellStyle name="제목 4 4 3 6" xfId="4556"/>
    <cellStyle name="제목 4 4 3 7" xfId="4984"/>
    <cellStyle name="제목 4 4 3 8" xfId="5757"/>
    <cellStyle name="제목 4 4 4" xfId="3410"/>
    <cellStyle name="제목 4 5" xfId="346"/>
    <cellStyle name="제목 4 5 2" xfId="3421"/>
    <cellStyle name="제목 4 5 2 2" xfId="3422"/>
    <cellStyle name="제목 4 5 2 2 2" xfId="4559"/>
    <cellStyle name="제목 4 5 2 3" xfId="3423"/>
    <cellStyle name="제목 4 5 2 3 2" xfId="4560"/>
    <cellStyle name="제목 4 5 2 4" xfId="3424"/>
    <cellStyle name="제목 4 5 2 4 2" xfId="4561"/>
    <cellStyle name="제목 4 5 2 5" xfId="3425"/>
    <cellStyle name="제목 4 5 2 6" xfId="4098"/>
    <cellStyle name="제목 4 5 2 7" xfId="4985"/>
    <cellStyle name="제목 4 5 2 8" xfId="5758"/>
    <cellStyle name="제목 4 5 3" xfId="3426"/>
    <cellStyle name="제목 4 5 3 2" xfId="3427"/>
    <cellStyle name="제목 4 5 3 2 2" xfId="4563"/>
    <cellStyle name="제목 4 5 3 3" xfId="3428"/>
    <cellStyle name="제목 4 5 3 3 2" xfId="4564"/>
    <cellStyle name="제목 4 5 3 4" xfId="3429"/>
    <cellStyle name="제목 4 5 3 5" xfId="4097"/>
    <cellStyle name="제목 4 5 3 6" xfId="4562"/>
    <cellStyle name="제목 4 5 3 7" xfId="4986"/>
    <cellStyle name="제목 4 5 3 8" xfId="5759"/>
    <cellStyle name="제목 4 5 4" xfId="3420"/>
    <cellStyle name="제목 4 6" xfId="347"/>
    <cellStyle name="제목 4 6 2" xfId="3431"/>
    <cellStyle name="제목 4 6 2 2" xfId="3432"/>
    <cellStyle name="제목 4 6 2 2 2" xfId="4565"/>
    <cellStyle name="제목 4 6 2 3" xfId="3433"/>
    <cellStyle name="제목 4 6 2 3 2" xfId="4566"/>
    <cellStyle name="제목 4 6 2 4" xfId="3434"/>
    <cellStyle name="제목 4 6 2 4 2" xfId="4567"/>
    <cellStyle name="제목 4 6 2 5" xfId="3435"/>
    <cellStyle name="제목 4 6 2 6" xfId="4096"/>
    <cellStyle name="제목 4 6 2 7" xfId="4987"/>
    <cellStyle name="제목 4 6 2 8" xfId="5760"/>
    <cellStyle name="제목 4 6 3" xfId="3436"/>
    <cellStyle name="제목 4 6 3 2" xfId="3437"/>
    <cellStyle name="제목 4 6 3 2 2" xfId="4569"/>
    <cellStyle name="제목 4 6 3 3" xfId="3438"/>
    <cellStyle name="제목 4 6 3 3 2" xfId="4570"/>
    <cellStyle name="제목 4 6 3 4" xfId="3439"/>
    <cellStyle name="제목 4 6 3 5" xfId="4095"/>
    <cellStyle name="제목 4 6 3 6" xfId="4568"/>
    <cellStyle name="제목 4 6 3 7" xfId="4988"/>
    <cellStyle name="제목 4 6 3 8" xfId="5761"/>
    <cellStyle name="제목 4 6 4" xfId="3430"/>
    <cellStyle name="제목 4 7" xfId="348"/>
    <cellStyle name="제목 4 7 2" xfId="3441"/>
    <cellStyle name="제목 4 7 2 2" xfId="3442"/>
    <cellStyle name="제목 4 7 2 2 2" xfId="4571"/>
    <cellStyle name="제목 4 7 2 3" xfId="3443"/>
    <cellStyle name="제목 4 7 2 3 2" xfId="4572"/>
    <cellStyle name="제목 4 7 2 4" xfId="3444"/>
    <cellStyle name="제목 4 7 2 4 2" xfId="4573"/>
    <cellStyle name="제목 4 7 2 5" xfId="3445"/>
    <cellStyle name="제목 4 7 2 6" xfId="4094"/>
    <cellStyle name="제목 4 7 2 7" xfId="4989"/>
    <cellStyle name="제목 4 7 2 8" xfId="5762"/>
    <cellStyle name="제목 4 7 3" xfId="3446"/>
    <cellStyle name="제목 4 7 3 2" xfId="3447"/>
    <cellStyle name="제목 4 7 3 2 2" xfId="4575"/>
    <cellStyle name="제목 4 7 3 3" xfId="3448"/>
    <cellStyle name="제목 4 7 3 3 2" xfId="4576"/>
    <cellStyle name="제목 4 7 3 4" xfId="3449"/>
    <cellStyle name="제목 4 7 3 5" xfId="4093"/>
    <cellStyle name="제목 4 7 3 6" xfId="4574"/>
    <cellStyle name="제목 4 7 3 7" xfId="4990"/>
    <cellStyle name="제목 4 7 3 8" xfId="5763"/>
    <cellStyle name="제목 4 7 4" xfId="3440"/>
    <cellStyle name="제목 4 8" xfId="3450"/>
    <cellStyle name="제목 4 8 2" xfId="3451"/>
    <cellStyle name="제목 4 8 2 2" xfId="3452"/>
    <cellStyle name="제목 4 8 2 2 2" xfId="4578"/>
    <cellStyle name="제목 4 8 2 3" xfId="3453"/>
    <cellStyle name="제목 4 8 2 3 2" xfId="4579"/>
    <cellStyle name="제목 4 8 2 4" xfId="3454"/>
    <cellStyle name="제목 4 8 2 5" xfId="4092"/>
    <cellStyle name="제목 4 8 2 6" xfId="4577"/>
    <cellStyle name="제목 4 8 2 7" xfId="4992"/>
    <cellStyle name="제목 4 8 2 8" xfId="5765"/>
    <cellStyle name="제목 4 8 3" xfId="3455"/>
    <cellStyle name="제목 4 8 4" xfId="4991"/>
    <cellStyle name="제목 4 8 5" xfId="5764"/>
    <cellStyle name="제목 5" xfId="349"/>
    <cellStyle name="제목 5 2" xfId="3457"/>
    <cellStyle name="제목 5 2 2" xfId="3458"/>
    <cellStyle name="제목 5 2 2 2" xfId="4580"/>
    <cellStyle name="제목 5 2 3" xfId="3459"/>
    <cellStyle name="제목 5 2 3 2" xfId="4581"/>
    <cellStyle name="제목 5 2 4" xfId="3460"/>
    <cellStyle name="제목 5 2 4 2" xfId="4582"/>
    <cellStyle name="제목 5 2 5" xfId="3461"/>
    <cellStyle name="제목 5 2 6" xfId="4091"/>
    <cellStyle name="제목 5 2 7" xfId="4993"/>
    <cellStyle name="제목 5 2 8" xfId="5766"/>
    <cellStyle name="제목 5 3" xfId="3462"/>
    <cellStyle name="제목 5 3 2" xfId="3463"/>
    <cellStyle name="제목 5 3 2 2" xfId="4584"/>
    <cellStyle name="제목 5 3 3" xfId="3464"/>
    <cellStyle name="제목 5 3 3 2" xfId="4585"/>
    <cellStyle name="제목 5 3 4" xfId="3465"/>
    <cellStyle name="제목 5 3 5" xfId="4090"/>
    <cellStyle name="제목 5 3 6" xfId="4583"/>
    <cellStyle name="제목 5 3 7" xfId="4994"/>
    <cellStyle name="제목 5 3 8" xfId="5767"/>
    <cellStyle name="제목 5 4" xfId="3456"/>
    <cellStyle name="제목 6" xfId="350"/>
    <cellStyle name="제목 6 2" xfId="3467"/>
    <cellStyle name="제목 6 2 2" xfId="3468"/>
    <cellStyle name="제목 6 2 2 2" xfId="4586"/>
    <cellStyle name="제목 6 2 3" xfId="3469"/>
    <cellStyle name="제목 6 2 3 2" xfId="4587"/>
    <cellStyle name="제목 6 2 4" xfId="3470"/>
    <cellStyle name="제목 6 2 4 2" xfId="4588"/>
    <cellStyle name="제목 6 2 5" xfId="3471"/>
    <cellStyle name="제목 6 2 6" xfId="4089"/>
    <cellStyle name="제목 6 2 7" xfId="4995"/>
    <cellStyle name="제목 6 2 8" xfId="5768"/>
    <cellStyle name="제목 6 3" xfId="3472"/>
    <cellStyle name="제목 6 3 2" xfId="3473"/>
    <cellStyle name="제목 6 3 2 2" xfId="4590"/>
    <cellStyle name="제목 6 3 3" xfId="3474"/>
    <cellStyle name="제목 6 3 3 2" xfId="4591"/>
    <cellStyle name="제목 6 3 4" xfId="3475"/>
    <cellStyle name="제목 6 3 5" xfId="4088"/>
    <cellStyle name="제목 6 3 6" xfId="4589"/>
    <cellStyle name="제목 6 3 7" xfId="4996"/>
    <cellStyle name="제목 6 3 8" xfId="5769"/>
    <cellStyle name="제목 6 4" xfId="3466"/>
    <cellStyle name="제목 7" xfId="351"/>
    <cellStyle name="제목 7 2" xfId="3477"/>
    <cellStyle name="제목 7 2 2" xfId="3478"/>
    <cellStyle name="제목 7 2 2 2" xfId="4592"/>
    <cellStyle name="제목 7 2 3" xfId="3479"/>
    <cellStyle name="제목 7 2 3 2" xfId="4593"/>
    <cellStyle name="제목 7 2 4" xfId="3480"/>
    <cellStyle name="제목 7 2 4 2" xfId="4594"/>
    <cellStyle name="제목 7 2 5" xfId="3481"/>
    <cellStyle name="제목 7 2 6" xfId="4087"/>
    <cellStyle name="제목 7 2 7" xfId="4997"/>
    <cellStyle name="제목 7 2 8" xfId="5770"/>
    <cellStyle name="제목 7 3" xfId="3482"/>
    <cellStyle name="제목 7 3 2" xfId="3483"/>
    <cellStyle name="제목 7 3 2 2" xfId="4596"/>
    <cellStyle name="제목 7 3 3" xfId="3484"/>
    <cellStyle name="제목 7 3 3 2" xfId="4597"/>
    <cellStyle name="제목 7 3 4" xfId="3485"/>
    <cellStyle name="제목 7 3 5" xfId="4086"/>
    <cellStyle name="제목 7 3 6" xfId="4595"/>
    <cellStyle name="제목 7 3 7" xfId="4998"/>
    <cellStyle name="제목 7 3 8" xfId="5771"/>
    <cellStyle name="제목 7 4" xfId="3476"/>
    <cellStyle name="제목 8" xfId="352"/>
    <cellStyle name="제목 8 2" xfId="3487"/>
    <cellStyle name="제목 8 2 2" xfId="3488"/>
    <cellStyle name="제목 8 2 2 2" xfId="4598"/>
    <cellStyle name="제목 8 2 3" xfId="3489"/>
    <cellStyle name="제목 8 2 3 2" xfId="4599"/>
    <cellStyle name="제목 8 2 4" xfId="3490"/>
    <cellStyle name="제목 8 2 4 2" xfId="4600"/>
    <cellStyle name="제목 8 2 5" xfId="3491"/>
    <cellStyle name="제목 8 2 6" xfId="4085"/>
    <cellStyle name="제목 8 2 7" xfId="4999"/>
    <cellStyle name="제목 8 2 8" xfId="5772"/>
    <cellStyle name="제목 8 3" xfId="3492"/>
    <cellStyle name="제목 8 3 2" xfId="3493"/>
    <cellStyle name="제목 8 3 2 2" xfId="4602"/>
    <cellStyle name="제목 8 3 3" xfId="3494"/>
    <cellStyle name="제목 8 3 3 2" xfId="4603"/>
    <cellStyle name="제목 8 3 4" xfId="3495"/>
    <cellStyle name="제목 8 3 5" xfId="4084"/>
    <cellStyle name="제목 8 3 6" xfId="4601"/>
    <cellStyle name="제목 8 3 7" xfId="5000"/>
    <cellStyle name="제목 8 3 8" xfId="5773"/>
    <cellStyle name="제목 8 4" xfId="3486"/>
    <cellStyle name="제목 9" xfId="353"/>
    <cellStyle name="제목 9 2" xfId="3497"/>
    <cellStyle name="제목 9 2 2" xfId="3498"/>
    <cellStyle name="제목 9 2 2 2" xfId="4604"/>
    <cellStyle name="제목 9 2 3" xfId="3499"/>
    <cellStyle name="제목 9 2 3 2" xfId="4605"/>
    <cellStyle name="제목 9 2 4" xfId="3500"/>
    <cellStyle name="제목 9 2 4 2" xfId="4606"/>
    <cellStyle name="제목 9 2 5" xfId="3501"/>
    <cellStyle name="제목 9 2 6" xfId="4083"/>
    <cellStyle name="제목 9 2 7" xfId="5001"/>
    <cellStyle name="제목 9 2 8" xfId="5774"/>
    <cellStyle name="제목 9 3" xfId="3502"/>
    <cellStyle name="제목 9 3 2" xfId="3503"/>
    <cellStyle name="제목 9 3 2 2" xfId="4608"/>
    <cellStyle name="제목 9 3 3" xfId="3504"/>
    <cellStyle name="제목 9 3 3 2" xfId="4609"/>
    <cellStyle name="제목 9 3 4" xfId="3505"/>
    <cellStyle name="제목 9 3 5" xfId="4082"/>
    <cellStyle name="제목 9 3 6" xfId="4607"/>
    <cellStyle name="제목 9 3 7" xfId="5002"/>
    <cellStyle name="제목 9 3 8" xfId="5775"/>
    <cellStyle name="제목 9 4" xfId="3496"/>
    <cellStyle name="제목_Data" xfId="3506"/>
    <cellStyle name="좋음" xfId="3507"/>
    <cellStyle name="좋음 2" xfId="354"/>
    <cellStyle name="좋음 3" xfId="355"/>
    <cellStyle name="좋음 4" xfId="356"/>
    <cellStyle name="좋음 5" xfId="357"/>
    <cellStyle name="좋음 6" xfId="358"/>
    <cellStyle name="좋음 7" xfId="359"/>
    <cellStyle name="좋음 8" xfId="3508"/>
    <cellStyle name="출력" xfId="3534"/>
    <cellStyle name="출력 10" xfId="5986"/>
    <cellStyle name="출력 10 2" xfId="6411"/>
    <cellStyle name="출력 10 2 2" xfId="7214"/>
    <cellStyle name="출력 10 2 2 2" xfId="10019"/>
    <cellStyle name="출력 10 2 2 2 2" xfId="14870"/>
    <cellStyle name="출력 10 2 2 2 2 2" xfId="15832"/>
    <cellStyle name="출력 10 2 2 3" xfId="10337"/>
    <cellStyle name="출력 10 2 2 3 2" xfId="10587"/>
    <cellStyle name="출력 10 2 2 3 2 2" xfId="15314"/>
    <cellStyle name="출력 10 2 2 3 2 2 2" xfId="15562"/>
    <cellStyle name="출력 10 2 2 3 3" xfId="15114"/>
    <cellStyle name="출력 10 2 2 3 3 2" xfId="15699"/>
    <cellStyle name="출력 10 2 2 4" xfId="12898"/>
    <cellStyle name="출력 10 2 2 4 2" xfId="19943"/>
    <cellStyle name="출력 10 2 3" xfId="8826"/>
    <cellStyle name="출력 10 2 3 2" xfId="14071"/>
    <cellStyle name="출력 10 2 3 2 2" xfId="18964"/>
    <cellStyle name="출력 10 2 4" xfId="11824"/>
    <cellStyle name="출력 10 2 4 2" xfId="17244"/>
    <cellStyle name="출력 10 3" xfId="8481"/>
    <cellStyle name="출력 10 3 2" xfId="13746"/>
    <cellStyle name="출력 10 3 2 2" xfId="16490"/>
    <cellStyle name="출력 10 4" xfId="11449"/>
    <cellStyle name="출력 10 4 2" xfId="19327"/>
    <cellStyle name="출력 11" xfId="6308"/>
    <cellStyle name="출력 11 2" xfId="7111"/>
    <cellStyle name="출력 11 2 2" xfId="9916"/>
    <cellStyle name="출력 11 2 2 2" xfId="14789"/>
    <cellStyle name="출력 11 2 2 2 2" xfId="18832"/>
    <cellStyle name="출력 11 2 3" xfId="10234"/>
    <cellStyle name="출력 11 2 3 2" xfId="10484"/>
    <cellStyle name="출력 11 2 3 2 2" xfId="15211"/>
    <cellStyle name="출력 11 2 3 2 2 2" xfId="18105"/>
    <cellStyle name="출력 11 2 3 3" xfId="15011"/>
    <cellStyle name="출력 11 2 3 3 2" xfId="15440"/>
    <cellStyle name="출력 11 2 4" xfId="12795"/>
    <cellStyle name="출력 11 2 4 2" xfId="19395"/>
    <cellStyle name="출력 11 3" xfId="8723"/>
    <cellStyle name="출력 11 3 2" xfId="13988"/>
    <cellStyle name="출력 11 3 2 2" xfId="18005"/>
    <cellStyle name="출력 11 4" xfId="11721"/>
    <cellStyle name="출력 11 4 2" xfId="19070"/>
    <cellStyle name="출력 12" xfId="7954"/>
    <cellStyle name="출력 12 2" xfId="13223"/>
    <cellStyle name="출력 12 2 2" xfId="16799"/>
    <cellStyle name="출력 13" xfId="10812"/>
    <cellStyle name="출력 13 2" xfId="17658"/>
    <cellStyle name="출력 2" xfId="360"/>
    <cellStyle name="출력 2 2" xfId="3536"/>
    <cellStyle name="출력 2 3" xfId="3537"/>
    <cellStyle name="출력 2 3 2" xfId="3538"/>
    <cellStyle name="출력 2 3 3" xfId="3539"/>
    <cellStyle name="출력 2 3 4" xfId="3540"/>
    <cellStyle name="출력 2 3 5" xfId="4081"/>
    <cellStyle name="출력 2 3 6" xfId="5003"/>
    <cellStyle name="출력 2 3 7" xfId="5776"/>
    <cellStyle name="출력 2 4" xfId="3535"/>
    <cellStyle name="출력 3" xfId="361"/>
    <cellStyle name="출력 3 2" xfId="3542"/>
    <cellStyle name="출력 3 3" xfId="3543"/>
    <cellStyle name="출력 3 3 2" xfId="3544"/>
    <cellStyle name="출력 3 3 3" xfId="3545"/>
    <cellStyle name="출력 3 3 4" xfId="3546"/>
    <cellStyle name="출력 3 3 5" xfId="4080"/>
    <cellStyle name="출력 3 3 6" xfId="5004"/>
    <cellStyle name="출력 3 3 7" xfId="5777"/>
    <cellStyle name="출력 3 4" xfId="3541"/>
    <cellStyle name="출력 4" xfId="362"/>
    <cellStyle name="출력 4 2" xfId="3548"/>
    <cellStyle name="출력 4 3" xfId="3549"/>
    <cellStyle name="출력 4 3 2" xfId="3550"/>
    <cellStyle name="출력 4 3 3" xfId="3551"/>
    <cellStyle name="출력 4 3 4" xfId="3552"/>
    <cellStyle name="출력 4 3 5" xfId="4079"/>
    <cellStyle name="출력 4 3 6" xfId="5005"/>
    <cellStyle name="출력 4 3 7" xfId="5778"/>
    <cellStyle name="출력 4 4" xfId="3547"/>
    <cellStyle name="출력 5" xfId="363"/>
    <cellStyle name="출력 5 2" xfId="3554"/>
    <cellStyle name="출력 5 3" xfId="3555"/>
    <cellStyle name="출력 5 3 2" xfId="3556"/>
    <cellStyle name="출력 5 3 3" xfId="3557"/>
    <cellStyle name="출력 5 3 4" xfId="3558"/>
    <cellStyle name="출력 5 3 5" xfId="4078"/>
    <cellStyle name="출력 5 3 6" xfId="5006"/>
    <cellStyle name="출력 5 3 7" xfId="5779"/>
    <cellStyle name="출력 5 4" xfId="3553"/>
    <cellStyle name="출력 6" xfId="364"/>
    <cellStyle name="출력 6 2" xfId="3560"/>
    <cellStyle name="출력 6 3" xfId="3561"/>
    <cellStyle name="출력 6 3 2" xfId="3562"/>
    <cellStyle name="출력 6 3 3" xfId="3563"/>
    <cellStyle name="출력 6 3 4" xfId="3564"/>
    <cellStyle name="출력 6 3 5" xfId="4077"/>
    <cellStyle name="출력 6 3 6" xfId="5007"/>
    <cellStyle name="출력 6 3 7" xfId="5780"/>
    <cellStyle name="출력 6 4" xfId="3559"/>
    <cellStyle name="출력 7" xfId="365"/>
    <cellStyle name="출력 7 2" xfId="3566"/>
    <cellStyle name="출력 7 3" xfId="3567"/>
    <cellStyle name="출력 7 3 2" xfId="3568"/>
    <cellStyle name="출력 7 3 3" xfId="3569"/>
    <cellStyle name="출력 7 3 4" xfId="3570"/>
    <cellStyle name="출력 7 3 5" xfId="4076"/>
    <cellStyle name="출력 7 3 6" xfId="5008"/>
    <cellStyle name="출력 7 3 7" xfId="5781"/>
    <cellStyle name="출력 7 4" xfId="3565"/>
    <cellStyle name="출력 8" xfId="3571"/>
    <cellStyle name="출력 8 2" xfId="3572"/>
    <cellStyle name="출력 8 2 2" xfId="3573"/>
    <cellStyle name="출력 8 2 3" xfId="3574"/>
    <cellStyle name="출력 8 2 4" xfId="3575"/>
    <cellStyle name="출력 8 2 5" xfId="4075"/>
    <cellStyle name="출력 8 2 6" xfId="5009"/>
    <cellStyle name="출력 8 2 7" xfId="5782"/>
    <cellStyle name="출력 9" xfId="5216"/>
    <cellStyle name="출력 9 2" xfId="6192"/>
    <cellStyle name="출력 9 2 2" xfId="6445"/>
    <cellStyle name="출력 9 2 2 2" xfId="7248"/>
    <cellStyle name="출력 9 2 2 2 2" xfId="10053"/>
    <cellStyle name="출력 9 2 2 2 2 2" xfId="14897"/>
    <cellStyle name="출력 9 2 2 2 2 2 2" xfId="15820"/>
    <cellStyle name="출력 9 2 2 2 3" xfId="10371"/>
    <cellStyle name="출력 9 2 2 2 3 2" xfId="10621"/>
    <cellStyle name="출력 9 2 2 2 3 2 2" xfId="15348"/>
    <cellStyle name="출력 9 2 2 2 3 2 2 2" xfId="20088"/>
    <cellStyle name="출력 9 2 2 2 3 3" xfId="15148"/>
    <cellStyle name="출력 9 2 2 2 3 3 2" xfId="15677"/>
    <cellStyle name="출력 9 2 2 2 4" xfId="12932"/>
    <cellStyle name="출력 9 2 2 2 4 2" xfId="19075"/>
    <cellStyle name="출력 9 2 2 3" xfId="8860"/>
    <cellStyle name="출력 9 2 2 3 2" xfId="14099"/>
    <cellStyle name="출력 9 2 2 3 2 2" xfId="18762"/>
    <cellStyle name="출력 9 2 2 4" xfId="11858"/>
    <cellStyle name="출력 9 2 2 4 2" xfId="17219"/>
    <cellStyle name="출력 9 2 3" xfId="8657"/>
    <cellStyle name="출력 9 2 3 2" xfId="13922"/>
    <cellStyle name="출력 9 2 3 2 2" xfId="18067"/>
    <cellStyle name="출력 9 2 4" xfId="11655"/>
    <cellStyle name="출력 9 2 4 2" xfId="19179"/>
    <cellStyle name="출력 9 3" xfId="6356"/>
    <cellStyle name="출력 9 3 2" xfId="7159"/>
    <cellStyle name="출력 9 3 2 2" xfId="9964"/>
    <cellStyle name="출력 9 3 2 2 2" xfId="14826"/>
    <cellStyle name="출력 9 3 2 2 2 2" xfId="18945"/>
    <cellStyle name="출력 9 3 2 3" xfId="10282"/>
    <cellStyle name="출력 9 3 2 3 2" xfId="10532"/>
    <cellStyle name="출력 9 3 2 3 2 2" xfId="15259"/>
    <cellStyle name="출력 9 3 2 3 2 2 2" xfId="15602"/>
    <cellStyle name="출력 9 3 2 3 3" xfId="15059"/>
    <cellStyle name="출력 9 3 2 3 3 2" xfId="15731"/>
    <cellStyle name="출력 9 3 2 4" xfId="12843"/>
    <cellStyle name="출력 9 3 2 4 2" xfId="19331"/>
    <cellStyle name="출력 9 3 3" xfId="8771"/>
    <cellStyle name="출력 9 3 3 2" xfId="14026"/>
    <cellStyle name="출력 9 3 3 2 2" xfId="16316"/>
    <cellStyle name="출력 9 3 4" xfId="11769"/>
    <cellStyle name="출력 9 3 4 2" xfId="19363"/>
    <cellStyle name="출력 9 4" xfId="8185"/>
    <cellStyle name="출력 9 4 2" xfId="13450"/>
    <cellStyle name="출력 9 4 2 2" xfId="16655"/>
    <cellStyle name="출력 9 5" xfId="11074"/>
    <cellStyle name="출력 9 5 2" xfId="17454"/>
    <cellStyle name="표준 10" xfId="3589"/>
    <cellStyle name="표준 2" xfId="366"/>
    <cellStyle name="표준 2 2" xfId="3591"/>
    <cellStyle name="표준 2 3" xfId="3592"/>
    <cellStyle name="표준 2 4" xfId="3593"/>
    <cellStyle name="표준 2 5" xfId="3594"/>
    <cellStyle name="표준 2 6" xfId="3595"/>
    <cellStyle name="표준 2 7" xfId="3596"/>
    <cellStyle name="표준 2 8" xfId="3590"/>
    <cellStyle name="표준 3" xfId="367"/>
    <cellStyle name="표준 3 2" xfId="3598"/>
    <cellStyle name="표준 3 3" xfId="3599"/>
    <cellStyle name="표준 3 4" xfId="3600"/>
    <cellStyle name="표준 3 5" xfId="3601"/>
    <cellStyle name="표준 3 6" xfId="3597"/>
    <cellStyle name="표준 4" xfId="368"/>
    <cellStyle name="표준 4 2" xfId="3603"/>
    <cellStyle name="표준 4 3" xfId="3604"/>
    <cellStyle name="표준 4 4" xfId="3602"/>
    <cellStyle name="표준 5" xfId="369"/>
    <cellStyle name="표준 5 2" xfId="3606"/>
    <cellStyle name="표준 5 3" xfId="3607"/>
    <cellStyle name="표준 5 4" xfId="3605"/>
    <cellStyle name="표준 6" xfId="370"/>
    <cellStyle name="표준 6 2" xfId="3609"/>
    <cellStyle name="표준 6 3" xfId="3610"/>
    <cellStyle name="표준 6 4" xfId="3608"/>
    <cellStyle name="표준 7" xfId="371"/>
    <cellStyle name="표준 7 2" xfId="372"/>
    <cellStyle name="표준 7 2 2" xfId="3612"/>
    <cellStyle name="표준 7 2 3" xfId="10424"/>
    <cellStyle name="표준 7 3" xfId="3613"/>
    <cellStyle name="표준 7 4" xfId="3614"/>
    <cellStyle name="표준 7 5" xfId="3611"/>
    <cellStyle name="표준 8" xfId="3615"/>
    <cellStyle name="표준 8 2" xfId="3616"/>
    <cellStyle name="표준 8 3" xfId="3617"/>
    <cellStyle name="표준 9" xfId="3618"/>
    <cellStyle name="하이퍼링크 2" xfId="3643"/>
    <cellStyle name="하이퍼링크 2 2" xfId="3644"/>
    <cellStyle name="一般 2" xfId="58"/>
    <cellStyle name="一般 3" xfId="59"/>
    <cellStyle name="一般_02- Component_worksheet_UL" xfId="3509"/>
    <cellStyle name="中等" xfId="3510"/>
    <cellStyle name="中等 2" xfId="3511"/>
    <cellStyle name="中等 3" xfId="3512"/>
    <cellStyle name="中等 4" xfId="3513"/>
    <cellStyle name="中等 5" xfId="3514"/>
    <cellStyle name="中等 6" xfId="3515"/>
    <cellStyle name="中等 6 2" xfId="7331"/>
    <cellStyle name="中等 6 2 2" xfId="9087"/>
    <cellStyle name="中等 7" xfId="3516"/>
    <cellStyle name="中等 8" xfId="4713"/>
    <cellStyle name="中等 9" xfId="5506"/>
    <cellStyle name="中等 9 2" xfId="7564"/>
    <cellStyle name="中等 9 2 2" xfId="9325"/>
    <cellStyle name="備註" xfId="3517"/>
    <cellStyle name="備註 10" xfId="6256"/>
    <cellStyle name="備註 10 2" xfId="6283"/>
    <cellStyle name="備註 10 2 2" xfId="8700"/>
    <cellStyle name="備註 10 2 2 2" xfId="13965"/>
    <cellStyle name="備註 10 2 2 2 2" xfId="18897"/>
    <cellStyle name="備註 10 2 3" xfId="11698"/>
    <cellStyle name="備註 10 2 3 2" xfId="18542"/>
    <cellStyle name="備註 10 3" xfId="8698"/>
    <cellStyle name="備註 10 3 2" xfId="13963"/>
    <cellStyle name="備註 10 3 2 2" xfId="15381"/>
    <cellStyle name="備註 10 4" xfId="11696"/>
    <cellStyle name="備註 10 4 2" xfId="19452"/>
    <cellStyle name="備註 11" xfId="7937"/>
    <cellStyle name="備註 11 2" xfId="13206"/>
    <cellStyle name="備註 11 2 2" xfId="16812"/>
    <cellStyle name="備註 12" xfId="10795"/>
    <cellStyle name="備註 12 2" xfId="17673"/>
    <cellStyle name="備註 2" xfId="3518"/>
    <cellStyle name="備註 2 2" xfId="5220"/>
    <cellStyle name="備註 2 2 2" xfId="6196"/>
    <cellStyle name="備註 2 2 2 2" xfId="8661"/>
    <cellStyle name="備註 2 2 2 2 2" xfId="13926"/>
    <cellStyle name="備註 2 2 2 2 2 2" xfId="16384"/>
    <cellStyle name="備註 2 2 2 3" xfId="11659"/>
    <cellStyle name="備註 2 2 2 3 2" xfId="19103"/>
    <cellStyle name="備註 2 2 3" xfId="8189"/>
    <cellStyle name="備註 2 2 3 2" xfId="13454"/>
    <cellStyle name="備註 2 2 3 2 2" xfId="16654"/>
    <cellStyle name="備註 2 2 4" xfId="11078"/>
    <cellStyle name="備註 2 2 4 2" xfId="17450"/>
    <cellStyle name="備註 2 3" xfId="5988"/>
    <cellStyle name="備註 2 3 2" xfId="8483"/>
    <cellStyle name="備註 2 3 2 2" xfId="13748"/>
    <cellStyle name="備註 2 3 2 2 2" xfId="18172"/>
    <cellStyle name="備註 2 3 3" xfId="11451"/>
    <cellStyle name="備註 2 3 3 2" xfId="18547"/>
    <cellStyle name="備註 2 4" xfId="7938"/>
    <cellStyle name="備註 2 4 2" xfId="13207"/>
    <cellStyle name="備註 2 4 2 2" xfId="16811"/>
    <cellStyle name="備註 2 5" xfId="10796"/>
    <cellStyle name="備註 2 5 2" xfId="17672"/>
    <cellStyle name="備註 3" xfId="3519"/>
    <cellStyle name="備註 3 2" xfId="5219"/>
    <cellStyle name="備註 3 2 2" xfId="6195"/>
    <cellStyle name="備註 3 2 2 2" xfId="8660"/>
    <cellStyle name="備註 3 2 2 2 2" xfId="13925"/>
    <cellStyle name="備註 3 2 2 2 2 2" xfId="17985"/>
    <cellStyle name="備註 3 2 2 3" xfId="11658"/>
    <cellStyle name="備註 3 2 2 3 2" xfId="19433"/>
    <cellStyle name="備註 3 2 3" xfId="8188"/>
    <cellStyle name="備註 3 2 3 2" xfId="13453"/>
    <cellStyle name="備註 3 2 3 2 2" xfId="18249"/>
    <cellStyle name="備註 3 2 4" xfId="11077"/>
    <cellStyle name="備註 3 2 4 2" xfId="17451"/>
    <cellStyle name="備註 3 3" xfId="6034"/>
    <cellStyle name="備註 3 3 2" xfId="8522"/>
    <cellStyle name="備註 3 3 2 2" xfId="13787"/>
    <cellStyle name="備註 3 3 2 2 2" xfId="18480"/>
    <cellStyle name="備註 3 3 3" xfId="11497"/>
    <cellStyle name="備註 3 3 3 2" xfId="19416"/>
    <cellStyle name="備註 3 4" xfId="7939"/>
    <cellStyle name="備註 3 4 2" xfId="13208"/>
    <cellStyle name="備註 3 4 2 2" xfId="16810"/>
    <cellStyle name="備註 3 5" xfId="10797"/>
    <cellStyle name="備註 3 5 2" xfId="17671"/>
    <cellStyle name="備註 4" xfId="3520"/>
    <cellStyle name="備註 4 10" xfId="3521"/>
    <cellStyle name="備註 4 10 2" xfId="5355"/>
    <cellStyle name="備註 4 10 2 2" xfId="8270"/>
    <cellStyle name="備註 4 10 2 2 2" xfId="13535"/>
    <cellStyle name="備註 4 10 2 2 2 2" xfId="16615"/>
    <cellStyle name="備註 4 10 2 3" xfId="11187"/>
    <cellStyle name="備註 4 10 2 3 2" xfId="17362"/>
    <cellStyle name="備註 4 10 3" xfId="5894"/>
    <cellStyle name="備註 4 10 3 2" xfId="8408"/>
    <cellStyle name="備註 4 10 3 2 2" xfId="13673"/>
    <cellStyle name="備註 4 10 3 2 2 2" xfId="16541"/>
    <cellStyle name="備註 4 10 3 3" xfId="11357"/>
    <cellStyle name="備註 4 10 3 3 2" xfId="18315"/>
    <cellStyle name="備註 4 10 4" xfId="7941"/>
    <cellStyle name="備註 4 10 4 2" xfId="13210"/>
    <cellStyle name="備註 4 10 4 2 2" xfId="18075"/>
    <cellStyle name="備註 4 10 5" xfId="10799"/>
    <cellStyle name="備註 4 10 5 2" xfId="17669"/>
    <cellStyle name="備註 4 11" xfId="3522"/>
    <cellStyle name="備註 4 11 2" xfId="5356"/>
    <cellStyle name="備註 4 11 2 2" xfId="8271"/>
    <cellStyle name="備註 4 11 2 2 2" xfId="13536"/>
    <cellStyle name="備註 4 11 2 2 2 2" xfId="16614"/>
    <cellStyle name="備註 4 11 2 3" xfId="11188"/>
    <cellStyle name="備註 4 11 2 3 2" xfId="17361"/>
    <cellStyle name="備註 4 11 3" xfId="5893"/>
    <cellStyle name="備註 4 11 3 2" xfId="8407"/>
    <cellStyle name="備註 4 11 3 2 2" xfId="13672"/>
    <cellStyle name="備註 4 11 3 2 2 2" xfId="16542"/>
    <cellStyle name="備註 4 11 3 3" xfId="11356"/>
    <cellStyle name="備註 4 11 3 3 2" xfId="19118"/>
    <cellStyle name="備註 4 11 4" xfId="7942"/>
    <cellStyle name="備註 4 11 4 2" xfId="13211"/>
    <cellStyle name="備註 4 11 4 2 2" xfId="18909"/>
    <cellStyle name="備註 4 11 5" xfId="10800"/>
    <cellStyle name="備註 4 11 5 2" xfId="17668"/>
    <cellStyle name="備註 4 12" xfId="3523"/>
    <cellStyle name="備註 4 12 2" xfId="5357"/>
    <cellStyle name="備註 4 12 2 2" xfId="8272"/>
    <cellStyle name="備註 4 12 2 2 2" xfId="13537"/>
    <cellStyle name="備註 4 12 2 2 2 2" xfId="16613"/>
    <cellStyle name="備註 4 12 2 3" xfId="11189"/>
    <cellStyle name="備註 4 12 2 3 2" xfId="18614"/>
    <cellStyle name="備註 4 12 3" xfId="5892"/>
    <cellStyle name="備註 4 12 3 2" xfId="8406"/>
    <cellStyle name="備註 4 12 3 2 2" xfId="13671"/>
    <cellStyle name="備註 4 12 3 2 2 2" xfId="16543"/>
    <cellStyle name="備註 4 12 3 3" xfId="11355"/>
    <cellStyle name="備註 4 12 3 3 2" xfId="19448"/>
    <cellStyle name="備註 4 12 4" xfId="7943"/>
    <cellStyle name="備註 4 12 4 2" xfId="13212"/>
    <cellStyle name="備註 4 12 4 2 2" xfId="18728"/>
    <cellStyle name="備註 4 12 5" xfId="10801"/>
    <cellStyle name="備註 4 12 5 2" xfId="17667"/>
    <cellStyle name="備註 4 13" xfId="5218"/>
    <cellStyle name="備註 4 13 2" xfId="6194"/>
    <cellStyle name="備註 4 13 2 2" xfId="8659"/>
    <cellStyle name="備註 4 13 2 2 2" xfId="13924"/>
    <cellStyle name="備註 4 13 2 2 2 2" xfId="18724"/>
    <cellStyle name="備註 4 13 2 3" xfId="11657"/>
    <cellStyle name="備註 4 13 2 3 2" xfId="20054"/>
    <cellStyle name="備註 4 13 3" xfId="8187"/>
    <cellStyle name="備註 4 13 3 2" xfId="13452"/>
    <cellStyle name="備註 4 13 3 2 2" xfId="18767"/>
    <cellStyle name="備註 4 13 4" xfId="11076"/>
    <cellStyle name="備註 4 13 4 2" xfId="17452"/>
    <cellStyle name="備註 4 14" xfId="5987"/>
    <cellStyle name="備註 4 14 2" xfId="8482"/>
    <cellStyle name="備註 4 14 2 2" xfId="13747"/>
    <cellStyle name="備註 4 14 2 2 2" xfId="18484"/>
    <cellStyle name="備註 4 14 3" xfId="11450"/>
    <cellStyle name="備註 4 14 3 2" xfId="18997"/>
    <cellStyle name="備註 4 15" xfId="7940"/>
    <cellStyle name="備註 4 15 2" xfId="13209"/>
    <cellStyle name="備註 4 15 2 2" xfId="16809"/>
    <cellStyle name="備註 4 16" xfId="10798"/>
    <cellStyle name="備註 4 16 2" xfId="17670"/>
    <cellStyle name="備註 4 2" xfId="3524"/>
    <cellStyle name="備註 4 2 2" xfId="5217"/>
    <cellStyle name="備註 4 2 2 2" xfId="6193"/>
    <cellStyle name="備註 4 2 2 2 2" xfId="8658"/>
    <cellStyle name="備註 4 2 2 2 2 2" xfId="13923"/>
    <cellStyle name="備註 4 2 2 2 2 2 2" xfId="18905"/>
    <cellStyle name="備註 4 2 2 2 3" xfId="11656"/>
    <cellStyle name="備註 4 2 2 2 3 2" xfId="19752"/>
    <cellStyle name="備註 4 2 2 3" xfId="8186"/>
    <cellStyle name="備註 4 2 2 3 2" xfId="13451"/>
    <cellStyle name="備註 4 2 2 3 2 2" xfId="18948"/>
    <cellStyle name="備註 4 2 2 4" xfId="11075"/>
    <cellStyle name="備註 4 2 2 4 2" xfId="17453"/>
    <cellStyle name="備註 4 2 3" xfId="6033"/>
    <cellStyle name="備註 4 2 3 2" xfId="8521"/>
    <cellStyle name="備註 4 2 3 2 2" xfId="13786"/>
    <cellStyle name="備註 4 2 3 2 2 2" xfId="16466"/>
    <cellStyle name="備註 4 2 3 3" xfId="11496"/>
    <cellStyle name="備註 4 2 3 3 2" xfId="20037"/>
    <cellStyle name="備註 4 2 4" xfId="7944"/>
    <cellStyle name="備註 4 2 4 2" xfId="13213"/>
    <cellStyle name="備註 4 2 4 2 2" xfId="17989"/>
    <cellStyle name="備註 4 2 5" xfId="10802"/>
    <cellStyle name="備註 4 2 5 2" xfId="17666"/>
    <cellStyle name="備註 4 3" xfId="3525"/>
    <cellStyle name="備註 4 3 2" xfId="3526"/>
    <cellStyle name="備註 4 3 2 2" xfId="5168"/>
    <cellStyle name="備註 4 3 2 2 2" xfId="6144"/>
    <cellStyle name="備註 4 3 2 2 2 2" xfId="8614"/>
    <cellStyle name="備註 4 3 2 2 2 2 2" xfId="13879"/>
    <cellStyle name="備註 4 3 2 2 2 2 2 2" xfId="16415"/>
    <cellStyle name="備註 4 3 2 2 2 3" xfId="11607"/>
    <cellStyle name="備註 4 3 2 2 2 3 2" xfId="20072"/>
    <cellStyle name="備註 4 3 2 2 3" xfId="8142"/>
    <cellStyle name="備註 4 3 2 2 3 2" xfId="13407"/>
    <cellStyle name="備註 4 3 2 2 3 2 2" xfId="16677"/>
    <cellStyle name="備註 4 3 2 2 4" xfId="11026"/>
    <cellStyle name="備註 4 3 2 2 4 2" xfId="18327"/>
    <cellStyle name="備註 4 3 2 3" xfId="5814"/>
    <cellStyle name="備註 4 3 2 3 2" xfId="8350"/>
    <cellStyle name="備註 4 3 2 3 2 2" xfId="13615"/>
    <cellStyle name="備註 4 3 2 3 2 2 2" xfId="16574"/>
    <cellStyle name="備註 4 3 2 3 3" xfId="11277"/>
    <cellStyle name="備註 4 3 2 3 3 2" xfId="18269"/>
    <cellStyle name="備註 4 3 2 4" xfId="7946"/>
    <cellStyle name="備註 4 3 2 4 2" xfId="13215"/>
    <cellStyle name="備註 4 3 2 4 2 2" xfId="16807"/>
    <cellStyle name="備註 4 3 2 5" xfId="10804"/>
    <cellStyle name="備註 4 3 2 5 2" xfId="17664"/>
    <cellStyle name="備註 4 3 3" xfId="5169"/>
    <cellStyle name="備註 4 3 3 2" xfId="6145"/>
    <cellStyle name="備註 4 3 3 2 2" xfId="8615"/>
    <cellStyle name="備註 4 3 3 2 2 2" xfId="13880"/>
    <cellStyle name="備註 4 3 3 2 2 2 2" xfId="18065"/>
    <cellStyle name="備註 4 3 3 2 3" xfId="11608"/>
    <cellStyle name="備註 4 3 3 2 3 2" xfId="19451"/>
    <cellStyle name="備註 4 3 3 3" xfId="8143"/>
    <cellStyle name="備註 4 3 3 3 2" xfId="13408"/>
    <cellStyle name="備註 4 3 3 3 2 2" xfId="16676"/>
    <cellStyle name="備註 4 3 3 4" xfId="11027"/>
    <cellStyle name="備註 4 3 3 4 2" xfId="18280"/>
    <cellStyle name="備註 4 3 4" xfId="6014"/>
    <cellStyle name="備註 4 3 4 2" xfId="8503"/>
    <cellStyle name="備註 4 3 4 2 2" xfId="13768"/>
    <cellStyle name="備註 4 3 4 2 2 2" xfId="18170"/>
    <cellStyle name="備註 4 3 4 3" xfId="11477"/>
    <cellStyle name="備註 4 3 4 3 2" xfId="19842"/>
    <cellStyle name="備註 4 3 5" xfId="7945"/>
    <cellStyle name="備註 4 3 5 2" xfId="13214"/>
    <cellStyle name="備註 4 3 5 2 2" xfId="16808"/>
    <cellStyle name="備註 4 3 6" xfId="10803"/>
    <cellStyle name="備註 4 3 6 2" xfId="15536"/>
    <cellStyle name="備註 4 4" xfId="3527"/>
    <cellStyle name="備註 4 4 2" xfId="5358"/>
    <cellStyle name="備註 4 4 2 2" xfId="8273"/>
    <cellStyle name="備註 4 4 2 2 2" xfId="13538"/>
    <cellStyle name="備註 4 4 2 2 2 2" xfId="18940"/>
    <cellStyle name="備註 4 4 2 3" xfId="11190"/>
    <cellStyle name="備註 4 4 2 3 2" xfId="18591"/>
    <cellStyle name="備註 4 4 3" xfId="5891"/>
    <cellStyle name="備註 4 4 3 2" xfId="8405"/>
    <cellStyle name="備註 4 4 3 2 2" xfId="13670"/>
    <cellStyle name="備註 4 4 3 2 2 2" xfId="17775"/>
    <cellStyle name="備註 4 4 3 3" xfId="11354"/>
    <cellStyle name="備註 4 4 3 3 2" xfId="20069"/>
    <cellStyle name="備註 4 4 4" xfId="7947"/>
    <cellStyle name="備註 4 4 4 2" xfId="13216"/>
    <cellStyle name="備註 4 4 4 2 2" xfId="16806"/>
    <cellStyle name="備註 4 4 5" xfId="10805"/>
    <cellStyle name="備註 4 4 5 2" xfId="17663"/>
    <cellStyle name="備註 4 5" xfId="3528"/>
    <cellStyle name="備註 4 5 2" xfId="5359"/>
    <cellStyle name="備註 4 5 2 2" xfId="8274"/>
    <cellStyle name="備註 4 5 2 2 2" xfId="13539"/>
    <cellStyle name="備註 4 5 2 2 2 2" xfId="18759"/>
    <cellStyle name="備註 4 5 2 3" xfId="11191"/>
    <cellStyle name="備註 4 5 2 3 2" xfId="18320"/>
    <cellStyle name="備註 4 5 3" xfId="5890"/>
    <cellStyle name="備註 4 5 3 2" xfId="8404"/>
    <cellStyle name="備註 4 5 3 2 2" xfId="13669"/>
    <cellStyle name="備註 4 5 3 2 2 2" xfId="18180"/>
    <cellStyle name="備註 4 5 3 3" xfId="11353"/>
    <cellStyle name="備註 4 5 3 3 2" xfId="19767"/>
    <cellStyle name="備註 4 5 4" xfId="7948"/>
    <cellStyle name="備註 4 5 4 2" xfId="13217"/>
    <cellStyle name="備註 4 5 4 2 2" xfId="16805"/>
    <cellStyle name="備註 4 5 5" xfId="10806"/>
    <cellStyle name="備註 4 5 5 2" xfId="18893"/>
    <cellStyle name="備註 4 6" xfId="3529"/>
    <cellStyle name="備註 4 6 2" xfId="5360"/>
    <cellStyle name="備註 4 6 2 2" xfId="8275"/>
    <cellStyle name="備註 4 6 2 2 2" xfId="13540"/>
    <cellStyle name="備註 4 6 2 2 2 2" xfId="18224"/>
    <cellStyle name="備註 4 6 2 3" xfId="11192"/>
    <cellStyle name="備註 4 6 2 3 2" xfId="18273"/>
    <cellStyle name="備註 4 6 3" xfId="5833"/>
    <cellStyle name="備註 4 6 3 2" xfId="8364"/>
    <cellStyle name="備註 4 6 3 2 2" xfId="13629"/>
    <cellStyle name="備註 4 6 3 2 2 2" xfId="15526"/>
    <cellStyle name="備註 4 6 3 3" xfId="11296"/>
    <cellStyle name="備註 4 6 3 3 2" xfId="17980"/>
    <cellStyle name="備註 4 6 4" xfId="7949"/>
    <cellStyle name="備註 4 6 4 2" xfId="13218"/>
    <cellStyle name="備註 4 6 4 2 2" xfId="16804"/>
    <cellStyle name="備註 4 6 5" xfId="10807"/>
    <cellStyle name="備註 4 6 5 2" xfId="18712"/>
    <cellStyle name="備註 4 7" xfId="3530"/>
    <cellStyle name="備註 4 7 2" xfId="5361"/>
    <cellStyle name="備註 4 7 2 2" xfId="8276"/>
    <cellStyle name="備註 4 7 2 2 2" xfId="13541"/>
    <cellStyle name="備註 4 7 2 2 2 2" xfId="16612"/>
    <cellStyle name="備註 4 7 2 3" xfId="11193"/>
    <cellStyle name="備註 4 7 2 3 2" xfId="17360"/>
    <cellStyle name="備註 4 7 3" xfId="5832"/>
    <cellStyle name="備註 4 7 3 2" xfId="8363"/>
    <cellStyle name="備註 4 7 3 2 2" xfId="13628"/>
    <cellStyle name="備註 4 7 3 2 2 2" xfId="16565"/>
    <cellStyle name="備註 4 7 3 3" xfId="11295"/>
    <cellStyle name="備註 4 7 3 3 2" xfId="18719"/>
    <cellStyle name="備註 4 7 4" xfId="7950"/>
    <cellStyle name="備註 4 7 4 2" xfId="13219"/>
    <cellStyle name="備註 4 7 4 2 2" xfId="16803"/>
    <cellStyle name="備註 4 7 5" xfId="10808"/>
    <cellStyle name="備註 4 7 5 2" xfId="17662"/>
    <cellStyle name="備註 4 8" xfId="3531"/>
    <cellStyle name="備註 4 8 2" xfId="5362"/>
    <cellStyle name="備註 4 8 2 2" xfId="8277"/>
    <cellStyle name="備註 4 8 2 2 2" xfId="13542"/>
    <cellStyle name="備註 4 8 2 2 2 2" xfId="16611"/>
    <cellStyle name="備註 4 8 2 3" xfId="11194"/>
    <cellStyle name="備註 4 8 2 3 2" xfId="17359"/>
    <cellStyle name="備註 4 8 3" xfId="5802"/>
    <cellStyle name="備註 4 8 3 2" xfId="8339"/>
    <cellStyle name="備註 4 8 3 2 2" xfId="13604"/>
    <cellStyle name="備註 4 8 3 2 2 2" xfId="16581"/>
    <cellStyle name="備註 4 8 3 3" xfId="11265"/>
    <cellStyle name="備註 4 8 3 3 2" xfId="19124"/>
    <cellStyle name="備註 4 8 4" xfId="7951"/>
    <cellStyle name="備註 4 8 4 2" xfId="13220"/>
    <cellStyle name="備註 4 8 4 2 2" xfId="16802"/>
    <cellStyle name="備註 4 8 5" xfId="10809"/>
    <cellStyle name="備註 4 8 5 2" xfId="17661"/>
    <cellStyle name="備註 4 9" xfId="3532"/>
    <cellStyle name="備註 4 9 2" xfId="5363"/>
    <cellStyle name="備註 4 9 2 2" xfId="8278"/>
    <cellStyle name="備註 4 9 2 2 2" xfId="13543"/>
    <cellStyle name="備註 4 9 2 2 2 2" xfId="18240"/>
    <cellStyle name="備註 4 9 2 3" xfId="11195"/>
    <cellStyle name="備註 4 9 2 3 2" xfId="17358"/>
    <cellStyle name="備註 4 9 3" xfId="5889"/>
    <cellStyle name="備註 4 9 3 2" xfId="8403"/>
    <cellStyle name="備註 4 9 3 2 2" xfId="13668"/>
    <cellStyle name="備註 4 9 3 2 2 2" xfId="18492"/>
    <cellStyle name="備註 4 9 3 3" xfId="11352"/>
    <cellStyle name="備註 4 9 3 3 2" xfId="19239"/>
    <cellStyle name="備註 4 9 4" xfId="7952"/>
    <cellStyle name="備註 4 9 4 2" xfId="13221"/>
    <cellStyle name="備註 4 9 4 2 2" xfId="16801"/>
    <cellStyle name="備註 4 9 5" xfId="10810"/>
    <cellStyle name="備註 4 9 5 2" xfId="17660"/>
    <cellStyle name="備註 5" xfId="3533"/>
    <cellStyle name="備註 5 2" xfId="5167"/>
    <cellStyle name="備註 5 2 2" xfId="6143"/>
    <cellStyle name="備註 5 2 2 2" xfId="8613"/>
    <cellStyle name="備註 5 2 2 2 2" xfId="13878"/>
    <cellStyle name="備註 5 2 2 2 2 2" xfId="16416"/>
    <cellStyle name="備註 5 2 2 3" xfId="11606"/>
    <cellStyle name="備註 5 2 2 3 2" xfId="19770"/>
    <cellStyle name="備註 5 2 3" xfId="8141"/>
    <cellStyle name="備註 5 2 3 2" xfId="13406"/>
    <cellStyle name="備註 5 2 3 2 2" xfId="16678"/>
    <cellStyle name="備註 5 2 4" xfId="11025"/>
    <cellStyle name="備註 5 2 4 2" xfId="18596"/>
    <cellStyle name="備註 5 3" xfId="5850"/>
    <cellStyle name="備註 5 3 2" xfId="8372"/>
    <cellStyle name="備註 5 3 2 2" xfId="13637"/>
    <cellStyle name="備註 5 3 2 2 2" xfId="16560"/>
    <cellStyle name="備註 5 3 3" xfId="11313"/>
    <cellStyle name="備註 5 3 3 2" xfId="17276"/>
    <cellStyle name="備註 5 4" xfId="7953"/>
    <cellStyle name="備註 5 4 2" xfId="13222"/>
    <cellStyle name="備註 5 4 2 2" xfId="16800"/>
    <cellStyle name="備註 5 5" xfId="10811"/>
    <cellStyle name="備註 5 5 2" xfId="17659"/>
    <cellStyle name="備註 6" xfId="5221"/>
    <cellStyle name="備註 6 2" xfId="6197"/>
    <cellStyle name="備註 6 2 2" xfId="8662"/>
    <cellStyle name="備註 6 2 2 2" xfId="13927"/>
    <cellStyle name="備註 6 2 2 2 2" xfId="16383"/>
    <cellStyle name="備註 6 2 3" xfId="11660"/>
    <cellStyle name="備註 6 2 3 2" xfId="19565"/>
    <cellStyle name="備註 6 3" xfId="8190"/>
    <cellStyle name="備註 6 3 2" xfId="13455"/>
    <cellStyle name="備註 6 3 2 2" xfId="16653"/>
    <cellStyle name="備註 6 4" xfId="11079"/>
    <cellStyle name="備註 6 4 2" xfId="17449"/>
    <cellStyle name="備註 7" xfId="5507"/>
    <cellStyle name="備註 7 2" xfId="8315"/>
    <cellStyle name="備註 7 2 2" xfId="13580"/>
    <cellStyle name="備註 7 2 2 2" xfId="16594"/>
    <cellStyle name="備註 7 3" xfId="11240"/>
    <cellStyle name="備註 7 3 2" xfId="17321"/>
    <cellStyle name="備註 8" xfId="5787"/>
    <cellStyle name="備註 8 2" xfId="8325"/>
    <cellStyle name="備註 8 2 2" xfId="13590"/>
    <cellStyle name="備註 8 2 2 2" xfId="16582"/>
    <cellStyle name="備註 8 3" xfId="11251"/>
    <cellStyle name="備註 8 3 2" xfId="17315"/>
    <cellStyle name="備註 9" xfId="5997"/>
    <cellStyle name="備註 9 2" xfId="8492"/>
    <cellStyle name="備註 9 2 2" xfId="13757"/>
    <cellStyle name="備註 9 2 2 2" xfId="18483"/>
    <cellStyle name="備註 9 3" xfId="11460"/>
    <cellStyle name="備註 9 3 2" xfId="17260"/>
    <cellStyle name="合計" xfId="3576"/>
    <cellStyle name="合計 10" xfId="6699"/>
    <cellStyle name="合計 10 2" xfId="12383"/>
    <cellStyle name="合計 10 2 2" xfId="16893"/>
    <cellStyle name="合計 11" xfId="10813"/>
    <cellStyle name="合計 11 2" xfId="17657"/>
    <cellStyle name="合計 2" xfId="3577"/>
    <cellStyle name="合計 2 2" xfId="5214"/>
    <cellStyle name="合計 2 2 2" xfId="6190"/>
    <cellStyle name="合計 2 2 2 2" xfId="6600"/>
    <cellStyle name="合計 2 2 2 2 2" xfId="12285"/>
    <cellStyle name="合計 2 2 2 2 2 2" xfId="16942"/>
    <cellStyle name="合計 2 2 2 3" xfId="11653"/>
    <cellStyle name="合計 2 2 2 3 2" xfId="19495"/>
    <cellStyle name="合計 2 2 3" xfId="6469"/>
    <cellStyle name="合計 2 2 3 2" xfId="12154"/>
    <cellStyle name="合計 2 2 3 2 2" xfId="17025"/>
    <cellStyle name="合計 2 2 4" xfId="11072"/>
    <cellStyle name="合計 2 2 4 2" xfId="17456"/>
    <cellStyle name="合計 2 3" xfId="5985"/>
    <cellStyle name="合計 2 3 2" xfId="6998"/>
    <cellStyle name="合計 2 3 2 2" xfId="12682"/>
    <cellStyle name="合計 2 3 2 2 2" xfId="19675"/>
    <cellStyle name="合計 2 3 3" xfId="11448"/>
    <cellStyle name="合計 2 3 3 2" xfId="19948"/>
    <cellStyle name="合計 2 4" xfId="6700"/>
    <cellStyle name="合計 2 4 2" xfId="12384"/>
    <cellStyle name="合計 2 4 2 2" xfId="17898"/>
    <cellStyle name="合計 2 5" xfId="10814"/>
    <cellStyle name="合計 2 5 2" xfId="17656"/>
    <cellStyle name="合計 3" xfId="3578"/>
    <cellStyle name="合計 3 2" xfId="5213"/>
    <cellStyle name="合計 3 2 2" xfId="6189"/>
    <cellStyle name="合計 3 2 2 2" xfId="7695"/>
    <cellStyle name="合計 3 2 2 2 2" xfId="12972"/>
    <cellStyle name="合計 3 2 2 2 2 2" xfId="18303"/>
    <cellStyle name="合計 3 2 2 3" xfId="11652"/>
    <cellStyle name="合計 3 2 2 3 2" xfId="17253"/>
    <cellStyle name="合計 3 2 3" xfId="7711"/>
    <cellStyle name="合計 3 2 3 2" xfId="12988"/>
    <cellStyle name="合計 3 2 3 2 2" xfId="18554"/>
    <cellStyle name="合計 3 2 4" xfId="11071"/>
    <cellStyle name="合計 3 2 4 2" xfId="17457"/>
    <cellStyle name="合計 3 3" xfId="5875"/>
    <cellStyle name="合計 3 3 2" xfId="6758"/>
    <cellStyle name="合計 3 3 2 2" xfId="12442"/>
    <cellStyle name="合計 3 3 2 2 2" xfId="19558"/>
    <cellStyle name="合計 3 3 3" xfId="11338"/>
    <cellStyle name="合計 3 3 3 2" xfId="19705"/>
    <cellStyle name="合計 3 4" xfId="6843"/>
    <cellStyle name="合計 3 4 2" xfId="12527"/>
    <cellStyle name="合計 3 4 2 2" xfId="19644"/>
    <cellStyle name="合計 3 5" xfId="10815"/>
    <cellStyle name="合計 3 5 2" xfId="17655"/>
    <cellStyle name="合計 4" xfId="3579"/>
    <cellStyle name="合計 4 2" xfId="5212"/>
    <cellStyle name="合計 4 2 2" xfId="6188"/>
    <cellStyle name="合計 4 2 2 2" xfId="7662"/>
    <cellStyle name="合計 4 2 2 2 2" xfId="6833"/>
    <cellStyle name="合計 4 2 2 2 2 2" xfId="9717"/>
    <cellStyle name="合計 4 2 2 2 2 2 2" xfId="12517"/>
    <cellStyle name="合計 4 2 2 2 2 2 2 2" xfId="19492"/>
    <cellStyle name="合計 4 2 2 2 2 3" xfId="9433"/>
    <cellStyle name="合計 4 2 2 2 2 3 2" xfId="14338"/>
    <cellStyle name="合計 4 2 2 2 2 3 2 2" xfId="16154"/>
    <cellStyle name="合計 4 2 2 2 2 4" xfId="12139"/>
    <cellStyle name="合計 4 2 2 2 2 4 2" xfId="17035"/>
    <cellStyle name="合計 4 2 2 2 3" xfId="11987"/>
    <cellStyle name="合計 4 2 2 2 3 2" xfId="17917"/>
    <cellStyle name="合計 4 2 2 3" xfId="6596"/>
    <cellStyle name="合計 4 2 2 3 2" xfId="12281"/>
    <cellStyle name="合計 4 2 2 3 2 2" xfId="16944"/>
    <cellStyle name="合計 4 2 2 4" xfId="11651"/>
    <cellStyle name="合計 4 2 2 4 2" xfId="18258"/>
    <cellStyle name="合計 4 2 3" xfId="7518"/>
    <cellStyle name="合計 4 2 3 2" xfId="7043"/>
    <cellStyle name="合計 4 2 3 2 2" xfId="9866"/>
    <cellStyle name="合計 4 2 3 2 2 2" xfId="12727"/>
    <cellStyle name="合計 4 2 3 2 2 2 2" xfId="19488"/>
    <cellStyle name="合計 4 2 3 2 3" xfId="9279"/>
    <cellStyle name="合計 4 2 3 2 3 2" xfId="14276"/>
    <cellStyle name="合計 4 2 3 2 3 2 2" xfId="16182"/>
    <cellStyle name="合計 4 2 3 2 4" xfId="12057"/>
    <cellStyle name="合計 4 2 3 2 4 2" xfId="17091"/>
    <cellStyle name="合計 4 2 3 3" xfId="11915"/>
    <cellStyle name="合計 4 2 3 3 2" xfId="17185"/>
    <cellStyle name="合計 4 2 4" xfId="6736"/>
    <cellStyle name="合計 4 2 4 2" xfId="12420"/>
    <cellStyle name="合計 4 2 4 2 2" xfId="16875"/>
    <cellStyle name="合計 4 2 5" xfId="11070"/>
    <cellStyle name="合計 4 2 5 2" xfId="17458"/>
    <cellStyle name="合計 4 3" xfId="5874"/>
    <cellStyle name="合計 4 3 2" xfId="7621"/>
    <cellStyle name="合計 4 3 2 2" xfId="6981"/>
    <cellStyle name="合計 4 3 2 2 2" xfId="9823"/>
    <cellStyle name="合計 4 3 2 2 2 2" xfId="12665"/>
    <cellStyle name="合計 4 3 2 2 2 2 2" xfId="19406"/>
    <cellStyle name="合計 4 3 2 2 3" xfId="9383"/>
    <cellStyle name="合計 4 3 2 2 3 2" xfId="14302"/>
    <cellStyle name="合計 4 3 2 2 3 2 2" xfId="16173"/>
    <cellStyle name="合計 4 3 2 2 4" xfId="12089"/>
    <cellStyle name="合計 4 3 2 2 4 2" xfId="17075"/>
    <cellStyle name="合計 4 3 2 3" xfId="11946"/>
    <cellStyle name="合計 4 3 2 3 2" xfId="17916"/>
    <cellStyle name="合計 4 3 3" xfId="6876"/>
    <cellStyle name="合計 4 3 3 2" xfId="12560"/>
    <cellStyle name="合計 4 3 3 2 2" xfId="20068"/>
    <cellStyle name="合計 4 3 4" xfId="11337"/>
    <cellStyle name="合計 4 3 4 2" xfId="19198"/>
    <cellStyle name="合計 4 4" xfId="7332"/>
    <cellStyle name="合計 4 4 2" xfId="6804"/>
    <cellStyle name="合計 4 4 2 2" xfId="9699"/>
    <cellStyle name="合計 4 4 2 2 2" xfId="12488"/>
    <cellStyle name="合計 4 4 2 2 2 2" xfId="18386"/>
    <cellStyle name="合計 4 4 2 3" xfId="9088"/>
    <cellStyle name="合計 4 4 2 3 2" xfId="14236"/>
    <cellStyle name="合計 4 4 2 3 2 2" xfId="18663"/>
    <cellStyle name="合計 4 4 2 4" xfId="12003"/>
    <cellStyle name="合計 4 4 2 4 2" xfId="17129"/>
    <cellStyle name="合計 4 4 3" xfId="11866"/>
    <cellStyle name="合計 4 4 3 2" xfId="17931"/>
    <cellStyle name="合計 4 5" xfId="6925"/>
    <cellStyle name="合計 4 5 2" xfId="12609"/>
    <cellStyle name="合計 4 5 2 2" xfId="19865"/>
    <cellStyle name="合計 4 6" xfId="10816"/>
    <cellStyle name="合計 4 6 2" xfId="17654"/>
    <cellStyle name="合計 5" xfId="3580"/>
    <cellStyle name="合計 5 2" xfId="5166"/>
    <cellStyle name="合計 5 2 2" xfId="6142"/>
    <cellStyle name="合計 5 2 2 2" xfId="6787"/>
    <cellStyle name="合計 5 2 2 2 2" xfId="12471"/>
    <cellStyle name="合計 5 2 2 2 2 2" xfId="19084"/>
    <cellStyle name="合計 5 2 2 3" xfId="11605"/>
    <cellStyle name="合計 5 2 2 3 2" xfId="19199"/>
    <cellStyle name="合計 5 2 3" xfId="6733"/>
    <cellStyle name="合計 5 2 3 2" xfId="12417"/>
    <cellStyle name="合計 5 2 3 2 2" xfId="16878"/>
    <cellStyle name="合計 5 2 4" xfId="11024"/>
    <cellStyle name="合計 5 2 4 2" xfId="18619"/>
    <cellStyle name="合計 5 3" xfId="5940"/>
    <cellStyle name="合計 5 3 2" xfId="7008"/>
    <cellStyle name="合計 5 3 2 2" xfId="12692"/>
    <cellStyle name="合計 5 3 2 2 2" xfId="18999"/>
    <cellStyle name="合計 5 3 3" xfId="11403"/>
    <cellStyle name="合計 5 3 3 2" xfId="19311"/>
    <cellStyle name="合計 5 4" xfId="7016"/>
    <cellStyle name="合計 5 4 2" xfId="12700"/>
    <cellStyle name="合計 5 4 2 2" xfId="19114"/>
    <cellStyle name="合計 5 5" xfId="10817"/>
    <cellStyle name="合計 5 5 2" xfId="17653"/>
    <cellStyle name="合計 6" xfId="4698"/>
    <cellStyle name="合計 6 2" xfId="5380"/>
    <cellStyle name="合計 6 2 2" xfId="6949"/>
    <cellStyle name="合計 6 2 2 2" xfId="12633"/>
    <cellStyle name="合計 6 2 2 2 2" xfId="19929"/>
    <cellStyle name="合計 6 2 3" xfId="11212"/>
    <cellStyle name="合計 6 2 3 2" xfId="17345"/>
    <cellStyle name="合計 6 3" xfId="5830"/>
    <cellStyle name="合計 6 3 2" xfId="6552"/>
    <cellStyle name="合計 6 3 2 2" xfId="12237"/>
    <cellStyle name="合計 6 3 2 2 2" xfId="16965"/>
    <cellStyle name="合計 6 3 3" xfId="11293"/>
    <cellStyle name="合計 6 3 3 2" xfId="18037"/>
    <cellStyle name="合計 6 4" xfId="6996"/>
    <cellStyle name="合計 6 4 2" xfId="12680"/>
    <cellStyle name="合計 6 4 2 2" xfId="19795"/>
    <cellStyle name="合計 6 5" xfId="10930"/>
    <cellStyle name="合計 6 5 2" xfId="17562"/>
    <cellStyle name="合計 7" xfId="5215"/>
    <cellStyle name="合計 7 2" xfId="6191"/>
    <cellStyle name="合計 7 2 2" xfId="7000"/>
    <cellStyle name="合計 7 2 2 2" xfId="12684"/>
    <cellStyle name="合計 7 2 2 2 2" xfId="19356"/>
    <cellStyle name="合計 7 2 3" xfId="11654"/>
    <cellStyle name="合計 7 2 3 2" xfId="19800"/>
    <cellStyle name="合計 7 3" xfId="6735"/>
    <cellStyle name="合計 7 3 2" xfId="12419"/>
    <cellStyle name="合計 7 3 2 2" xfId="16876"/>
    <cellStyle name="合計 7 4" xfId="11073"/>
    <cellStyle name="合計 7 4 2" xfId="17455"/>
    <cellStyle name="合計 8" xfId="5508"/>
    <cellStyle name="合計 8 2" xfId="7565"/>
    <cellStyle name="合計 8 2 2" xfId="6952"/>
    <cellStyle name="合計 8 2 2 2" xfId="9801"/>
    <cellStyle name="合計 8 2 2 2 2" xfId="12636"/>
    <cellStyle name="合計 8 2 2 2 2 2" xfId="19935"/>
    <cellStyle name="合計 8 2 2 3" xfId="9326"/>
    <cellStyle name="合計 8 2 2 3 2" xfId="14285"/>
    <cellStyle name="合計 8 2 2 3 2 2" xfId="15492"/>
    <cellStyle name="合計 8 2 2 4" xfId="12067"/>
    <cellStyle name="合計 8 2 2 4 2" xfId="18514"/>
    <cellStyle name="合計 8 2 3" xfId="11925"/>
    <cellStyle name="合計 8 2 3 2" xfId="17176"/>
    <cellStyle name="合計 8 3" xfId="6932"/>
    <cellStyle name="合計 8 3 2" xfId="12616"/>
    <cellStyle name="合計 8 3 2 2" xfId="19553"/>
    <cellStyle name="合計 8 4" xfId="11241"/>
    <cellStyle name="合計 8 4 2" xfId="17320"/>
    <cellStyle name="合計 9" xfId="6032"/>
    <cellStyle name="合計 9 2" xfId="6765"/>
    <cellStyle name="合計 9 2 2" xfId="12449"/>
    <cellStyle name="合計 9 2 2 2" xfId="20077"/>
    <cellStyle name="合計 9 3" xfId="11495"/>
    <cellStyle name="合計 9 3 2" xfId="19735"/>
    <cellStyle name="壞" xfId="3581"/>
    <cellStyle name="壞 2" xfId="3582"/>
    <cellStyle name="壞 3" xfId="3583"/>
    <cellStyle name="壞 4" xfId="3584"/>
    <cellStyle name="壞 5" xfId="3585"/>
    <cellStyle name="壞 6" xfId="3586"/>
    <cellStyle name="壞 6 2" xfId="7333"/>
    <cellStyle name="壞 6 2 2" xfId="9089"/>
    <cellStyle name="壞 7" xfId="3587"/>
    <cellStyle name="壞 8" xfId="4722"/>
    <cellStyle name="壞 9" xfId="5509"/>
    <cellStyle name="壞 9 2" xfId="7566"/>
    <cellStyle name="壞 9 2 2" xfId="9327"/>
    <cellStyle name="壞_Data" xfId="3588"/>
    <cellStyle name="好" xfId="92"/>
    <cellStyle name="好 10" xfId="3620"/>
    <cellStyle name="好 11" xfId="5510"/>
    <cellStyle name="好 11 2" xfId="7567"/>
    <cellStyle name="好 11 2 2" xfId="9328"/>
    <cellStyle name="好 12" xfId="3619"/>
    <cellStyle name="好 13" xfId="10406"/>
    <cellStyle name="好 2" xfId="3621"/>
    <cellStyle name="好 2 2" xfId="3622"/>
    <cellStyle name="好 2 2 2" xfId="5015"/>
    <cellStyle name="好 2 3" xfId="3623"/>
    <cellStyle name="好 2 4" xfId="3624"/>
    <cellStyle name="好 2 5" xfId="5031"/>
    <cellStyle name="好 2 5 2" xfId="7470"/>
    <cellStyle name="好 2 5 2 2" xfId="9226"/>
    <cellStyle name="好 3" xfId="3625"/>
    <cellStyle name="好 3 2" xfId="3626"/>
    <cellStyle name="好 4" xfId="3627"/>
    <cellStyle name="好 4 2" xfId="7334"/>
    <cellStyle name="好 4 2 2" xfId="9090"/>
    <cellStyle name="好 5" xfId="3628"/>
    <cellStyle name="好 5 2" xfId="7335"/>
    <cellStyle name="好 5 2 2" xfId="9091"/>
    <cellStyle name="好 6" xfId="3629"/>
    <cellStyle name="好 7" xfId="3630"/>
    <cellStyle name="好 8" xfId="3631"/>
    <cellStyle name="好 8 2" xfId="7336"/>
    <cellStyle name="好 8 2 2" xfId="9092"/>
    <cellStyle name="好 9" xfId="3632"/>
    <cellStyle name="好_Data" xfId="3633"/>
    <cellStyle name="好_Data 2" xfId="3634"/>
    <cellStyle name="好_Data 3" xfId="3635"/>
    <cellStyle name="好_Data 4" xfId="3636"/>
    <cellStyle name="好_Data 5" xfId="3637"/>
    <cellStyle name="好_Data 6" xfId="3638"/>
    <cellStyle name="好_Data 6 2" xfId="7337"/>
    <cellStyle name="好_Data 6 2 2" xfId="9093"/>
    <cellStyle name="好_Data 7" xfId="3639"/>
    <cellStyle name="好_Data 8" xfId="4755"/>
    <cellStyle name="好_Data 9" xfId="5511"/>
    <cellStyle name="好_Data 9 2" xfId="7568"/>
    <cellStyle name="好_Data 9 2 2" xfId="9329"/>
    <cellStyle name="好_Data_1" xfId="3640"/>
    <cellStyle name="好_Data_1 2" xfId="3641"/>
    <cellStyle name="好_Data_1 3" xfId="8999"/>
    <cellStyle name="好_Data_1 3 2" xfId="19467"/>
    <cellStyle name="好_Data_Data" xfId="3642"/>
    <cellStyle name="好_VERA" xfId="93"/>
    <cellStyle name="好_VERA 2" xfId="373"/>
    <cellStyle name="好_VERA 2 2" xfId="381"/>
    <cellStyle name="好_VERA 2 2 2" xfId="7744"/>
    <cellStyle name="好_VERA 2 2 3" xfId="7756"/>
    <cellStyle name="好_VERA 2 2 3 2" xfId="10121"/>
    <cellStyle name="好_VERA 2 3" xfId="7745"/>
    <cellStyle name="好_VERA 2 4" xfId="7743"/>
    <cellStyle name="好_VERA 2 5" xfId="7755"/>
    <cellStyle name="好_VERA 2 5 2" xfId="10120"/>
    <cellStyle name="好_VERA 3" xfId="7742"/>
    <cellStyle name="好_VERA 3 2" xfId="7758"/>
    <cellStyle name="好_VERA 3 2 2" xfId="10123"/>
    <cellStyle name="好_VERA 3 3" xfId="7757"/>
    <cellStyle name="好_VERA 3 3 2" xfId="10122"/>
    <cellStyle name="好_VERA 4" xfId="7759"/>
    <cellStyle name="好_VERA 4 2" xfId="10124"/>
    <cellStyle name="好_VERA 5" xfId="7735"/>
    <cellStyle name="好_VERA 5 2" xfId="10113"/>
    <cellStyle name="差" xfId="94"/>
    <cellStyle name="差 10" xfId="3646"/>
    <cellStyle name="差 11" xfId="5512"/>
    <cellStyle name="差 11 2" xfId="7569"/>
    <cellStyle name="差 11 2 2" xfId="9330"/>
    <cellStyle name="差 12" xfId="3645"/>
    <cellStyle name="差 13" xfId="10407"/>
    <cellStyle name="差 2" xfId="3647"/>
    <cellStyle name="差 2 2" xfId="3648"/>
    <cellStyle name="差 2 2 2" xfId="5057"/>
    <cellStyle name="差 2 3" xfId="3649"/>
    <cellStyle name="差 2 4" xfId="3650"/>
    <cellStyle name="差 2 5" xfId="5030"/>
    <cellStyle name="差 2 5 2" xfId="7469"/>
    <cellStyle name="差 2 5 2 2" xfId="9225"/>
    <cellStyle name="差 3" xfId="3651"/>
    <cellStyle name="差 3 2" xfId="3652"/>
    <cellStyle name="差 4" xfId="3653"/>
    <cellStyle name="差 4 2" xfId="7338"/>
    <cellStyle name="差 4 2 2" xfId="9094"/>
    <cellStyle name="差 5" xfId="3654"/>
    <cellStyle name="差 5 2" xfId="7339"/>
    <cellStyle name="差 5 2 2" xfId="9095"/>
    <cellStyle name="差 6" xfId="3655"/>
    <cellStyle name="差 7" xfId="3656"/>
    <cellStyle name="差 8" xfId="3657"/>
    <cellStyle name="差 8 2" xfId="7340"/>
    <cellStyle name="差 8 2 2" xfId="9096"/>
    <cellStyle name="差 9" xfId="3658"/>
    <cellStyle name="差_Data" xfId="3659"/>
    <cellStyle name="差_Data 2" xfId="3660"/>
    <cellStyle name="差_Data 3" xfId="9000"/>
    <cellStyle name="差_Data 3 2" xfId="19468"/>
    <cellStyle name="差_VERA" xfId="95"/>
    <cellStyle name="差_VERA 2" xfId="374"/>
    <cellStyle name="差_VERA 2 2" xfId="382"/>
    <cellStyle name="差_VERA 2 2 2" xfId="7733"/>
    <cellStyle name="差_VERA 2 2 3" xfId="7749"/>
    <cellStyle name="差_VERA 2 2 3 2" xfId="10117"/>
    <cellStyle name="差_VERA 2 3" xfId="7734"/>
    <cellStyle name="差_VERA 2 4" xfId="7732"/>
    <cellStyle name="差_VERA 2 5" xfId="7750"/>
    <cellStyle name="差_VERA 2 5 2" xfId="10118"/>
    <cellStyle name="差_VERA 3" xfId="7731"/>
    <cellStyle name="差_VERA 3 2" xfId="7747"/>
    <cellStyle name="差_VERA 3 2 2" xfId="10115"/>
    <cellStyle name="差_VERA 3 3" xfId="7748"/>
    <cellStyle name="差_VERA 3 3 2" xfId="10116"/>
    <cellStyle name="差_VERA 4" xfId="7746"/>
    <cellStyle name="差_VERA 4 2" xfId="10114"/>
    <cellStyle name="差_VERA 5" xfId="7751"/>
    <cellStyle name="差_VERA 5 2" xfId="10119"/>
    <cellStyle name="常规 2" xfId="3661"/>
    <cellStyle name="常规 2 2" xfId="5076"/>
    <cellStyle name="常规 3" xfId="7736"/>
    <cellStyle name="常规 3 2" xfId="7737"/>
    <cellStyle name="常规 3 3" xfId="7738"/>
    <cellStyle name="常规 4" xfId="7739"/>
    <cellStyle name="常规 4 2" xfId="7740"/>
    <cellStyle name="常规 4 2 2" xfId="7752"/>
    <cellStyle name="常规 4 2 3" xfId="7753"/>
    <cellStyle name="常规 4 3" xfId="7726"/>
    <cellStyle name="常规 4 4" xfId="7754"/>
    <cellStyle name="常规 5" xfId="7741"/>
    <cellStyle name="常规 5 2" xfId="7724"/>
    <cellStyle name="常规 5 3" xfId="7725"/>
    <cellStyle name="常规 6" xfId="7727"/>
    <cellStyle name="常规 6 2" xfId="7723"/>
    <cellStyle name="常规_CEC_EFFICIENCY_test data" xfId="96"/>
    <cellStyle name="强调文字颜色 1" xfId="97"/>
    <cellStyle name="强调文字颜色 1 10" xfId="3663"/>
    <cellStyle name="强调文字颜色 1 11" xfId="5513"/>
    <cellStyle name="强调文字颜色 1 11 2" xfId="7570"/>
    <cellStyle name="强调文字颜色 1 11 2 2" xfId="9331"/>
    <cellStyle name="强调文字颜色 1 12" xfId="3662"/>
    <cellStyle name="强调文字颜色 1 13" xfId="10408"/>
    <cellStyle name="强调文字颜色 1 2" xfId="3664"/>
    <cellStyle name="强调文字颜色 1 2 2" xfId="3665"/>
    <cellStyle name="强调文字颜色 1 2 2 2" xfId="5016"/>
    <cellStyle name="强调文字颜色 1 2 3" xfId="3666"/>
    <cellStyle name="强调文字颜色 1 2 4" xfId="3667"/>
    <cellStyle name="强调文字颜色 1 2 5" xfId="5086"/>
    <cellStyle name="强调文字颜色 1 2 5 2" xfId="7492"/>
    <cellStyle name="强调文字颜色 1 2 5 2 2" xfId="9248"/>
    <cellStyle name="强调文字颜色 1 3" xfId="3668"/>
    <cellStyle name="强调文字颜色 1 3 2" xfId="3669"/>
    <cellStyle name="强调文字颜色 1 4" xfId="3670"/>
    <cellStyle name="强调文字颜色 1 4 2" xfId="7341"/>
    <cellStyle name="强调文字颜色 1 4 2 2" xfId="9097"/>
    <cellStyle name="强调文字颜色 1 5" xfId="3671"/>
    <cellStyle name="强调文字颜色 1 5 2" xfId="7342"/>
    <cellStyle name="强调文字颜色 1 5 2 2" xfId="9098"/>
    <cellStyle name="强调文字颜色 1 6" xfId="3672"/>
    <cellStyle name="强调文字颜色 1 7" xfId="3673"/>
    <cellStyle name="强调文字颜色 1 8" xfId="3674"/>
    <cellStyle name="强调文字颜色 1 8 2" xfId="7343"/>
    <cellStyle name="强调文字颜色 1 8 2 2" xfId="9099"/>
    <cellStyle name="强调文字颜色 1 9" xfId="3675"/>
    <cellStyle name="强调文字颜色 2" xfId="98"/>
    <cellStyle name="强调文字颜色 2 10" xfId="3677"/>
    <cellStyle name="强调文字颜色 2 11" xfId="5514"/>
    <cellStyle name="强调文字颜色 2 11 2" xfId="7571"/>
    <cellStyle name="强调文字颜色 2 11 2 2" xfId="9332"/>
    <cellStyle name="强调文字颜色 2 12" xfId="3676"/>
    <cellStyle name="强调文字颜色 2 13" xfId="10409"/>
    <cellStyle name="强调文字颜色 2 2" xfId="3678"/>
    <cellStyle name="强调文字颜色 2 2 2" xfId="3679"/>
    <cellStyle name="强调文字颜色 2 2 2 2" xfId="5058"/>
    <cellStyle name="强调文字颜色 2 2 3" xfId="3680"/>
    <cellStyle name="强调文字颜色 2 2 4" xfId="3681"/>
    <cellStyle name="强调文字颜色 2 2 5" xfId="5087"/>
    <cellStyle name="强调文字颜色 2 2 5 2" xfId="7493"/>
    <cellStyle name="强调文字颜色 2 2 5 2 2" xfId="9249"/>
    <cellStyle name="强调文字颜色 2 3" xfId="3682"/>
    <cellStyle name="强调文字颜色 2 3 2" xfId="3683"/>
    <cellStyle name="强调文字颜色 2 4" xfId="3684"/>
    <cellStyle name="强调文字颜色 2 4 2" xfId="7344"/>
    <cellStyle name="强调文字颜色 2 4 2 2" xfId="9100"/>
    <cellStyle name="强调文字颜色 2 5" xfId="3685"/>
    <cellStyle name="强调文字颜色 2 5 2" xfId="7345"/>
    <cellStyle name="强调文字颜色 2 5 2 2" xfId="9101"/>
    <cellStyle name="强调文字颜色 2 6" xfId="3686"/>
    <cellStyle name="强调文字颜色 2 7" xfId="3687"/>
    <cellStyle name="强调文字颜色 2 8" xfId="3688"/>
    <cellStyle name="强调文字颜色 2 8 2" xfId="7346"/>
    <cellStyle name="强调文字颜色 2 8 2 2" xfId="9102"/>
    <cellStyle name="强调文字颜色 2 9" xfId="3689"/>
    <cellStyle name="强调文字颜色 3" xfId="99"/>
    <cellStyle name="强调文字颜色 3 10" xfId="3691"/>
    <cellStyle name="强调文字颜色 3 11" xfId="5515"/>
    <cellStyle name="强调文字颜色 3 11 2" xfId="7572"/>
    <cellStyle name="强调文字颜色 3 11 2 2" xfId="9333"/>
    <cellStyle name="强调文字颜色 3 12" xfId="3690"/>
    <cellStyle name="强调文字颜色 3 13" xfId="10410"/>
    <cellStyle name="强调文字颜色 3 2" xfId="3692"/>
    <cellStyle name="强调文字颜色 3 2 2" xfId="3693"/>
    <cellStyle name="强调文字颜色 3 2 2 2" xfId="5059"/>
    <cellStyle name="强调文字颜色 3 2 3" xfId="3694"/>
    <cellStyle name="强调文字颜色 3 2 4" xfId="3695"/>
    <cellStyle name="强调文字颜色 3 2 5" xfId="5036"/>
    <cellStyle name="强调文字颜色 3 2 5 2" xfId="7475"/>
    <cellStyle name="强调文字颜色 3 2 5 2 2" xfId="9231"/>
    <cellStyle name="强调文字颜色 3 3" xfId="3696"/>
    <cellStyle name="强调文字颜色 3 3 2" xfId="3697"/>
    <cellStyle name="强调文字颜色 3 4" xfId="3698"/>
    <cellStyle name="强调文字颜色 3 4 2" xfId="7347"/>
    <cellStyle name="强调文字颜色 3 4 2 2" xfId="9103"/>
    <cellStyle name="强调文字颜色 3 5" xfId="3699"/>
    <cellStyle name="强调文字颜色 3 5 2" xfId="7348"/>
    <cellStyle name="强调文字颜色 3 5 2 2" xfId="9104"/>
    <cellStyle name="强调文字颜色 3 6" xfId="3700"/>
    <cellStyle name="强调文字颜色 3 7" xfId="3701"/>
    <cellStyle name="强调文字颜色 3 8" xfId="3702"/>
    <cellStyle name="强调文字颜色 3 8 2" xfId="7349"/>
    <cellStyle name="强调文字颜色 3 8 2 2" xfId="9105"/>
    <cellStyle name="强调文字颜色 3 9" xfId="3703"/>
    <cellStyle name="强调文字颜色 4" xfId="100"/>
    <cellStyle name="强调文字颜色 4 10" xfId="3705"/>
    <cellStyle name="强调文字颜色 4 11" xfId="5516"/>
    <cellStyle name="强调文字颜色 4 11 2" xfId="7573"/>
    <cellStyle name="强调文字颜色 4 11 2 2" xfId="9334"/>
    <cellStyle name="强调文字颜色 4 12" xfId="3704"/>
    <cellStyle name="强调文字颜色 4 13" xfId="10411"/>
    <cellStyle name="强调文字颜色 4 2" xfId="3706"/>
    <cellStyle name="强调文字颜色 4 2 2" xfId="3707"/>
    <cellStyle name="强调文字颜色 4 2 2 2" xfId="5060"/>
    <cellStyle name="强调文字颜色 4 2 3" xfId="3708"/>
    <cellStyle name="强调文字颜色 4 2 4" xfId="3709"/>
    <cellStyle name="强调文字颜色 4 2 5" xfId="5037"/>
    <cellStyle name="强调文字颜色 4 2 5 2" xfId="7476"/>
    <cellStyle name="强调文字颜色 4 2 5 2 2" xfId="9232"/>
    <cellStyle name="强调文字颜色 4 3" xfId="3710"/>
    <cellStyle name="强调文字颜色 4 3 2" xfId="3711"/>
    <cellStyle name="强调文字颜色 4 4" xfId="3712"/>
    <cellStyle name="强调文字颜色 4 4 2" xfId="7350"/>
    <cellStyle name="强调文字颜色 4 4 2 2" xfId="9106"/>
    <cellStyle name="强调文字颜色 4 5" xfId="3713"/>
    <cellStyle name="强调文字颜色 4 5 2" xfId="7351"/>
    <cellStyle name="强调文字颜色 4 5 2 2" xfId="9107"/>
    <cellStyle name="强调文字颜色 4 6" xfId="3714"/>
    <cellStyle name="强调文字颜色 4 7" xfId="3715"/>
    <cellStyle name="强调文字颜色 4 8" xfId="3716"/>
    <cellStyle name="强调文字颜色 4 8 2" xfId="7352"/>
    <cellStyle name="强调文字颜色 4 8 2 2" xfId="9108"/>
    <cellStyle name="强调文字颜色 4 9" xfId="3717"/>
    <cellStyle name="强调文字颜色 5" xfId="101"/>
    <cellStyle name="强调文字颜色 5 10" xfId="3719"/>
    <cellStyle name="强调文字颜色 5 11" xfId="5517"/>
    <cellStyle name="强调文字颜色 5 11 2" xfId="7574"/>
    <cellStyle name="强调文字颜色 5 11 2 2" xfId="9335"/>
    <cellStyle name="强调文字颜色 5 12" xfId="3718"/>
    <cellStyle name="强调文字颜色 5 13" xfId="10412"/>
    <cellStyle name="强调文字颜色 5 2" xfId="3720"/>
    <cellStyle name="强调文字颜色 5 2 2" xfId="3721"/>
    <cellStyle name="强调文字颜色 5 2 2 2" xfId="5061"/>
    <cellStyle name="强调文字颜色 5 2 3" xfId="3722"/>
    <cellStyle name="强调文字颜色 5 2 4" xfId="3723"/>
    <cellStyle name="强调文字颜色 5 2 5" xfId="5038"/>
    <cellStyle name="强调文字颜色 5 2 5 2" xfId="7477"/>
    <cellStyle name="强调文字颜色 5 2 5 2 2" xfId="9233"/>
    <cellStyle name="强调文字颜色 5 3" xfId="3724"/>
    <cellStyle name="强调文字颜色 5 3 2" xfId="3725"/>
    <cellStyle name="强调文字颜色 5 4" xfId="3726"/>
    <cellStyle name="强调文字颜色 5 4 2" xfId="7353"/>
    <cellStyle name="强调文字颜色 5 4 2 2" xfId="9109"/>
    <cellStyle name="强调文字颜色 5 5" xfId="3727"/>
    <cellStyle name="强调文字颜色 5 5 2" xfId="7354"/>
    <cellStyle name="强调文字颜色 5 5 2 2" xfId="9110"/>
    <cellStyle name="强调文字颜色 5 6" xfId="3728"/>
    <cellStyle name="强调文字颜色 5 7" xfId="3729"/>
    <cellStyle name="强调文字颜色 5 8" xfId="3730"/>
    <cellStyle name="强调文字颜色 5 8 2" xfId="7355"/>
    <cellStyle name="强调文字颜色 5 8 2 2" xfId="9111"/>
    <cellStyle name="强调文字颜色 5 9" xfId="3731"/>
    <cellStyle name="强调文字颜色 6" xfId="102"/>
    <cellStyle name="强调文字颜色 6 10" xfId="3733"/>
    <cellStyle name="强调文字颜色 6 11" xfId="5518"/>
    <cellStyle name="强调文字颜色 6 11 2" xfId="7575"/>
    <cellStyle name="强调文字颜色 6 11 2 2" xfId="9336"/>
    <cellStyle name="强调文字颜色 6 12" xfId="3732"/>
    <cellStyle name="强调文字颜色 6 13" xfId="10413"/>
    <cellStyle name="强调文字颜色 6 2" xfId="3734"/>
    <cellStyle name="强调文字颜色 6 2 2" xfId="3735"/>
    <cellStyle name="强调文字颜色 6 2 2 2" xfId="5062"/>
    <cellStyle name="强调文字颜色 6 2 3" xfId="3736"/>
    <cellStyle name="强调文字颜色 6 2 4" xfId="3737"/>
    <cellStyle name="强调文字颜色 6 2 5" xfId="5088"/>
    <cellStyle name="强调文字颜色 6 2 5 2" xfId="7494"/>
    <cellStyle name="强调文字颜色 6 2 5 2 2" xfId="9250"/>
    <cellStyle name="强调文字颜色 6 3" xfId="3738"/>
    <cellStyle name="强调文字颜色 6 3 2" xfId="3739"/>
    <cellStyle name="强调文字颜色 6 4" xfId="3740"/>
    <cellStyle name="强调文字颜色 6 4 2" xfId="7356"/>
    <cellStyle name="强调文字颜色 6 4 2 2" xfId="9112"/>
    <cellStyle name="强调文字颜色 6 5" xfId="3741"/>
    <cellStyle name="强调文字颜色 6 5 2" xfId="7357"/>
    <cellStyle name="强调文字颜色 6 5 2 2" xfId="9113"/>
    <cellStyle name="强调文字颜色 6 6" xfId="3742"/>
    <cellStyle name="强调文字颜色 6 7" xfId="3743"/>
    <cellStyle name="强调文字颜色 6 8" xfId="3744"/>
    <cellStyle name="强调文字颜色 6 8 2" xfId="7358"/>
    <cellStyle name="强调文字颜色 6 8 2 2" xfId="9114"/>
    <cellStyle name="强调文字颜色 6 9" xfId="3745"/>
    <cellStyle name="标题" xfId="103"/>
    <cellStyle name="标题 1" xfId="104"/>
    <cellStyle name="标题 1 10" xfId="5520"/>
    <cellStyle name="标题 1 10 2" xfId="7577"/>
    <cellStyle name="标题 1 10 2 2" xfId="9338"/>
    <cellStyle name="标题 1 11" xfId="3747"/>
    <cellStyle name="标题 1 12" xfId="10414"/>
    <cellStyle name="标题 1 2" xfId="3748"/>
    <cellStyle name="标题 1 2 2" xfId="3749"/>
    <cellStyle name="标题 1 2 2 2" xfId="5091"/>
    <cellStyle name="标题 1 2 3" xfId="3750"/>
    <cellStyle name="标题 1 2 4" xfId="3751"/>
    <cellStyle name="标题 1 2 5" xfId="5083"/>
    <cellStyle name="标题 1 2 5 2" xfId="7489"/>
    <cellStyle name="标题 1 2 5 2 2" xfId="9245"/>
    <cellStyle name="标题 1 3" xfId="3752"/>
    <cellStyle name="标题 1 3 2" xfId="3753"/>
    <cellStyle name="标题 1 4" xfId="3754"/>
    <cellStyle name="标题 1 4 2" xfId="7359"/>
    <cellStyle name="标题 1 4 2 2" xfId="9115"/>
    <cellStyle name="标题 1 5" xfId="3755"/>
    <cellStyle name="标题 1 6" xfId="3756"/>
    <cellStyle name="标题 1 7" xfId="3757"/>
    <cellStyle name="标题 1 7 2" xfId="7360"/>
    <cellStyle name="标题 1 7 2 2" xfId="9116"/>
    <cellStyle name="标题 1 8" xfId="3758"/>
    <cellStyle name="标题 1 9" xfId="3759"/>
    <cellStyle name="标题 10" xfId="3760"/>
    <cellStyle name="标题 10 2" xfId="7361"/>
    <cellStyle name="标题 10 2 2" xfId="9117"/>
    <cellStyle name="标题 11" xfId="3761"/>
    <cellStyle name="标题 12" xfId="3762"/>
    <cellStyle name="标题 13" xfId="5519"/>
    <cellStyle name="标题 13 2" xfId="7576"/>
    <cellStyle name="标题 13 2 2" xfId="9337"/>
    <cellStyle name="标题 14" xfId="3746"/>
    <cellStyle name="标题 2" xfId="105"/>
    <cellStyle name="标题 2 10" xfId="5521"/>
    <cellStyle name="标题 2 10 2" xfId="7578"/>
    <cellStyle name="标题 2 10 2 2" xfId="9339"/>
    <cellStyle name="标题 2 11" xfId="3763"/>
    <cellStyle name="标题 2 12" xfId="10415"/>
    <cellStyle name="标题 2 2" xfId="3764"/>
    <cellStyle name="标题 2 2 2" xfId="3765"/>
    <cellStyle name="标题 2 2 2 2" xfId="5017"/>
    <cellStyle name="标题 2 2 3" xfId="3766"/>
    <cellStyle name="标题 2 2 4" xfId="3767"/>
    <cellStyle name="标题 2 2 5" xfId="5071"/>
    <cellStyle name="标题 2 2 5 2" xfId="7480"/>
    <cellStyle name="标题 2 2 5 2 2" xfId="9236"/>
    <cellStyle name="标题 2 3" xfId="3768"/>
    <cellStyle name="标题 2 3 2" xfId="3769"/>
    <cellStyle name="标题 2 4" xfId="3770"/>
    <cellStyle name="标题 2 4 2" xfId="7362"/>
    <cellStyle name="标题 2 4 2 2" xfId="9118"/>
    <cellStyle name="标题 2 5" xfId="3771"/>
    <cellStyle name="标题 2 6" xfId="3772"/>
    <cellStyle name="标题 2 7" xfId="3773"/>
    <cellStyle name="标题 2 7 2" xfId="7363"/>
    <cellStyle name="标题 2 7 2 2" xfId="9119"/>
    <cellStyle name="标题 2 8" xfId="3774"/>
    <cellStyle name="标题 2 9" xfId="3775"/>
    <cellStyle name="标题 3" xfId="106"/>
    <cellStyle name="标题 3 10" xfId="5522"/>
    <cellStyle name="标题 3 10 2" xfId="7579"/>
    <cellStyle name="标题 3 10 2 2" xfId="9340"/>
    <cellStyle name="标题 3 11" xfId="3776"/>
    <cellStyle name="标题 3 12" xfId="10416"/>
    <cellStyle name="标题 3 2" xfId="3777"/>
    <cellStyle name="标题 3 2 2" xfId="3778"/>
    <cellStyle name="标题 3 2 2 2" xfId="5063"/>
    <cellStyle name="标题 3 2 3" xfId="3779"/>
    <cellStyle name="标题 3 2 4" xfId="3780"/>
    <cellStyle name="标题 3 2 5" xfId="5084"/>
    <cellStyle name="标题 3 2 5 2" xfId="7490"/>
    <cellStyle name="标题 3 2 5 2 2" xfId="9246"/>
    <cellStyle name="标题 3 3" xfId="3781"/>
    <cellStyle name="标题 3 3 2" xfId="3782"/>
    <cellStyle name="标题 3 4" xfId="3783"/>
    <cellStyle name="标题 3 4 2" xfId="7364"/>
    <cellStyle name="标题 3 4 2 2" xfId="9120"/>
    <cellStyle name="标题 3 5" xfId="3784"/>
    <cellStyle name="标题 3 6" xfId="3785"/>
    <cellStyle name="标题 3 7" xfId="3786"/>
    <cellStyle name="标题 3 7 2" xfId="7365"/>
    <cellStyle name="标题 3 7 2 2" xfId="9121"/>
    <cellStyle name="标题 3 8" xfId="3787"/>
    <cellStyle name="标题 3 9" xfId="3788"/>
    <cellStyle name="标题 4" xfId="107"/>
    <cellStyle name="标题 4 10" xfId="5523"/>
    <cellStyle name="标题 4 10 2" xfId="7580"/>
    <cellStyle name="标题 4 10 2 2" xfId="9341"/>
    <cellStyle name="标题 4 11" xfId="3789"/>
    <cellStyle name="标题 4 12" xfId="10417"/>
    <cellStyle name="标题 4 2" xfId="3790"/>
    <cellStyle name="标题 4 2 2" xfId="3791"/>
    <cellStyle name="标题 4 2 2 2" xfId="5064"/>
    <cellStyle name="标题 4 2 3" xfId="3792"/>
    <cellStyle name="标题 4 2 4" xfId="3793"/>
    <cellStyle name="标题 4 2 5" xfId="5029"/>
    <cellStyle name="标题 4 2 5 2" xfId="7468"/>
    <cellStyle name="标题 4 2 5 2 2" xfId="9224"/>
    <cellStyle name="标题 4 3" xfId="3794"/>
    <cellStyle name="标题 4 3 2" xfId="3795"/>
    <cellStyle name="标题 4 4" xfId="3796"/>
    <cellStyle name="标题 4 4 2" xfId="7366"/>
    <cellStyle name="标题 4 4 2 2" xfId="9122"/>
    <cellStyle name="标题 4 5" xfId="3797"/>
    <cellStyle name="标题 4 6" xfId="3798"/>
    <cellStyle name="标题 4 7" xfId="3799"/>
    <cellStyle name="标题 4 7 2" xfId="7367"/>
    <cellStyle name="标题 4 7 2 2" xfId="9123"/>
    <cellStyle name="标题 4 8" xfId="3800"/>
    <cellStyle name="标题 4 9" xfId="3801"/>
    <cellStyle name="标题 5" xfId="3802"/>
    <cellStyle name="标题 5 2" xfId="3803"/>
    <cellStyle name="标题 5 2 2" xfId="5090"/>
    <cellStyle name="标题 5 3" xfId="3804"/>
    <cellStyle name="标题 5 4" xfId="3805"/>
    <cellStyle name="标题 5 5" xfId="5028"/>
    <cellStyle name="标题 5 5 2" xfId="7467"/>
    <cellStyle name="标题 5 5 2 2" xfId="9223"/>
    <cellStyle name="标题 6" xfId="3806"/>
    <cellStyle name="标题 6 2" xfId="3807"/>
    <cellStyle name="标题 7" xfId="3808"/>
    <cellStyle name="标题 7 2" xfId="7368"/>
    <cellStyle name="标题 7 2 2" xfId="9124"/>
    <cellStyle name="标题 8" xfId="3809"/>
    <cellStyle name="标题 9" xfId="3810"/>
    <cellStyle name="标题_Data" xfId="3811"/>
    <cellStyle name="检查单元格" xfId="108"/>
    <cellStyle name="检查单元格 10" xfId="3813"/>
    <cellStyle name="检查单元格 11" xfId="5524"/>
    <cellStyle name="检查单元格 11 2" xfId="7581"/>
    <cellStyle name="检查单元格 11 2 2" xfId="9342"/>
    <cellStyle name="检查单元格 12" xfId="3812"/>
    <cellStyle name="检查单元格 13" xfId="10418"/>
    <cellStyle name="检查单元格 2" xfId="3814"/>
    <cellStyle name="检查单元格 2 2" xfId="3815"/>
    <cellStyle name="检查单元格 2 2 2" xfId="5092"/>
    <cellStyle name="检查单元格 2 3" xfId="3816"/>
    <cellStyle name="检查单元格 2 4" xfId="3817"/>
    <cellStyle name="检查单元格 2 5" xfId="5034"/>
    <cellStyle name="检查单元格 2 5 2" xfId="7473"/>
    <cellStyle name="检查单元格 2 5 2 2" xfId="9229"/>
    <cellStyle name="检查单元格 3" xfId="3818"/>
    <cellStyle name="检查单元格 3 2" xfId="3819"/>
    <cellStyle name="检查单元格 4" xfId="3820"/>
    <cellStyle name="检查单元格 4 2" xfId="7369"/>
    <cellStyle name="检查单元格 4 2 2" xfId="9125"/>
    <cellStyle name="检查单元格 5" xfId="3821"/>
    <cellStyle name="检查单元格 5 2" xfId="7370"/>
    <cellStyle name="检查单元格 5 2 2" xfId="9126"/>
    <cellStyle name="检查单元格 6" xfId="3822"/>
    <cellStyle name="检查单元格 7" xfId="3823"/>
    <cellStyle name="检查单元格 8" xfId="3824"/>
    <cellStyle name="检查单元格 8 2" xfId="7371"/>
    <cellStyle name="检查单元格 8 2 2" xfId="9127"/>
    <cellStyle name="检查单元格 9" xfId="3825"/>
    <cellStyle name="標題" xfId="3826"/>
    <cellStyle name="標題 1" xfId="3827"/>
    <cellStyle name="標題 1 2" xfId="3828"/>
    <cellStyle name="標題 1 3" xfId="3829"/>
    <cellStyle name="標題 1 4" xfId="3830"/>
    <cellStyle name="標題 1 4 2" xfId="7372"/>
    <cellStyle name="標題 1 4 2 2" xfId="9128"/>
    <cellStyle name="標題 1 5" xfId="3831"/>
    <cellStyle name="標題 1 6" xfId="4690"/>
    <cellStyle name="標題 1 7" xfId="5526"/>
    <cellStyle name="標題 1 7 2" xfId="7583"/>
    <cellStyle name="標題 1 7 2 2" xfId="9344"/>
    <cellStyle name="標題 10" xfId="5525"/>
    <cellStyle name="標題 10 2" xfId="7582"/>
    <cellStyle name="標題 10 2 2" xfId="9343"/>
    <cellStyle name="標題 2" xfId="3832"/>
    <cellStyle name="標題 2 2" xfId="3833"/>
    <cellStyle name="標題 2 3" xfId="3834"/>
    <cellStyle name="標題 2 4" xfId="3835"/>
    <cellStyle name="標題 2 4 2" xfId="7373"/>
    <cellStyle name="標題 2 4 2 2" xfId="9129"/>
    <cellStyle name="標題 2 5" xfId="3836"/>
    <cellStyle name="標題 2 6" xfId="4686"/>
    <cellStyle name="標題 2 7" xfId="5527"/>
    <cellStyle name="標題 2 7 2" xfId="7584"/>
    <cellStyle name="標題 2 7 2 2" xfId="9345"/>
    <cellStyle name="標題 3" xfId="3837"/>
    <cellStyle name="標題 3 2" xfId="3838"/>
    <cellStyle name="標題 3 3" xfId="3839"/>
    <cellStyle name="標題 3 4" xfId="3840"/>
    <cellStyle name="標題 3 4 2" xfId="7374"/>
    <cellStyle name="標題 3 4 2 2" xfId="9130"/>
    <cellStyle name="標題 3 5" xfId="3841"/>
    <cellStyle name="標題 3 6" xfId="4684"/>
    <cellStyle name="標題 3 7" xfId="5528"/>
    <cellStyle name="標題 3 7 2" xfId="7585"/>
    <cellStyle name="標題 3 7 2 2" xfId="9346"/>
    <cellStyle name="標題 4" xfId="3842"/>
    <cellStyle name="標題 4 2" xfId="3843"/>
    <cellStyle name="標題 4 3" xfId="3844"/>
    <cellStyle name="標題 4 4" xfId="3845"/>
    <cellStyle name="標題 4 4 2" xfId="7375"/>
    <cellStyle name="標題 4 4 2 2" xfId="9131"/>
    <cellStyle name="標題 4 5" xfId="3846"/>
    <cellStyle name="標題 4 6" xfId="4682"/>
    <cellStyle name="標題 4 7" xfId="5529"/>
    <cellStyle name="標題 4 7 2" xfId="7586"/>
    <cellStyle name="標題 4 7 2 2" xfId="9347"/>
    <cellStyle name="標題 5" xfId="3847"/>
    <cellStyle name="標題 6" xfId="3848"/>
    <cellStyle name="標題 7" xfId="3849"/>
    <cellStyle name="標題 7 2" xfId="7376"/>
    <cellStyle name="標題 7 2 2" xfId="9132"/>
    <cellStyle name="標題 8" xfId="3850"/>
    <cellStyle name="標題 9" xfId="4742"/>
    <cellStyle name="標題_Data" xfId="3851"/>
    <cellStyle name="檢查儲存格" xfId="3852"/>
    <cellStyle name="檢查儲存格 2" xfId="3853"/>
    <cellStyle name="檢查儲存格 3" xfId="3854"/>
    <cellStyle name="檢查儲存格 4" xfId="3855"/>
    <cellStyle name="檢查儲存格 5" xfId="3856"/>
    <cellStyle name="檢查儲存格 6" xfId="3857"/>
    <cellStyle name="檢查儲存格 6 2" xfId="7377"/>
    <cellStyle name="檢查儲存格 6 2 2" xfId="9133"/>
    <cellStyle name="檢查儲存格 7" xfId="3858"/>
    <cellStyle name="檢查儲存格 8" xfId="4715"/>
    <cellStyle name="檢查儲存格 9" xfId="5530"/>
    <cellStyle name="檢查儲存格 9 2" xfId="7587"/>
    <cellStyle name="檢查儲存格 9 2 2" xfId="9348"/>
    <cellStyle name="汇总" xfId="109"/>
    <cellStyle name="汇总 10" xfId="5211"/>
    <cellStyle name="汇总 10 2" xfId="6187"/>
    <cellStyle name="汇总 10 2 2" xfId="7661"/>
    <cellStyle name="汇总 10 2 2 2" xfId="6950"/>
    <cellStyle name="汇总 10 2 2 2 2" xfId="9799"/>
    <cellStyle name="汇总 10 2 2 2 2 2" xfId="12634"/>
    <cellStyle name="汇总 10 2 2 2 2 2 2" xfId="19308"/>
    <cellStyle name="汇总 10 2 2 2 3" xfId="9432"/>
    <cellStyle name="汇总 10 2 2 2 3 2" xfId="14337"/>
    <cellStyle name="汇总 10 2 2 2 3 2 2" xfId="17742"/>
    <cellStyle name="汇总 10 2 2 2 4" xfId="12138"/>
    <cellStyle name="汇总 10 2 2 2 4 2" xfId="17036"/>
    <cellStyle name="汇总 10 2 2 3" xfId="8984"/>
    <cellStyle name="汇总 10 2 2 3 2" xfId="14223"/>
    <cellStyle name="汇总 10 2 2 3 2 2" xfId="16213"/>
    <cellStyle name="汇总 10 2 2 4" xfId="11986"/>
    <cellStyle name="汇总 10 2 2 4 2" xfId="17750"/>
    <cellStyle name="汇总 10 2 3" xfId="6831"/>
    <cellStyle name="汇总 10 2 3 2" xfId="9715"/>
    <cellStyle name="汇总 10 2 3 2 2" xfId="14607"/>
    <cellStyle name="汇总 10 2 3 2 2 2" xfId="15983"/>
    <cellStyle name="汇总 10 2 3 3" xfId="12515"/>
    <cellStyle name="汇总 10 2 3 3 2" xfId="15399"/>
    <cellStyle name="汇总 10 2 4" xfId="8656"/>
    <cellStyle name="汇总 10 2 4 2" xfId="13921"/>
    <cellStyle name="汇总 10 2 4 2 2" xfId="15389"/>
    <cellStyle name="汇总 10 2 5" xfId="11650"/>
    <cellStyle name="汇总 10 2 5 2" xfId="18575"/>
    <cellStyle name="汇总 10 3" xfId="7517"/>
    <cellStyle name="汇总 10 3 2" xfId="7061"/>
    <cellStyle name="汇总 10 3 2 2" xfId="9877"/>
    <cellStyle name="汇总 10 3 2 2 2" xfId="12745"/>
    <cellStyle name="汇总 10 3 2 2 2 2" xfId="19760"/>
    <cellStyle name="汇总 10 3 2 3" xfId="9278"/>
    <cellStyle name="汇总 10 3 2 3 2" xfId="14275"/>
    <cellStyle name="汇总 10 3 2 3 2 2" xfId="15493"/>
    <cellStyle name="汇总 10 3 2 4" xfId="12056"/>
    <cellStyle name="汇总 10 3 2 4 2" xfId="17092"/>
    <cellStyle name="汇总 10 3 3" xfId="8915"/>
    <cellStyle name="汇总 10 3 3 2" xfId="14154"/>
    <cellStyle name="汇总 10 3 3 2 2" xfId="16248"/>
    <cellStyle name="汇总 10 3 4" xfId="11914"/>
    <cellStyle name="汇总 10 3 4 2" xfId="17186"/>
    <cellStyle name="汇总 10 4" xfId="7021"/>
    <cellStyle name="汇总 10 4 2" xfId="9848"/>
    <cellStyle name="汇总 10 4 2 2" xfId="14724"/>
    <cellStyle name="汇总 10 4 2 2 2" xfId="15906"/>
    <cellStyle name="汇总 10 4 3" xfId="12705"/>
    <cellStyle name="汇总 10 4 3 2" xfId="19173"/>
    <cellStyle name="汇总 10 5" xfId="8184"/>
    <cellStyle name="汇总 10 5 2" xfId="13449"/>
    <cellStyle name="汇总 10 5 2 2" xfId="16656"/>
    <cellStyle name="汇总 10 6" xfId="11069"/>
    <cellStyle name="汇总 10 6 2" xfId="17459"/>
    <cellStyle name="汇总 11" xfId="5531"/>
    <cellStyle name="汇总 11 2" xfId="7588"/>
    <cellStyle name="汇总 11 2 2" xfId="7698"/>
    <cellStyle name="汇总 11 2 2 2" xfId="10090"/>
    <cellStyle name="汇总 11 2 2 2 2" xfId="12975"/>
    <cellStyle name="汇总 11 2 2 2 2 2" xfId="19785"/>
    <cellStyle name="汇总 11 2 2 3" xfId="9349"/>
    <cellStyle name="汇总 11 2 2 3 2" xfId="14286"/>
    <cellStyle name="汇总 11 2 2 3 2 2" xfId="16176"/>
    <cellStyle name="汇总 11 2 2 4" xfId="12068"/>
    <cellStyle name="汇总 11 2 2 4 2" xfId="18202"/>
    <cellStyle name="汇总 11 2 3" xfId="8925"/>
    <cellStyle name="汇总 11 2 3 2" xfId="14164"/>
    <cellStyle name="汇总 11 2 3 2 2" xfId="19144"/>
    <cellStyle name="汇总 11 2 4" xfId="11926"/>
    <cellStyle name="汇总 11 2 4 2" xfId="17935"/>
    <cellStyle name="汇总 11 3" xfId="6754"/>
    <cellStyle name="汇总 11 3 2" xfId="9671"/>
    <cellStyle name="汇总 11 3 2 2" xfId="14568"/>
    <cellStyle name="汇总 11 3 2 2 2" xfId="16012"/>
    <cellStyle name="汇总 11 3 3" xfId="12438"/>
    <cellStyle name="汇总 11 3 3 2" xfId="19394"/>
    <cellStyle name="汇总 11 4" xfId="8316"/>
    <cellStyle name="汇总 11 4 2" xfId="13581"/>
    <cellStyle name="汇总 11 4 2 2" xfId="15413"/>
    <cellStyle name="汇总 11 5" xfId="11242"/>
    <cellStyle name="汇总 11 5 2" xfId="17319"/>
    <cellStyle name="汇总 12" xfId="5873"/>
    <cellStyle name="汇总 12 2" xfId="7620"/>
    <cellStyle name="汇总 12 2 2" xfId="6811"/>
    <cellStyle name="汇总 12 2 2 2" xfId="9706"/>
    <cellStyle name="汇总 12 2 2 2 2" xfId="12495"/>
    <cellStyle name="汇总 12 2 2 2 2 2" xfId="18401"/>
    <cellStyle name="汇总 12 2 2 3" xfId="9382"/>
    <cellStyle name="汇总 12 2 2 3 2" xfId="14301"/>
    <cellStyle name="汇总 12 2 2 3 2 2" xfId="16174"/>
    <cellStyle name="汇总 12 2 2 4" xfId="12088"/>
    <cellStyle name="汇总 12 2 2 4 2" xfId="17076"/>
    <cellStyle name="汇总 12 2 3" xfId="8944"/>
    <cellStyle name="汇总 12 2 3 2" xfId="14183"/>
    <cellStyle name="汇总 12 2 3 2 2" xfId="16234"/>
    <cellStyle name="汇总 12 2 4" xfId="11945"/>
    <cellStyle name="汇总 12 2 4 2" xfId="17748"/>
    <cellStyle name="汇总 12 3" xfId="6582"/>
    <cellStyle name="汇总 12 3 2" xfId="9538"/>
    <cellStyle name="汇总 12 3 2 2" xfId="14439"/>
    <cellStyle name="汇总 12 3 2 2 2" xfId="16092"/>
    <cellStyle name="汇总 12 3 3" xfId="12267"/>
    <cellStyle name="汇总 12 3 3 2" xfId="17757"/>
    <cellStyle name="汇总 12 4" xfId="8391"/>
    <cellStyle name="汇总 12 4 2" xfId="13656"/>
    <cellStyle name="汇总 12 4 2 2" xfId="15519"/>
    <cellStyle name="汇总 12 5" xfId="11336"/>
    <cellStyle name="汇总 12 5 2" xfId="19818"/>
    <cellStyle name="汇总 13" xfId="3859"/>
    <cellStyle name="汇总 13 2" xfId="6702"/>
    <cellStyle name="汇总 13 2 2" xfId="9638"/>
    <cellStyle name="汇总 13 2 2 2" xfId="14535"/>
    <cellStyle name="汇总 13 2 2 2 2" xfId="16037"/>
    <cellStyle name="汇总 13 2 3" xfId="12386"/>
    <cellStyle name="汇总 13 2 3 2" xfId="17901"/>
    <cellStyle name="汇总 13 3" xfId="7955"/>
    <cellStyle name="汇总 13 3 2" xfId="13224"/>
    <cellStyle name="汇总 13 3 2 2" xfId="16798"/>
    <cellStyle name="汇总 13 4" xfId="10818"/>
    <cellStyle name="汇总 13 4 2" xfId="17652"/>
    <cellStyle name="汇总 14" xfId="7814"/>
    <cellStyle name="汇总 14 2" xfId="13053"/>
    <cellStyle name="汇总 14 2 2" xfId="18266"/>
    <cellStyle name="汇总 15" xfId="10631"/>
    <cellStyle name="汇总 15 2" xfId="19550"/>
    <cellStyle name="汇总 2" xfId="383"/>
    <cellStyle name="汇总 2 10" xfId="10636"/>
    <cellStyle name="汇总 2 10 2" xfId="17740"/>
    <cellStyle name="汇总 2 2" xfId="393"/>
    <cellStyle name="汇总 2 2 2" xfId="415"/>
    <cellStyle name="汇总 2 2 2 2" xfId="5402"/>
    <cellStyle name="汇总 2 2 2 2 2" xfId="6541"/>
    <cellStyle name="汇总 2 2 2 2 2 2" xfId="9504"/>
    <cellStyle name="汇总 2 2 2 2 2 2 2" xfId="14405"/>
    <cellStyle name="汇总 2 2 2 2 2 2 2 2" xfId="18146"/>
    <cellStyle name="汇总 2 2 2 2 2 3" xfId="12226"/>
    <cellStyle name="汇总 2 2 2 2 2 3 2" xfId="15362"/>
    <cellStyle name="汇总 2 2 2 2 3" xfId="8309"/>
    <cellStyle name="汇总 2 2 2 2 3 2" xfId="13574"/>
    <cellStyle name="汇总 2 2 2 2 3 2 2" xfId="16595"/>
    <cellStyle name="汇总 2 2 2 2 4" xfId="11234"/>
    <cellStyle name="汇总 2 2 2 2 4 2" xfId="17327"/>
    <cellStyle name="汇总 2 2 2 3" xfId="6070"/>
    <cellStyle name="汇总 2 2 2 3 2" xfId="6776"/>
    <cellStyle name="汇总 2 2 2 3 2 2" xfId="9679"/>
    <cellStyle name="汇总 2 2 2 3 2 2 2" xfId="14576"/>
    <cellStyle name="汇总 2 2 2 3 2 2 2 2" xfId="18048"/>
    <cellStyle name="汇总 2 2 2 3 2 3" xfId="12460"/>
    <cellStyle name="汇总 2 2 2 3 2 3 2" xfId="19242"/>
    <cellStyle name="汇总 2 2 2 3 3" xfId="8553"/>
    <cellStyle name="汇总 2 2 2 3 3 2" xfId="13818"/>
    <cellStyle name="汇总 2 2 2 3 3 2 2" xfId="16456"/>
    <cellStyle name="汇总 2 2 2 3 4" xfId="11533"/>
    <cellStyle name="汇总 2 2 2 3 4 2" xfId="19502"/>
    <cellStyle name="汇总 2 2 2 4" xfId="5093"/>
    <cellStyle name="汇总 2 2 2 4 2" xfId="6726"/>
    <cellStyle name="汇总 2 2 2 4 2 2" xfId="9660"/>
    <cellStyle name="汇总 2 2 2 4 2 2 2" xfId="14557"/>
    <cellStyle name="汇总 2 2 2 4 2 2 2 2" xfId="18895"/>
    <cellStyle name="汇总 2 2 2 4 2 3" xfId="12410"/>
    <cellStyle name="汇总 2 2 2 4 2 3 2" xfId="16881"/>
    <cellStyle name="汇总 2 2 2 4 3" xfId="8081"/>
    <cellStyle name="汇总 2 2 2 4 3 2" xfId="13346"/>
    <cellStyle name="汇总 2 2 2 4 3 2 2" xfId="18039"/>
    <cellStyle name="汇总 2 2 2 4 4" xfId="10952"/>
    <cellStyle name="汇总 2 2 2 4 4 2" xfId="18331"/>
    <cellStyle name="汇总 2 2 2 5" xfId="6627"/>
    <cellStyle name="汇总 2 2 2 5 2" xfId="9576"/>
    <cellStyle name="汇总 2 2 2 5 2 2" xfId="14476"/>
    <cellStyle name="汇总 2 2 2 5 2 2 2" xfId="15467"/>
    <cellStyle name="汇总 2 2 2 5 3" xfId="12312"/>
    <cellStyle name="汇总 2 2 2 5 3 2" xfId="16929"/>
    <cellStyle name="汇总 2 2 2 6" xfId="7849"/>
    <cellStyle name="汇总 2 2 2 6 2" xfId="13088"/>
    <cellStyle name="汇总 2 2 2 6 2 2" xfId="19475"/>
    <cellStyle name="汇总 2 2 2 7" xfId="10666"/>
    <cellStyle name="汇总 2 2 2 7 2" xfId="19912"/>
    <cellStyle name="汇总 2 2 3" xfId="5209"/>
    <cellStyle name="汇总 2 2 3 2" xfId="6185"/>
    <cellStyle name="汇总 2 2 3 2 2" xfId="6463"/>
    <cellStyle name="汇总 2 2 3 2 2 2" xfId="9441"/>
    <cellStyle name="汇总 2 2 3 2 2 2 2" xfId="14346"/>
    <cellStyle name="汇总 2 2 3 2 2 2 2 2" xfId="17802"/>
    <cellStyle name="汇总 2 2 3 2 2 3" xfId="12148"/>
    <cellStyle name="汇总 2 2 3 2 2 3 2" xfId="15361"/>
    <cellStyle name="汇总 2 2 3 2 3" xfId="8654"/>
    <cellStyle name="汇总 2 2 3 2 3 2" xfId="13919"/>
    <cellStyle name="汇总 2 2 3 2 3 2 2" xfId="18815"/>
    <cellStyle name="汇总 2 2 3 2 4" xfId="11648"/>
    <cellStyle name="汇总 2 2 3 2 4 2" xfId="19443"/>
    <cellStyle name="汇总 2 2 3 3" xfId="6574"/>
    <cellStyle name="汇总 2 2 3 3 2" xfId="9533"/>
    <cellStyle name="汇总 2 2 3 3 2 2" xfId="14434"/>
    <cellStyle name="汇总 2 2 3 3 2 2 2" xfId="18143"/>
    <cellStyle name="汇总 2 2 3 3 3" xfId="12259"/>
    <cellStyle name="汇总 2 2 3 3 3 2" xfId="16953"/>
    <cellStyle name="汇总 2 2 3 4" xfId="8182"/>
    <cellStyle name="汇总 2 2 3 4 2" xfId="13447"/>
    <cellStyle name="汇总 2 2 3 4 2 2" xfId="18698"/>
    <cellStyle name="汇总 2 2 3 5" xfId="11067"/>
    <cellStyle name="汇总 2 2 3 5 2" xfId="17461"/>
    <cellStyle name="汇总 2 2 4" xfId="6064"/>
    <cellStyle name="汇总 2 2 4 2" xfId="6777"/>
    <cellStyle name="汇总 2 2 4 2 2" xfId="9680"/>
    <cellStyle name="汇总 2 2 4 2 2 2" xfId="14577"/>
    <cellStyle name="汇总 2 2 4 2 2 2 2" xfId="18901"/>
    <cellStyle name="汇总 2 2 4 2 3" xfId="12461"/>
    <cellStyle name="汇总 2 2 4 2 3 2" xfId="18412"/>
    <cellStyle name="汇总 2 2 4 3" xfId="8547"/>
    <cellStyle name="汇总 2 2 4 3 2" xfId="13812"/>
    <cellStyle name="汇总 2 2 4 3 2 2" xfId="16458"/>
    <cellStyle name="汇总 2 2 4 4" xfId="11527"/>
    <cellStyle name="汇总 2 2 4 4 2" xfId="19672"/>
    <cellStyle name="汇总 2 2 5" xfId="3861"/>
    <cellStyle name="汇总 2 2 5 2" xfId="6704"/>
    <cellStyle name="汇总 2 2 5 2 2" xfId="9640"/>
    <cellStyle name="汇总 2 2 5 2 2 2" xfId="14537"/>
    <cellStyle name="汇总 2 2 5 2 2 2 2" xfId="16035"/>
    <cellStyle name="汇总 2 2 5 2 3" xfId="12388"/>
    <cellStyle name="汇总 2 2 5 2 3 2" xfId="18502"/>
    <cellStyle name="汇总 2 2 5 3" xfId="7957"/>
    <cellStyle name="汇总 2 2 5 3 2" xfId="13226"/>
    <cellStyle name="汇总 2 2 5 3 2 2" xfId="16796"/>
    <cellStyle name="汇总 2 2 5 4" xfId="10820"/>
    <cellStyle name="汇总 2 2 5 4 2" xfId="17650"/>
    <cellStyle name="汇总 2 2 6" xfId="6933"/>
    <cellStyle name="汇总 2 2 6 2" xfId="9786"/>
    <cellStyle name="汇总 2 2 6 2 2" xfId="14671"/>
    <cellStyle name="汇总 2 2 6 2 2 2" xfId="15934"/>
    <cellStyle name="汇总 2 2 6 3" xfId="12617"/>
    <cellStyle name="汇总 2 2 6 3 2" xfId="19858"/>
    <cellStyle name="汇总 2 2 7" xfId="7827"/>
    <cellStyle name="汇总 2 2 7 2" xfId="13066"/>
    <cellStyle name="汇总 2 2 7 2 2" xfId="19983"/>
    <cellStyle name="汇总 2 2 8" xfId="10644"/>
    <cellStyle name="汇总 2 2 8 2" xfId="19516"/>
    <cellStyle name="汇总 2 3" xfId="405"/>
    <cellStyle name="汇总 2 3 2" xfId="5208"/>
    <cellStyle name="汇总 2 3 2 2" xfId="6184"/>
    <cellStyle name="汇总 2 3 2 2 2" xfId="6793"/>
    <cellStyle name="汇总 2 3 2 2 2 2" xfId="9688"/>
    <cellStyle name="汇总 2 3 2 2 2 2 2" xfId="14585"/>
    <cellStyle name="汇总 2 3 2 2 2 2 2 2" xfId="16000"/>
    <cellStyle name="汇总 2 3 2 2 2 3" xfId="12477"/>
    <cellStyle name="汇总 2 3 2 2 2 3 2" xfId="18389"/>
    <cellStyle name="汇总 2 3 2 2 3" xfId="8653"/>
    <cellStyle name="汇总 2 3 2 2 3 2" xfId="13918"/>
    <cellStyle name="汇总 2 3 2 2 3 2 2" xfId="16386"/>
    <cellStyle name="汇总 2 3 2 2 4" xfId="11647"/>
    <cellStyle name="汇总 2 3 2 2 4 2" xfId="20064"/>
    <cellStyle name="汇总 2 3 2 3" xfId="6838"/>
    <cellStyle name="汇总 2 3 2 3 2" xfId="9720"/>
    <cellStyle name="汇总 2 3 2 3 2 2" xfId="14611"/>
    <cellStyle name="汇总 2 3 2 3 2 2 2" xfId="15979"/>
    <cellStyle name="汇总 2 3 2 3 3" xfId="12522"/>
    <cellStyle name="汇总 2 3 2 3 3 2" xfId="19352"/>
    <cellStyle name="汇总 2 3 2 4" xfId="8181"/>
    <cellStyle name="汇总 2 3 2 4 2" xfId="13446"/>
    <cellStyle name="汇总 2 3 2 4 2 2" xfId="18879"/>
    <cellStyle name="汇总 2 3 2 5" xfId="11066"/>
    <cellStyle name="汇总 2 3 2 5 2" xfId="17462"/>
    <cellStyle name="汇总 2 3 3" xfId="6029"/>
    <cellStyle name="汇总 2 3 3 2" xfId="6585"/>
    <cellStyle name="汇总 2 3 3 2 2" xfId="9541"/>
    <cellStyle name="汇总 2 3 3 2 2 2" xfId="14442"/>
    <cellStyle name="汇总 2 3 3 2 2 2 2" xfId="16084"/>
    <cellStyle name="汇总 2 3 3 2 3" xfId="12270"/>
    <cellStyle name="汇总 2 3 3 2 3 2" xfId="16949"/>
    <cellStyle name="汇总 2 3 3 3" xfId="8518"/>
    <cellStyle name="汇总 2 3 3 3 2" xfId="13783"/>
    <cellStyle name="汇总 2 3 3 3 2 2" xfId="16474"/>
    <cellStyle name="汇总 2 3 3 4" xfId="11492"/>
    <cellStyle name="汇总 2 3 3 4 2" xfId="19582"/>
    <cellStyle name="汇总 2 3 4" xfId="3862"/>
    <cellStyle name="汇总 2 3 4 2" xfId="6842"/>
    <cellStyle name="汇总 2 3 4 2 2" xfId="9723"/>
    <cellStyle name="汇总 2 3 4 2 2 2" xfId="14614"/>
    <cellStyle name="汇总 2 3 4 2 2 2 2" xfId="15976"/>
    <cellStyle name="汇总 2 3 4 2 3" xfId="12526"/>
    <cellStyle name="汇总 2 3 4 2 3 2" xfId="19253"/>
    <cellStyle name="汇总 2 3 4 3" xfId="7958"/>
    <cellStyle name="汇总 2 3 4 3 2" xfId="13227"/>
    <cellStyle name="汇总 2 3 4 3 2 2" xfId="16795"/>
    <cellStyle name="汇总 2 3 4 4" xfId="10821"/>
    <cellStyle name="汇总 2 3 4 4 2" xfId="18892"/>
    <cellStyle name="汇总 2 3 5" xfId="7715"/>
    <cellStyle name="汇总 2 3 5 2" xfId="10105"/>
    <cellStyle name="汇总 2 3 5 2 2" xfId="14947"/>
    <cellStyle name="汇总 2 3 5 2 2 2" xfId="15800"/>
    <cellStyle name="汇总 2 3 5 3" xfId="12992"/>
    <cellStyle name="汇总 2 3 5 3 2" xfId="19759"/>
    <cellStyle name="汇总 2 3 6" xfId="7839"/>
    <cellStyle name="汇总 2 3 6 2" xfId="13078"/>
    <cellStyle name="汇总 2 3 6 2 2" xfId="19922"/>
    <cellStyle name="汇总 2 3 7" xfId="10656"/>
    <cellStyle name="汇总 2 3 7 2" xfId="19192"/>
    <cellStyle name="汇总 2 4" xfId="3863"/>
    <cellStyle name="汇总 2 4 2" xfId="5165"/>
    <cellStyle name="汇总 2 4 2 2" xfId="6141"/>
    <cellStyle name="汇总 2 4 2 2 2" xfId="6462"/>
    <cellStyle name="汇总 2 4 2 2 2 2" xfId="9440"/>
    <cellStyle name="汇总 2 4 2 2 2 2 2" xfId="14345"/>
    <cellStyle name="汇总 2 4 2 2 2 2 2 2" xfId="18152"/>
    <cellStyle name="汇总 2 4 2 2 2 3" xfId="12147"/>
    <cellStyle name="汇总 2 4 2 2 2 3 2" xfId="17027"/>
    <cellStyle name="汇总 2 4 2 2 3" xfId="8612"/>
    <cellStyle name="汇总 2 4 2 2 3 2" xfId="13877"/>
    <cellStyle name="汇总 2 4 2 2 3 2 2" xfId="16417"/>
    <cellStyle name="汇总 2 4 2 2 4" xfId="11604"/>
    <cellStyle name="汇总 2 4 2 2 4 2" xfId="19819"/>
    <cellStyle name="汇总 2 4 2 3" xfId="6732"/>
    <cellStyle name="汇总 2 4 2 3 2" xfId="9663"/>
    <cellStyle name="汇总 2 4 2 3 2 2" xfId="14560"/>
    <cellStyle name="汇总 2 4 2 3 2 2 2" xfId="16020"/>
    <cellStyle name="汇总 2 4 2 3 3" xfId="12416"/>
    <cellStyle name="汇总 2 4 2 3 3 2" xfId="17973"/>
    <cellStyle name="汇总 2 4 2 4" xfId="8140"/>
    <cellStyle name="汇总 2 4 2 4 2" xfId="13405"/>
    <cellStyle name="汇总 2 4 2 4 2 2" xfId="16679"/>
    <cellStyle name="汇总 2 4 2 5" xfId="11023"/>
    <cellStyle name="汇总 2 4 2 5 2" xfId="15397"/>
    <cellStyle name="汇总 2 4 3" xfId="5939"/>
    <cellStyle name="汇总 2 4 3 2" xfId="6546"/>
    <cellStyle name="汇总 2 4 3 2 2" xfId="9507"/>
    <cellStyle name="汇总 2 4 3 2 2 2" xfId="14408"/>
    <cellStyle name="汇总 2 4 3 2 2 2 2" xfId="16111"/>
    <cellStyle name="汇总 2 4 3 2 3" xfId="12231"/>
    <cellStyle name="汇总 2 4 3 2 3 2" xfId="17891"/>
    <cellStyle name="汇总 2 4 3 3" xfId="8441"/>
    <cellStyle name="汇总 2 4 3 3 2" xfId="13706"/>
    <cellStyle name="汇总 2 4 3 3 2 2" xfId="15514"/>
    <cellStyle name="汇总 2 4 3 4" xfId="11402"/>
    <cellStyle name="汇总 2 4 3 4 2" xfId="19932"/>
    <cellStyle name="汇总 2 4 4" xfId="6926"/>
    <cellStyle name="汇总 2 4 4 2" xfId="9781"/>
    <cellStyle name="汇总 2 4 4 2 2" xfId="14667"/>
    <cellStyle name="汇总 2 4 4 2 2 2" xfId="15938"/>
    <cellStyle name="汇总 2 4 4 3" xfId="12610"/>
    <cellStyle name="汇总 2 4 4 3 2" xfId="19245"/>
    <cellStyle name="汇总 2 4 5" xfId="7959"/>
    <cellStyle name="汇总 2 4 5 2" xfId="13228"/>
    <cellStyle name="汇总 2 4 5 2 2" xfId="16794"/>
    <cellStyle name="汇总 2 4 6" xfId="10822"/>
    <cellStyle name="汇总 2 4 6 2" xfId="18711"/>
    <cellStyle name="汇总 2 5" xfId="5032"/>
    <cellStyle name="汇总 2 5 2" xfId="5393"/>
    <cellStyle name="汇总 2 5 2 2" xfId="7523"/>
    <cellStyle name="汇总 2 5 2 2 2" xfId="6854"/>
    <cellStyle name="汇总 2 5 2 2 2 2" xfId="9731"/>
    <cellStyle name="汇总 2 5 2 2 2 2 2" xfId="12538"/>
    <cellStyle name="汇总 2 5 2 2 2 2 2 2" xfId="19054"/>
    <cellStyle name="汇总 2 5 2 2 2 3" xfId="9284"/>
    <cellStyle name="汇总 2 5 2 2 2 3 2" xfId="14281"/>
    <cellStyle name="汇总 2 5 2 2 2 3 2 2" xfId="16186"/>
    <cellStyle name="汇总 2 5 2 2 2 4" xfId="12062"/>
    <cellStyle name="汇总 2 5 2 2 2 4 2" xfId="17087"/>
    <cellStyle name="汇总 2 5 2 2 3" xfId="8920"/>
    <cellStyle name="汇总 2 5 2 2 3 2" xfId="14159"/>
    <cellStyle name="汇总 2 5 2 2 3 2 2" xfId="16246"/>
    <cellStyle name="汇总 2 5 2 2 4" xfId="11920"/>
    <cellStyle name="汇总 2 5 2 2 4 2" xfId="17180"/>
    <cellStyle name="汇总 2 5 2 3" xfId="6851"/>
    <cellStyle name="汇总 2 5 2 3 2" xfId="9728"/>
    <cellStyle name="汇总 2 5 2 3 2 2" xfId="14619"/>
    <cellStyle name="汇总 2 5 2 3 2 2 2" xfId="17991"/>
    <cellStyle name="汇总 2 5 2 3 3" xfId="12535"/>
    <cellStyle name="汇总 2 5 2 3 3 2" xfId="19703"/>
    <cellStyle name="汇总 2 5 2 4" xfId="8300"/>
    <cellStyle name="汇总 2 5 2 4 2" xfId="13565"/>
    <cellStyle name="汇总 2 5 2 4 2 2" xfId="16600"/>
    <cellStyle name="汇总 2 5 2 5" xfId="11225"/>
    <cellStyle name="汇总 2 5 2 5 2" xfId="18612"/>
    <cellStyle name="汇总 2 5 3" xfId="5883"/>
    <cellStyle name="汇总 2 5 3 2" xfId="7623"/>
    <cellStyle name="汇总 2 5 3 2 2" xfId="6862"/>
    <cellStyle name="汇总 2 5 3 2 2 2" xfId="9737"/>
    <cellStyle name="汇总 2 5 3 2 2 2 2" xfId="12546"/>
    <cellStyle name="汇总 2 5 3 2 2 2 2 2" xfId="18579"/>
    <cellStyle name="汇总 2 5 3 2 2 3" xfId="9385"/>
    <cellStyle name="汇总 2 5 3 2 2 3 2" xfId="14304"/>
    <cellStyle name="汇总 2 5 3 2 2 3 2 2" xfId="16171"/>
    <cellStyle name="汇总 2 5 3 2 2 4" xfId="12091"/>
    <cellStyle name="汇总 2 5 3 2 2 4 2" xfId="17073"/>
    <cellStyle name="汇总 2 5 3 2 3" xfId="8946"/>
    <cellStyle name="汇总 2 5 3 2 3 2" xfId="14185"/>
    <cellStyle name="汇总 2 5 3 2 3 2 2" xfId="18938"/>
    <cellStyle name="汇总 2 5 3 2 4" xfId="11948"/>
    <cellStyle name="汇总 2 5 3 2 4 2" xfId="17937"/>
    <cellStyle name="汇总 2 5 3 3" xfId="6583"/>
    <cellStyle name="汇总 2 5 3 3 2" xfId="9539"/>
    <cellStyle name="汇总 2 5 3 3 2 2" xfId="14440"/>
    <cellStyle name="汇总 2 5 3 3 2 2 2" xfId="16091"/>
    <cellStyle name="汇总 2 5 3 3 3" xfId="12268"/>
    <cellStyle name="汇总 2 5 3 3 3 2" xfId="16950"/>
    <cellStyle name="汇总 2 5 3 4" xfId="8399"/>
    <cellStyle name="汇总 2 5 3 4 2" xfId="13664"/>
    <cellStyle name="汇总 2 5 3 4 2 2" xfId="16546"/>
    <cellStyle name="汇总 2 5 3 5" xfId="11346"/>
    <cellStyle name="汇总 2 5 3 5 2" xfId="19975"/>
    <cellStyle name="汇总 2 5 4" xfId="7471"/>
    <cellStyle name="汇总 2 5 4 2" xfId="7031"/>
    <cellStyle name="汇总 2 5 4 2 2" xfId="9856"/>
    <cellStyle name="汇总 2 5 4 2 2 2" xfId="12715"/>
    <cellStyle name="汇总 2 5 4 2 2 2 2" xfId="19446"/>
    <cellStyle name="汇总 2 5 4 2 3" xfId="9227"/>
    <cellStyle name="汇总 2 5 4 2 3 2" xfId="14254"/>
    <cellStyle name="汇总 2 5 4 2 3 2 2" xfId="18784"/>
    <cellStyle name="汇总 2 5 4 2 4" xfId="12025"/>
    <cellStyle name="汇总 2 5 4 2 4 2" xfId="18516"/>
    <cellStyle name="汇总 2 5 4 3" xfId="8889"/>
    <cellStyle name="汇总 2 5 4 3 2" xfId="14128"/>
    <cellStyle name="汇总 2 5 4 3 2 2" xfId="18766"/>
    <cellStyle name="汇总 2 5 4 4" xfId="11888"/>
    <cellStyle name="汇总 2 5 4 4 2" xfId="18522"/>
    <cellStyle name="汇总 2 5 5" xfId="6881"/>
    <cellStyle name="汇总 2 5 5 2" xfId="9752"/>
    <cellStyle name="汇总 2 5 5 2 2" xfId="14640"/>
    <cellStyle name="汇总 2 5 5 2 2 2" xfId="15960"/>
    <cellStyle name="汇总 2 5 5 3" xfId="12565"/>
    <cellStyle name="汇总 2 5 5 3 2" xfId="19831"/>
    <cellStyle name="汇总 2 5 6" xfId="8072"/>
    <cellStyle name="汇总 2 5 6 2" xfId="13337"/>
    <cellStyle name="汇总 2 5 6 2 2" xfId="16717"/>
    <cellStyle name="汇总 2 5 7" xfId="10943"/>
    <cellStyle name="汇总 2 5 7 2" xfId="17553"/>
    <cellStyle name="汇总 2 6" xfId="5210"/>
    <cellStyle name="汇总 2 6 2" xfId="6186"/>
    <cellStyle name="汇总 2 6 2 2" xfId="6794"/>
    <cellStyle name="汇总 2 6 2 2 2" xfId="9689"/>
    <cellStyle name="汇总 2 6 2 2 2 2" xfId="12478"/>
    <cellStyle name="汇总 2 6 2 2 2 2 2" xfId="18388"/>
    <cellStyle name="汇总 2 6 2 2 3" xfId="9006"/>
    <cellStyle name="汇总 2 6 2 2 3 2" xfId="14231"/>
    <cellStyle name="汇总 2 6 2 2 3 2 2" xfId="18664"/>
    <cellStyle name="汇总 2 6 2 2 4" xfId="11997"/>
    <cellStyle name="汇总 2 6 2 2 4 2" xfId="17135"/>
    <cellStyle name="汇总 2 6 2 3" xfId="9431"/>
    <cellStyle name="汇总 2 6 2 3 2" xfId="12137"/>
    <cellStyle name="汇总 2 6 2 3 2 2" xfId="17037"/>
    <cellStyle name="汇总 2 6 2 4" xfId="8655"/>
    <cellStyle name="汇总 2 6 2 4 2" xfId="13920"/>
    <cellStyle name="汇总 2 6 2 4 2 2" xfId="16385"/>
    <cellStyle name="汇总 2 6 2 5" xfId="11649"/>
    <cellStyle name="汇总 2 6 2 5 2" xfId="19113"/>
    <cellStyle name="汇总 2 6 3" xfId="6929"/>
    <cellStyle name="汇总 2 6 3 2" xfId="9784"/>
    <cellStyle name="汇总 2 6 3 2 2" xfId="12613"/>
    <cellStyle name="汇总 2 6 3 2 2 2" xfId="19449"/>
    <cellStyle name="汇总 2 6 3 3" xfId="9002"/>
    <cellStyle name="汇总 2 6 3 3 2" xfId="14229"/>
    <cellStyle name="汇总 2 6 3 3 2 2" xfId="16212"/>
    <cellStyle name="汇总 2 6 3 4" xfId="11993"/>
    <cellStyle name="汇总 2 6 3 4 2" xfId="17139"/>
    <cellStyle name="汇总 2 6 4" xfId="9277"/>
    <cellStyle name="汇总 2 6 4 2" xfId="12055"/>
    <cellStyle name="汇总 2 6 4 2 2" xfId="17093"/>
    <cellStyle name="汇总 2 6 5" xfId="8183"/>
    <cellStyle name="汇总 2 6 5 2" xfId="13448"/>
    <cellStyle name="汇总 2 6 5 2 2" xfId="16657"/>
    <cellStyle name="汇总 2 6 6" xfId="11068"/>
    <cellStyle name="汇总 2 6 6 2" xfId="17460"/>
    <cellStyle name="汇总 2 7" xfId="5981"/>
    <cellStyle name="汇总 2 7 2" xfId="6864"/>
    <cellStyle name="汇总 2 7 2 2" xfId="9739"/>
    <cellStyle name="汇总 2 7 2 2 2" xfId="12548"/>
    <cellStyle name="汇总 2 7 2 2 2 2" xfId="16863"/>
    <cellStyle name="汇总 2 7 2 3" xfId="9001"/>
    <cellStyle name="汇总 2 7 2 3 2" xfId="14228"/>
    <cellStyle name="汇总 2 7 2 3 2 2" xfId="15408"/>
    <cellStyle name="汇总 2 7 2 4" xfId="11992"/>
    <cellStyle name="汇总 2 7 2 4 2" xfId="17140"/>
    <cellStyle name="汇总 2 7 3" xfId="9396"/>
    <cellStyle name="汇总 2 7 3 2" xfId="12102"/>
    <cellStyle name="汇总 2 7 3 2 2" xfId="18030"/>
    <cellStyle name="汇总 2 7 4" xfId="8477"/>
    <cellStyle name="汇总 2 7 4 2" xfId="13742"/>
    <cellStyle name="汇总 2 7 4 2 2" xfId="16499"/>
    <cellStyle name="汇总 2 7 5" xfId="11444"/>
    <cellStyle name="汇总 2 7 5 2" xfId="19580"/>
    <cellStyle name="汇总 2 8" xfId="3860"/>
    <cellStyle name="汇总 2 8 2" xfId="6703"/>
    <cellStyle name="汇总 2 8 2 2" xfId="9639"/>
    <cellStyle name="汇总 2 8 2 2 2" xfId="14536"/>
    <cellStyle name="汇总 2 8 2 2 2 2" xfId="16036"/>
    <cellStyle name="汇总 2 8 2 3" xfId="12387"/>
    <cellStyle name="汇总 2 8 2 3 2" xfId="16891"/>
    <cellStyle name="汇总 2 8 3" xfId="7956"/>
    <cellStyle name="汇总 2 8 3 2" xfId="13225"/>
    <cellStyle name="汇总 2 8 3 2 2" xfId="16797"/>
    <cellStyle name="汇总 2 8 4" xfId="10819"/>
    <cellStyle name="汇总 2 8 4 2" xfId="17651"/>
    <cellStyle name="汇总 2 9" xfId="7819"/>
    <cellStyle name="汇总 2 9 2" xfId="13058"/>
    <cellStyle name="汇总 2 9 2 2" xfId="19669"/>
    <cellStyle name="汇总 3" xfId="388"/>
    <cellStyle name="汇总 3 2" xfId="410"/>
    <cellStyle name="汇总 3 2 2" xfId="5158"/>
    <cellStyle name="汇总 3 2 2 2" xfId="6134"/>
    <cellStyle name="汇总 3 2 2 2 2" xfId="6786"/>
    <cellStyle name="汇总 3 2 2 2 2 2" xfId="9683"/>
    <cellStyle name="汇总 3 2 2 2 2 2 2" xfId="14580"/>
    <cellStyle name="汇总 3 2 2 2 2 2 2 2" xfId="16005"/>
    <cellStyle name="汇总 3 2 2 2 2 3" xfId="12470"/>
    <cellStyle name="汇总 3 2 2 2 2 3 2" xfId="19414"/>
    <cellStyle name="汇总 3 2 2 2 3" xfId="8605"/>
    <cellStyle name="汇总 3 2 2 2 3 2" xfId="13870"/>
    <cellStyle name="汇总 3 2 2 2 3 2 2" xfId="16424"/>
    <cellStyle name="汇总 3 2 2 2 4" xfId="11597"/>
    <cellStyle name="汇总 3 2 2 2 4 2" xfId="19281"/>
    <cellStyle name="汇总 3 2 2 3" xfId="6731"/>
    <cellStyle name="汇总 3 2 2 3 2" xfId="9662"/>
    <cellStyle name="汇总 3 2 2 3 2 2" xfId="14559"/>
    <cellStyle name="汇总 3 2 2 3 2 2 2" xfId="17974"/>
    <cellStyle name="汇总 3 2 2 3 3" xfId="12415"/>
    <cellStyle name="汇总 3 2 2 3 3 2" xfId="18713"/>
    <cellStyle name="汇总 3 2 2 4" xfId="8133"/>
    <cellStyle name="汇总 3 2 2 4 2" xfId="13398"/>
    <cellStyle name="汇总 3 2 2 4 2 2" xfId="18053"/>
    <cellStyle name="汇总 3 2 2 5" xfId="11016"/>
    <cellStyle name="汇总 3 2 2 5 2" xfId="17500"/>
    <cellStyle name="汇总 3 2 3" xfId="5984"/>
    <cellStyle name="汇总 3 2 3 2" xfId="7084"/>
    <cellStyle name="汇总 3 2 3 2 2" xfId="9891"/>
    <cellStyle name="汇总 3 2 3 2 2 2" xfId="14764"/>
    <cellStyle name="汇总 3 2 3 2 2 2 2" xfId="18653"/>
    <cellStyle name="汇总 3 2 3 2 3" xfId="12768"/>
    <cellStyle name="汇总 3 2 3 2 3 2" xfId="19228"/>
    <cellStyle name="汇总 3 2 3 3" xfId="8480"/>
    <cellStyle name="汇总 3 2 3 3 2" xfId="13745"/>
    <cellStyle name="汇总 3 2 3 3 2 2" xfId="15511"/>
    <cellStyle name="汇总 3 2 3 4" xfId="11447"/>
    <cellStyle name="汇总 3 2 3 4 2" xfId="19646"/>
    <cellStyle name="汇总 3 2 4" xfId="3865"/>
    <cellStyle name="汇总 3 2 4 2" xfId="6701"/>
    <cellStyle name="汇总 3 2 4 2 2" xfId="9637"/>
    <cellStyle name="汇总 3 2 4 2 2 2" xfId="14534"/>
    <cellStyle name="汇总 3 2 4 2 2 2 2" xfId="16038"/>
    <cellStyle name="汇总 3 2 4 2 3" xfId="12385"/>
    <cellStyle name="汇总 3 2 4 2 3 2" xfId="16892"/>
    <cellStyle name="汇总 3 2 4 3" xfId="7961"/>
    <cellStyle name="汇总 3 2 4 3 2" xfId="13230"/>
    <cellStyle name="汇总 3 2 4 3 2 2" xfId="18076"/>
    <cellStyle name="汇总 3 2 4 4" xfId="10824"/>
    <cellStyle name="汇总 3 2 4 4 2" xfId="17648"/>
    <cellStyle name="汇总 3 2 5" xfId="6938"/>
    <cellStyle name="汇总 3 2 5 2" xfId="9791"/>
    <cellStyle name="汇总 3 2 5 2 2" xfId="14676"/>
    <cellStyle name="汇总 3 2 5 2 2 2" xfId="18957"/>
    <cellStyle name="汇总 3 2 5 3" xfId="12622"/>
    <cellStyle name="汇总 3 2 5 3 2" xfId="19088"/>
    <cellStyle name="汇总 3 2 6" xfId="7844"/>
    <cellStyle name="汇总 3 2 6 2" xfId="13083"/>
    <cellStyle name="汇总 3 2 6 2 2" xfId="19061"/>
    <cellStyle name="汇总 3 2 7" xfId="10661"/>
    <cellStyle name="汇总 3 2 7 2" xfId="18565"/>
    <cellStyle name="汇总 3 3" xfId="5159"/>
    <cellStyle name="汇总 3 3 2" xfId="6135"/>
    <cellStyle name="汇总 3 3 2 2" xfId="6460"/>
    <cellStyle name="汇总 3 3 2 2 2" xfId="9438"/>
    <cellStyle name="汇总 3 3 2 2 2 2" xfId="14343"/>
    <cellStyle name="汇总 3 3 2 2 2 2 2" xfId="16144"/>
    <cellStyle name="汇总 3 3 2 2 3" xfId="12145"/>
    <cellStyle name="汇总 3 3 2 2 3 2" xfId="17029"/>
    <cellStyle name="汇总 3 3 2 3" xfId="8606"/>
    <cellStyle name="汇总 3 3 2 3 2" xfId="13871"/>
    <cellStyle name="汇总 3 3 2 3 2 2" xfId="16423"/>
    <cellStyle name="汇总 3 3 2 4" xfId="11598"/>
    <cellStyle name="汇总 3 3 2 4 2" xfId="19739"/>
    <cellStyle name="汇总 3 3 3" xfId="7700"/>
    <cellStyle name="汇总 3 3 3 2" xfId="10092"/>
    <cellStyle name="汇总 3 3 3 2 2" xfId="14934"/>
    <cellStyle name="汇总 3 3 3 2 2 2" xfId="15452"/>
    <cellStyle name="汇总 3 3 3 3" xfId="12977"/>
    <cellStyle name="汇总 3 3 3 3 2" xfId="19666"/>
    <cellStyle name="汇总 3 3 4" xfId="8134"/>
    <cellStyle name="汇总 3 3 4 2" xfId="13399"/>
    <cellStyle name="汇总 3 3 4 2 2" xfId="16683"/>
    <cellStyle name="汇总 3 3 5" xfId="11017"/>
    <cellStyle name="汇总 3 3 5 2" xfId="17499"/>
    <cellStyle name="汇总 3 4" xfId="5998"/>
    <cellStyle name="汇总 3 4 2" xfId="7005"/>
    <cellStyle name="汇总 3 4 2 2" xfId="9839"/>
    <cellStyle name="汇总 3 4 2 2 2" xfId="14715"/>
    <cellStyle name="汇总 3 4 2 2 2 2" xfId="18954"/>
    <cellStyle name="汇总 3 4 2 3" xfId="12689"/>
    <cellStyle name="汇总 3 4 2 3 2" xfId="19648"/>
    <cellStyle name="汇总 3 4 3" xfId="8493"/>
    <cellStyle name="汇总 3 4 3 2" xfId="13758"/>
    <cellStyle name="汇总 3 4 3 2 2" xfId="18171"/>
    <cellStyle name="汇总 3 4 4" xfId="11461"/>
    <cellStyle name="汇总 3 4 4 2" xfId="19505"/>
    <cellStyle name="汇总 3 5" xfId="3864"/>
    <cellStyle name="汇总 3 5 2" xfId="7017"/>
    <cellStyle name="汇总 3 5 2 2" xfId="9845"/>
    <cellStyle name="汇总 3 5 2 2 2" xfId="14721"/>
    <cellStyle name="汇总 3 5 2 2 2 2" xfId="18658"/>
    <cellStyle name="汇总 3 5 2 3" xfId="12701"/>
    <cellStyle name="汇总 3 5 2 3 2" xfId="18295"/>
    <cellStyle name="汇总 3 5 3" xfId="7960"/>
    <cellStyle name="汇总 3 5 3 2" xfId="13229"/>
    <cellStyle name="汇总 3 5 3 2 2" xfId="15390"/>
    <cellStyle name="汇总 3 5 4" xfId="10823"/>
    <cellStyle name="汇总 3 5 4 2" xfId="17649"/>
    <cellStyle name="汇总 3 6" xfId="6507"/>
    <cellStyle name="汇总 3 6 2" xfId="9473"/>
    <cellStyle name="汇总 3 6 2 2" xfId="14375"/>
    <cellStyle name="汇总 3 6 2 2 2" xfId="18149"/>
    <cellStyle name="汇总 3 6 3" xfId="12192"/>
    <cellStyle name="汇总 3 6 3 2" xfId="16997"/>
    <cellStyle name="汇总 3 7" xfId="7824"/>
    <cellStyle name="汇总 3 7 2" xfId="13063"/>
    <cellStyle name="汇总 3 7 2 2" xfId="19875"/>
    <cellStyle name="汇总 3 8" xfId="10641"/>
    <cellStyle name="汇总 3 8 2" xfId="19900"/>
    <cellStyle name="汇总 4" xfId="400"/>
    <cellStyle name="汇总 4 2" xfId="5157"/>
    <cellStyle name="汇总 4 2 2" xfId="6133"/>
    <cellStyle name="汇总 4 2 2 2" xfId="7650"/>
    <cellStyle name="汇总 4 2 2 2 2" xfId="7002"/>
    <cellStyle name="汇总 4 2 2 2 2 2" xfId="9836"/>
    <cellStyle name="汇总 4 2 2 2 2 2 2" xfId="12686"/>
    <cellStyle name="汇总 4 2 2 2 2 2 2 2" xfId="19593"/>
    <cellStyle name="汇总 4 2 2 2 2 3" xfId="9416"/>
    <cellStyle name="汇总 4 2 2 2 2 3 2" xfId="14327"/>
    <cellStyle name="汇总 4 2 2 2 2 3 2 2" xfId="16156"/>
    <cellStyle name="汇总 4 2 2 2 2 4" xfId="12122"/>
    <cellStyle name="汇总 4 2 2 2 2 4 2" xfId="17048"/>
    <cellStyle name="汇总 4 2 2 2 3" xfId="8973"/>
    <cellStyle name="汇总 4 2 2 2 3 2" xfId="14212"/>
    <cellStyle name="汇总 4 2 2 2 3 2 2" xfId="16220"/>
    <cellStyle name="汇总 4 2 2 2 4" xfId="11975"/>
    <cellStyle name="汇总 4 2 2 2 4 2" xfId="17148"/>
    <cellStyle name="汇总 4 2 2 3" xfId="6601"/>
    <cellStyle name="汇总 4 2 2 3 2" xfId="9553"/>
    <cellStyle name="汇总 4 2 2 3 2 2" xfId="14454"/>
    <cellStyle name="汇总 4 2 2 3 2 2 2" xfId="18141"/>
    <cellStyle name="汇总 4 2 2 3 3" xfId="12286"/>
    <cellStyle name="汇总 4 2 2 3 3 2" xfId="16941"/>
    <cellStyle name="汇总 4 2 2 4" xfId="8604"/>
    <cellStyle name="汇总 4 2 2 4 2" xfId="13869"/>
    <cellStyle name="汇总 4 2 2 4 2 2" xfId="16425"/>
    <cellStyle name="汇总 4 2 2 5" xfId="11596"/>
    <cellStyle name="汇总 4 2 2 5 2" xfId="19902"/>
    <cellStyle name="汇总 4 2 3" xfId="7506"/>
    <cellStyle name="汇总 4 2 3 2" xfId="6491"/>
    <cellStyle name="汇总 4 2 3 2 2" xfId="9458"/>
    <cellStyle name="汇总 4 2 3 2 2 2" xfId="12176"/>
    <cellStyle name="汇总 4 2 3 2 2 2 2" xfId="17008"/>
    <cellStyle name="汇总 4 2 3 2 3" xfId="9262"/>
    <cellStyle name="汇总 4 2 3 2 3 2" xfId="14265"/>
    <cellStyle name="汇总 4 2 3 2 3 2 2" xfId="16194"/>
    <cellStyle name="汇总 4 2 3 2 4" xfId="12040"/>
    <cellStyle name="汇总 4 2 3 2 4 2" xfId="17752"/>
    <cellStyle name="汇总 4 2 3 3" xfId="8904"/>
    <cellStyle name="汇总 4 2 3 3 2" xfId="14143"/>
    <cellStyle name="汇总 4 2 3 3 2 2" xfId="18854"/>
    <cellStyle name="汇总 4 2 3 4" xfId="11903"/>
    <cellStyle name="汇总 4 2 3 4 2" xfId="17746"/>
    <cellStyle name="汇总 4 2 4" xfId="6730"/>
    <cellStyle name="汇总 4 2 4 2" xfId="9661"/>
    <cellStyle name="汇总 4 2 4 2 2" xfId="14558"/>
    <cellStyle name="汇总 4 2 4 2 2 2" xfId="18714"/>
    <cellStyle name="汇总 4 2 4 3" xfId="12414"/>
    <cellStyle name="汇总 4 2 4 3 2" xfId="18894"/>
    <cellStyle name="汇总 4 2 5" xfId="8132"/>
    <cellStyle name="汇总 4 2 5 2" xfId="13397"/>
    <cellStyle name="汇总 4 2 5 2 2" xfId="18370"/>
    <cellStyle name="汇总 4 2 6" xfId="11015"/>
    <cellStyle name="汇总 4 2 6 2" xfId="17501"/>
    <cellStyle name="汇总 4 3" xfId="6031"/>
    <cellStyle name="汇总 4 3 2" xfId="7636"/>
    <cellStyle name="汇总 4 3 2 2" xfId="6942"/>
    <cellStyle name="汇总 4 3 2 2 2" xfId="9795"/>
    <cellStyle name="汇总 4 3 2 2 2 2" xfId="12626"/>
    <cellStyle name="汇总 4 3 2 2 2 2 2" xfId="19815"/>
    <cellStyle name="汇总 4 3 2 2 3" xfId="9402"/>
    <cellStyle name="汇总 4 3 2 2 3 2" xfId="14316"/>
    <cellStyle name="汇总 4 3 2 2 3 2 2" xfId="16158"/>
    <cellStyle name="汇总 4 3 2 2 4" xfId="12108"/>
    <cellStyle name="汇总 4 3 2 2 4 2" xfId="17062"/>
    <cellStyle name="汇总 4 3 2 3" xfId="8959"/>
    <cellStyle name="汇总 4 3 2 3 2" xfId="14198"/>
    <cellStyle name="汇总 4 3 2 3 2 2" xfId="16228"/>
    <cellStyle name="汇总 4 3 2 4" xfId="11961"/>
    <cellStyle name="汇总 4 3 2 4 2" xfId="17155"/>
    <cellStyle name="汇总 4 3 3" xfId="7054"/>
    <cellStyle name="汇总 4 3 3 2" xfId="9872"/>
    <cellStyle name="汇总 4 3 3 2 2" xfId="14746"/>
    <cellStyle name="汇总 4 3 3 2 2 2" xfId="18837"/>
    <cellStyle name="汇总 4 3 3 3" xfId="12738"/>
    <cellStyle name="汇总 4 3 3 3 2" xfId="20018"/>
    <cellStyle name="汇总 4 3 4" xfId="8520"/>
    <cellStyle name="汇总 4 3 4 2" xfId="13785"/>
    <cellStyle name="汇总 4 3 4 2 2" xfId="15507"/>
    <cellStyle name="汇总 4 3 5" xfId="11494"/>
    <cellStyle name="汇总 4 3 5 2" xfId="19266"/>
    <cellStyle name="汇总 4 4" xfId="3866"/>
    <cellStyle name="汇总 4 4 2" xfId="7378"/>
    <cellStyle name="汇总 4 4 2 2" xfId="6805"/>
    <cellStyle name="汇总 4 4 2 2 2" xfId="9700"/>
    <cellStyle name="汇总 4 4 2 2 2 2" xfId="14595"/>
    <cellStyle name="汇总 4 4 2 2 2 2 2" xfId="15388"/>
    <cellStyle name="汇总 4 4 2 2 3" xfId="12489"/>
    <cellStyle name="汇总 4 4 2 2 3 2" xfId="18385"/>
    <cellStyle name="汇总 4 4 2 3" xfId="8868"/>
    <cellStyle name="汇总 4 4 2 3 2" xfId="14107"/>
    <cellStyle name="汇总 4 4 2 3 2 2" xfId="16269"/>
    <cellStyle name="汇总 4 4 2 4" xfId="11867"/>
    <cellStyle name="汇总 4 4 2 4 2" xfId="17215"/>
    <cellStyle name="汇总 4 4 3" xfId="6480"/>
    <cellStyle name="汇总 4 4 3 2" xfId="9452"/>
    <cellStyle name="汇总 4 4 3 2 2" xfId="12165"/>
    <cellStyle name="汇总 4 4 3 2 2 2" xfId="17014"/>
    <cellStyle name="汇总 4 4 3 3" xfId="9134"/>
    <cellStyle name="汇总 4 4 3 3 2" xfId="14237"/>
    <cellStyle name="汇总 4 4 3 3 2 2" xfId="16208"/>
    <cellStyle name="汇总 4 4 3 4" xfId="12004"/>
    <cellStyle name="汇总 4 4 3 4 2" xfId="17128"/>
    <cellStyle name="汇总 4 4 4" xfId="7962"/>
    <cellStyle name="汇总 4 4 4 2" xfId="13093"/>
    <cellStyle name="汇总 4 4 4 2 2" xfId="19334"/>
    <cellStyle name="汇总 4 4 5" xfId="10825"/>
    <cellStyle name="汇总 4 4 5 2" xfId="18891"/>
    <cellStyle name="汇总 4 5" xfId="6518"/>
    <cellStyle name="汇总 4 5 2" xfId="9484"/>
    <cellStyle name="汇总 4 5 2 2" xfId="14386"/>
    <cellStyle name="汇总 4 5 2 2 2" xfId="17806"/>
    <cellStyle name="汇总 4 5 3" xfId="12203"/>
    <cellStyle name="汇总 4 5 3 2" xfId="16986"/>
    <cellStyle name="汇总 4 6" xfId="7834"/>
    <cellStyle name="汇总 4 6 2" xfId="13073"/>
    <cellStyle name="汇总 4 6 2 2" xfId="19757"/>
    <cellStyle name="汇总 4 7" xfId="10651"/>
    <cellStyle name="汇总 4 7 2" xfId="18253"/>
    <cellStyle name="汇总 5" xfId="3867"/>
    <cellStyle name="汇总 5 2" xfId="5207"/>
    <cellStyle name="汇总 5 2 2" xfId="6183"/>
    <cellStyle name="汇总 5 2 2 2" xfId="6792"/>
    <cellStyle name="汇总 5 2 2 2 2" xfId="9687"/>
    <cellStyle name="汇总 5 2 2 2 2 2" xfId="14584"/>
    <cellStyle name="汇总 5 2 2 2 2 2 2" xfId="16001"/>
    <cellStyle name="汇总 5 2 2 2 3" xfId="12476"/>
    <cellStyle name="汇总 5 2 2 2 3 2" xfId="18390"/>
    <cellStyle name="汇总 5 2 2 3" xfId="8652"/>
    <cellStyle name="汇总 5 2 2 3 2" xfId="13917"/>
    <cellStyle name="汇总 5 2 2 3 2 2" xfId="16387"/>
    <cellStyle name="汇总 5 2 2 4" xfId="11646"/>
    <cellStyle name="汇总 5 2 2 4 2" xfId="19762"/>
    <cellStyle name="汇总 5 2 3" xfId="6734"/>
    <cellStyle name="汇总 5 2 3 2" xfId="9664"/>
    <cellStyle name="汇总 5 2 3 2 2" xfId="14561"/>
    <cellStyle name="汇总 5 2 3 2 2 2" xfId="16019"/>
    <cellStyle name="汇总 5 2 3 3" xfId="12418"/>
    <cellStyle name="汇总 5 2 3 3 2" xfId="16877"/>
    <cellStyle name="汇总 5 2 4" xfId="8180"/>
    <cellStyle name="汇总 5 2 4 2" xfId="13445"/>
    <cellStyle name="汇总 5 2 4 2 2" xfId="16658"/>
    <cellStyle name="汇总 5 2 5" xfId="11065"/>
    <cellStyle name="汇总 5 2 5 2" xfId="17463"/>
    <cellStyle name="汇总 5 3" xfId="5983"/>
    <cellStyle name="汇总 5 3 2" xfId="6966"/>
    <cellStyle name="汇总 5 3 2 2" xfId="9811"/>
    <cellStyle name="汇总 5 3 2 2 2" xfId="14691"/>
    <cellStyle name="汇总 5 3 2 2 2 2" xfId="18343"/>
    <cellStyle name="汇总 5 3 2 3" xfId="12650"/>
    <cellStyle name="汇总 5 3 2 3 2" xfId="19933"/>
    <cellStyle name="汇总 5 3 3" xfId="8479"/>
    <cellStyle name="汇总 5 3 3 2" xfId="13744"/>
    <cellStyle name="汇总 5 3 3 2 2" xfId="16497"/>
    <cellStyle name="汇总 5 3 4" xfId="11446"/>
    <cellStyle name="汇总 5 3 4 2" xfId="19264"/>
    <cellStyle name="汇总 5 4" xfId="6705"/>
    <cellStyle name="汇总 5 4 2" xfId="9641"/>
    <cellStyle name="汇总 5 4 2 2" xfId="14538"/>
    <cellStyle name="汇总 5 4 2 2 2" xfId="15459"/>
    <cellStyle name="汇总 5 4 3" xfId="12389"/>
    <cellStyle name="汇总 5 4 3 2" xfId="18190"/>
    <cellStyle name="汇总 5 5" xfId="7963"/>
    <cellStyle name="汇总 5 5 2" xfId="13231"/>
    <cellStyle name="汇总 5 5 2 2" xfId="18913"/>
    <cellStyle name="汇总 5 6" xfId="10826"/>
    <cellStyle name="汇总 5 6 2" xfId="18710"/>
    <cellStyle name="汇总 6" xfId="3868"/>
    <cellStyle name="汇总 6 2" xfId="5206"/>
    <cellStyle name="汇总 6 2 2" xfId="6182"/>
    <cellStyle name="汇总 6 2 2 2" xfId="6791"/>
    <cellStyle name="汇总 6 2 2 2 2" xfId="9686"/>
    <cellStyle name="汇总 6 2 2 2 2 2" xfId="14583"/>
    <cellStyle name="汇总 6 2 2 2 2 2 2" xfId="16002"/>
    <cellStyle name="汇总 6 2 2 2 3" xfId="12475"/>
    <cellStyle name="汇总 6 2 2 2 3 2" xfId="18405"/>
    <cellStyle name="汇总 6 2 2 3" xfId="8651"/>
    <cellStyle name="汇总 6 2 2 3 2" xfId="13916"/>
    <cellStyle name="汇总 6 2 2 3 2 2" xfId="16388"/>
    <cellStyle name="汇总 6 2 2 4" xfId="11645"/>
    <cellStyle name="汇总 6 2 2 4 2" xfId="19292"/>
    <cellStyle name="汇总 6 2 3" xfId="6916"/>
    <cellStyle name="汇总 6 2 3 2" xfId="9776"/>
    <cellStyle name="汇总 6 2 3 2 2" xfId="14662"/>
    <cellStyle name="汇总 6 2 3 2 2 2" xfId="15943"/>
    <cellStyle name="汇总 6 2 3 3" xfId="12600"/>
    <cellStyle name="汇总 6 2 3 3 2" xfId="15368"/>
    <cellStyle name="汇总 6 2 4" xfId="8179"/>
    <cellStyle name="汇总 6 2 4 2" xfId="13444"/>
    <cellStyle name="汇总 6 2 4 2 2" xfId="18699"/>
    <cellStyle name="汇总 6 2 5" xfId="11064"/>
    <cellStyle name="汇总 6 2 5 2" xfId="17464"/>
    <cellStyle name="汇总 6 3" xfId="6030"/>
    <cellStyle name="汇总 6 3 2" xfId="6849"/>
    <cellStyle name="汇总 6 3 2 2" xfId="9727"/>
    <cellStyle name="汇总 6 3 2 2 2" xfId="14618"/>
    <cellStyle name="汇总 6 3 2 2 2 2" xfId="18730"/>
    <cellStyle name="汇总 6 3 2 3" xfId="12533"/>
    <cellStyle name="汇总 6 3 2 3 2" xfId="19830"/>
    <cellStyle name="汇总 6 3 3" xfId="8519"/>
    <cellStyle name="汇总 6 3 3 2" xfId="13784"/>
    <cellStyle name="汇总 6 3 3 2 2" xfId="16473"/>
    <cellStyle name="汇总 6 3 4" xfId="11493"/>
    <cellStyle name="汇总 6 3 4 2" xfId="19887"/>
    <cellStyle name="汇总 6 4" xfId="6706"/>
    <cellStyle name="汇总 6 4 2" xfId="9642"/>
    <cellStyle name="汇总 6 4 2 2" xfId="14539"/>
    <cellStyle name="汇总 6 4 2 2 2" xfId="16028"/>
    <cellStyle name="汇总 6 4 3" xfId="12390"/>
    <cellStyle name="汇总 6 4 3 2" xfId="17962"/>
    <cellStyle name="汇总 6 5" xfId="7964"/>
    <cellStyle name="汇总 6 5 2" xfId="13232"/>
    <cellStyle name="汇总 6 5 2 2" xfId="18732"/>
    <cellStyle name="汇总 6 6" xfId="10827"/>
    <cellStyle name="汇总 6 6 2" xfId="17647"/>
    <cellStyle name="汇总 7" xfId="3869"/>
    <cellStyle name="汇总 7 2" xfId="5205"/>
    <cellStyle name="汇总 7 2 2" xfId="6181"/>
    <cellStyle name="汇总 7 2 2 2" xfId="7660"/>
    <cellStyle name="汇总 7 2 2 2 2" xfId="6816"/>
    <cellStyle name="汇总 7 2 2 2 2 2" xfId="9711"/>
    <cellStyle name="汇总 7 2 2 2 2 2 2" xfId="12500"/>
    <cellStyle name="汇总 7 2 2 2 2 2 2 2" xfId="18394"/>
    <cellStyle name="汇总 7 2 2 2 2 3" xfId="9430"/>
    <cellStyle name="汇总 7 2 2 2 2 3 2" xfId="14336"/>
    <cellStyle name="汇总 7 2 2 2 2 3 2 2" xfId="18153"/>
    <cellStyle name="汇总 7 2 2 2 2 4" xfId="12136"/>
    <cellStyle name="汇总 7 2 2 2 2 4 2" xfId="17038"/>
    <cellStyle name="汇总 7 2 2 2 3" xfId="8983"/>
    <cellStyle name="汇总 7 2 2 2 3 2" xfId="14222"/>
    <cellStyle name="汇总 7 2 2 2 3 2 2" xfId="19142"/>
    <cellStyle name="汇总 7 2 2 2 4" xfId="11985"/>
    <cellStyle name="汇总 7 2 2 2 4 2" xfId="17889"/>
    <cellStyle name="汇总 7 2 2 3" xfId="6790"/>
    <cellStyle name="汇总 7 2 2 3 2" xfId="9685"/>
    <cellStyle name="汇总 7 2 2 3 2 2" xfId="14582"/>
    <cellStyle name="汇总 7 2 2 3 2 2 2" xfId="16003"/>
    <cellStyle name="汇总 7 2 2 3 3" xfId="12474"/>
    <cellStyle name="汇总 7 2 2 3 3 2" xfId="18406"/>
    <cellStyle name="汇总 7 2 2 4" xfId="8650"/>
    <cellStyle name="汇总 7 2 2 4 2" xfId="13915"/>
    <cellStyle name="汇总 7 2 2 4 2 2" xfId="16389"/>
    <cellStyle name="汇总 7 2 2 5" xfId="11644"/>
    <cellStyle name="汇总 7 2 2 5 2" xfId="19913"/>
    <cellStyle name="汇总 7 2 3" xfId="7516"/>
    <cellStyle name="汇总 7 2 3 2" xfId="6944"/>
    <cellStyle name="汇总 7 2 3 2 2" xfId="9796"/>
    <cellStyle name="汇总 7 2 3 2 2 2" xfId="12628"/>
    <cellStyle name="汇总 7 2 3 2 2 2 2" xfId="19695"/>
    <cellStyle name="汇总 7 2 3 2 3" xfId="9276"/>
    <cellStyle name="汇总 7 2 3 2 3 2" xfId="14274"/>
    <cellStyle name="汇总 7 2 3 2 3 2 2" xfId="16189"/>
    <cellStyle name="汇总 7 2 3 2 4" xfId="12054"/>
    <cellStyle name="汇总 7 2 3 2 4 2" xfId="17094"/>
    <cellStyle name="汇总 7 2 3 3" xfId="8914"/>
    <cellStyle name="汇总 7 2 3 3 2" xfId="14153"/>
    <cellStyle name="汇总 7 2 3 3 2 2" xfId="16249"/>
    <cellStyle name="汇总 7 2 3 4" xfId="11913"/>
    <cellStyle name="汇总 7 2 3 4 2" xfId="17187"/>
    <cellStyle name="汇总 7 2 4" xfId="7699"/>
    <cellStyle name="汇总 7 2 4 2" xfId="10091"/>
    <cellStyle name="汇总 7 2 4 2 2" xfId="14933"/>
    <cellStyle name="汇总 7 2 4 2 2 2" xfId="15453"/>
    <cellStyle name="汇总 7 2 4 3" xfId="12976"/>
    <cellStyle name="汇总 7 2 4 3 2" xfId="19164"/>
    <cellStyle name="汇总 7 2 5" xfId="8178"/>
    <cellStyle name="汇总 7 2 5 2" xfId="13443"/>
    <cellStyle name="汇总 7 2 5 2 2" xfId="18880"/>
    <cellStyle name="汇总 7 2 6" xfId="11063"/>
    <cellStyle name="汇总 7 2 6 2" xfId="17465"/>
    <cellStyle name="汇总 7 3" xfId="5982"/>
    <cellStyle name="汇总 7 3 2" xfId="7632"/>
    <cellStyle name="汇总 7 3 2 2" xfId="6812"/>
    <cellStyle name="汇总 7 3 2 2 2" xfId="9707"/>
    <cellStyle name="汇总 7 3 2 2 2 2" xfId="12496"/>
    <cellStyle name="汇总 7 3 2 2 2 2 2" xfId="18400"/>
    <cellStyle name="汇总 7 3 2 2 3" xfId="9397"/>
    <cellStyle name="汇总 7 3 2 2 3 2" xfId="14312"/>
    <cellStyle name="汇总 7 3 2 2 3 2 2" xfId="16167"/>
    <cellStyle name="汇总 7 3 2 2 4" xfId="12103"/>
    <cellStyle name="汇总 7 3 2 2 4 2" xfId="17067"/>
    <cellStyle name="汇总 7 3 2 3" xfId="8955"/>
    <cellStyle name="汇总 7 3 2 3 2" xfId="14194"/>
    <cellStyle name="汇总 7 3 2 3 2 2" xfId="16227"/>
    <cellStyle name="汇总 7 3 2 4" xfId="11957"/>
    <cellStyle name="汇总 7 3 2 4 2" xfId="17159"/>
    <cellStyle name="汇总 7 3 3" xfId="7032"/>
    <cellStyle name="汇总 7 3 3 2" xfId="9857"/>
    <cellStyle name="汇总 7 3 3 2 2" xfId="14732"/>
    <cellStyle name="汇总 7 3 3 2 2 2" xfId="15902"/>
    <cellStyle name="汇总 7 3 3 3" xfId="12716"/>
    <cellStyle name="汇总 7 3 3 3 2" xfId="19116"/>
    <cellStyle name="汇总 7 3 4" xfId="8478"/>
    <cellStyle name="汇总 7 3 4 2" xfId="13743"/>
    <cellStyle name="汇总 7 3 4 2 2" xfId="16498"/>
    <cellStyle name="汇总 7 3 5" xfId="11445"/>
    <cellStyle name="汇总 7 3 5 2" xfId="19885"/>
    <cellStyle name="汇总 7 4" xfId="7379"/>
    <cellStyle name="汇总 7 4 2" xfId="6954"/>
    <cellStyle name="汇总 7 4 2 2" xfId="9803"/>
    <cellStyle name="汇总 7 4 2 2 2" xfId="12638"/>
    <cellStyle name="汇总 7 4 2 2 2 2" xfId="19773"/>
    <cellStyle name="汇总 7 4 2 3" xfId="9135"/>
    <cellStyle name="汇总 7 4 2 3 2" xfId="14238"/>
    <cellStyle name="汇总 7 4 2 3 2 2" xfId="18843"/>
    <cellStyle name="汇总 7 4 2 4" xfId="12005"/>
    <cellStyle name="汇总 7 4 2 4 2" xfId="17127"/>
    <cellStyle name="汇总 7 4 3" xfId="8869"/>
    <cellStyle name="汇总 7 4 3 2" xfId="14108"/>
    <cellStyle name="汇总 7 4 3 2 2" xfId="18963"/>
    <cellStyle name="汇总 7 4 4" xfId="11868"/>
    <cellStyle name="汇总 7 4 4 2" xfId="17932"/>
    <cellStyle name="汇总 7 5" xfId="6707"/>
    <cellStyle name="汇总 7 5 2" xfId="9643"/>
    <cellStyle name="汇总 7 5 2 2" xfId="14540"/>
    <cellStyle name="汇总 7 5 2 2 2" xfId="18445"/>
    <cellStyle name="汇总 7 5 3" xfId="12391"/>
    <cellStyle name="汇总 7 5 3 2" xfId="17765"/>
    <cellStyle name="汇总 7 6" xfId="7965"/>
    <cellStyle name="汇总 7 6 2" xfId="13233"/>
    <cellStyle name="汇总 7 6 2 2" xfId="17993"/>
    <cellStyle name="汇总 7 7" xfId="10828"/>
    <cellStyle name="汇总 7 7 2" xfId="17646"/>
    <cellStyle name="汇总 8" xfId="3870"/>
    <cellStyle name="汇总 8 2" xfId="5204"/>
    <cellStyle name="汇总 8 2 2" xfId="6180"/>
    <cellStyle name="汇总 8 2 2 2" xfId="6789"/>
    <cellStyle name="汇总 8 2 2 2 2" xfId="9684"/>
    <cellStyle name="汇总 8 2 2 2 2 2" xfId="14581"/>
    <cellStyle name="汇总 8 2 2 2 2 2 2" xfId="16004"/>
    <cellStyle name="汇总 8 2 2 2 3" xfId="12473"/>
    <cellStyle name="汇总 8 2 2 2 3 2" xfId="18407"/>
    <cellStyle name="汇总 8 2 2 3" xfId="8649"/>
    <cellStyle name="汇总 8 2 2 3 2" xfId="13914"/>
    <cellStyle name="汇总 8 2 2 3 2 2" xfId="16390"/>
    <cellStyle name="汇总 8 2 2 4" xfId="11643"/>
    <cellStyle name="汇总 8 2 2 4 2" xfId="19608"/>
    <cellStyle name="汇总 8 2 3" xfId="6886"/>
    <cellStyle name="汇总 8 2 3 2" xfId="9754"/>
    <cellStyle name="汇总 8 2 3 2 2" xfId="14642"/>
    <cellStyle name="汇总 8 2 3 2 2 2" xfId="15958"/>
    <cellStyle name="汇总 8 2 3 3" xfId="12570"/>
    <cellStyle name="汇总 8 2 3 3 2" xfId="19107"/>
    <cellStyle name="汇总 8 2 4" xfId="8177"/>
    <cellStyle name="汇总 8 2 4 2" xfId="13442"/>
    <cellStyle name="汇总 8 2 4 2 2" xfId="16659"/>
    <cellStyle name="汇总 8 2 5" xfId="11062"/>
    <cellStyle name="汇总 8 2 5 2" xfId="17466"/>
    <cellStyle name="汇总 8 3" xfId="5872"/>
    <cellStyle name="汇总 8 3 2" xfId="6544"/>
    <cellStyle name="汇总 8 3 2 2" xfId="9505"/>
    <cellStyle name="汇总 8 3 2 2 2" xfId="14406"/>
    <cellStyle name="汇总 8 3 2 2 2 2" xfId="17808"/>
    <cellStyle name="汇总 8 3 2 3" xfId="12229"/>
    <cellStyle name="汇总 8 3 2 3 2" xfId="17910"/>
    <cellStyle name="汇总 8 3 3" xfId="8390"/>
    <cellStyle name="汇总 8 3 3 2" xfId="13655"/>
    <cellStyle name="汇总 8 3 3 2 2" xfId="15520"/>
    <cellStyle name="汇总 8 3 4" xfId="11335"/>
    <cellStyle name="汇总 8 3 4 2" xfId="19513"/>
    <cellStyle name="汇总 8 4" xfId="6494"/>
    <cellStyle name="汇总 8 4 2" xfId="9460"/>
    <cellStyle name="汇总 8 4 2 2" xfId="14363"/>
    <cellStyle name="汇总 8 4 2 2 2" xfId="16132"/>
    <cellStyle name="汇总 8 4 3" xfId="12179"/>
    <cellStyle name="汇总 8 4 3 2" xfId="17005"/>
    <cellStyle name="汇总 8 5" xfId="7966"/>
    <cellStyle name="汇总 8 5 2" xfId="13234"/>
    <cellStyle name="汇总 8 5 2 2" xfId="16793"/>
    <cellStyle name="汇总 8 6" xfId="10829"/>
    <cellStyle name="汇总 8 6 2" xfId="17645"/>
    <cellStyle name="汇总 9" xfId="3871"/>
    <cellStyle name="汇总 9 2" xfId="5164"/>
    <cellStyle name="汇总 9 2 2" xfId="6140"/>
    <cellStyle name="汇总 9 2 2 2" xfId="6461"/>
    <cellStyle name="汇总 9 2 2 2 2" xfId="9439"/>
    <cellStyle name="汇总 9 2 2 2 2 2" xfId="14344"/>
    <cellStyle name="汇总 9 2 2 2 2 2 2" xfId="18464"/>
    <cellStyle name="汇总 9 2 2 2 3" xfId="12146"/>
    <cellStyle name="汇总 9 2 2 2 3 2" xfId="17028"/>
    <cellStyle name="汇总 9 2 2 3" xfId="8611"/>
    <cellStyle name="汇总 9 2 2 3 2" xfId="13876"/>
    <cellStyle name="汇总 9 2 2 3 2 2" xfId="16418"/>
    <cellStyle name="汇总 9 2 2 4" xfId="11603"/>
    <cellStyle name="汇总 9 2 2 4 2" xfId="19514"/>
    <cellStyle name="汇总 9 2 3" xfId="6885"/>
    <cellStyle name="汇总 9 2 3 2" xfId="9753"/>
    <cellStyle name="汇总 9 2 3 2 2" xfId="14641"/>
    <cellStyle name="汇总 9 2 3 2 2 2" xfId="15959"/>
    <cellStyle name="汇总 9 2 3 3" xfId="12569"/>
    <cellStyle name="汇总 9 2 3 3 2" xfId="19437"/>
    <cellStyle name="汇总 9 2 4" xfId="8139"/>
    <cellStyle name="汇总 9 2 4 2" xfId="13404"/>
    <cellStyle name="汇总 9 2 4 2 2" xfId="16680"/>
    <cellStyle name="汇总 9 2 5" xfId="11022"/>
    <cellStyle name="汇总 9 2 5 2" xfId="17494"/>
    <cellStyle name="汇总 9 3" xfId="5938"/>
    <cellStyle name="汇总 9 3 2" xfId="6977"/>
    <cellStyle name="汇总 9 3 2 2" xfId="9819"/>
    <cellStyle name="汇总 9 3 2 2 2" xfId="14699"/>
    <cellStyle name="汇总 9 3 2 2 2 2" xfId="15919"/>
    <cellStyle name="汇总 9 3 2 3" xfId="12661"/>
    <cellStyle name="汇总 9 3 2 3 2" xfId="19856"/>
    <cellStyle name="汇总 9 3 3" xfId="8440"/>
    <cellStyle name="汇总 9 3 3 2" xfId="13705"/>
    <cellStyle name="汇总 9 3 3 2 2" xfId="16521"/>
    <cellStyle name="汇总 9 3 4" xfId="11401"/>
    <cellStyle name="汇总 9 3 4 2" xfId="19627"/>
    <cellStyle name="汇总 9 4" xfId="6495"/>
    <cellStyle name="汇总 9 4 2" xfId="9461"/>
    <cellStyle name="汇总 9 4 2 2" xfId="14364"/>
    <cellStyle name="汇总 9 4 2 2 2" xfId="18462"/>
    <cellStyle name="汇总 9 4 3" xfId="12180"/>
    <cellStyle name="汇总 9 4 3 2" xfId="17004"/>
    <cellStyle name="汇总 9 5" xfId="7967"/>
    <cellStyle name="汇总 9 5 2" xfId="13235"/>
    <cellStyle name="汇总 9 5 2 2" xfId="16792"/>
    <cellStyle name="汇总 9 6" xfId="10830"/>
    <cellStyle name="汇总 9 6 2" xfId="17644"/>
    <cellStyle name="注释" xfId="110"/>
    <cellStyle name="注释 10" xfId="3873"/>
    <cellStyle name="注释 10 2" xfId="5202"/>
    <cellStyle name="注释 10 2 2" xfId="6178"/>
    <cellStyle name="注释 10 2 2 2" xfId="8647"/>
    <cellStyle name="注释 10 2 2 2 2" xfId="13912"/>
    <cellStyle name="注释 10 2 2 2 2 2" xfId="16392"/>
    <cellStyle name="注释 10 2 2 3" xfId="11641"/>
    <cellStyle name="注释 10 2 2 3 2" xfId="19375"/>
    <cellStyle name="注释 10 2 3" xfId="8175"/>
    <cellStyle name="注释 10 2 3 2" xfId="13440"/>
    <cellStyle name="注释 10 2 3 2 2" xfId="16661"/>
    <cellStyle name="注释 10 2 4" xfId="11060"/>
    <cellStyle name="注释 10 2 4 2" xfId="17468"/>
    <cellStyle name="注释 10 3" xfId="6063"/>
    <cellStyle name="注释 10 3 2" xfId="8546"/>
    <cellStyle name="注释 10 3 2 2" xfId="13811"/>
    <cellStyle name="注释 10 3 2 2 2" xfId="16459"/>
    <cellStyle name="注释 10 3 3" xfId="11526"/>
    <cellStyle name="注释 10 3 3 2" xfId="19224"/>
    <cellStyle name="注释 10 4" xfId="7969"/>
    <cellStyle name="注释 10 4 2" xfId="13237"/>
    <cellStyle name="注释 10 4 2 2" xfId="16790"/>
    <cellStyle name="注释 10 5" xfId="10832"/>
    <cellStyle name="注释 10 5 2" xfId="17642"/>
    <cellStyle name="注释 11" xfId="3874"/>
    <cellStyle name="注释 11 2" xfId="3875"/>
    <cellStyle name="注释 11 2 2" xfId="5098"/>
    <cellStyle name="注释 11 2 2 2" xfId="6074"/>
    <cellStyle name="注释 11 2 2 2 2" xfId="7641"/>
    <cellStyle name="注释 11 2 2 2 2 2" xfId="9407"/>
    <cellStyle name="注释 11 2 2 2 2 2 2" xfId="12113"/>
    <cellStyle name="注释 11 2 2 2 2 2 2 2" xfId="17057"/>
    <cellStyle name="注释 11 2 2 2 2 3" xfId="8964"/>
    <cellStyle name="注释 11 2 2 2 2 3 2" xfId="14203"/>
    <cellStyle name="注释 11 2 2 2 2 3 2 2" xfId="16225"/>
    <cellStyle name="注释 11 2 2 2 2 4" xfId="11966"/>
    <cellStyle name="注释 11 2 2 2 2 4 2" xfId="17151"/>
    <cellStyle name="注释 11 2 2 2 3" xfId="8557"/>
    <cellStyle name="注释 11 2 2 2 3 2" xfId="13822"/>
    <cellStyle name="注释 11 2 2 2 3 2 2" xfId="15499"/>
    <cellStyle name="注释 11 2 2 2 4" xfId="11537"/>
    <cellStyle name="注释 11 2 2 2 4 2" xfId="20053"/>
    <cellStyle name="注释 11 2 2 3" xfId="7497"/>
    <cellStyle name="注释 11 2 2 3 2" xfId="9253"/>
    <cellStyle name="注释 11 2 2 3 2 2" xfId="12031"/>
    <cellStyle name="注释 11 2 2 3 2 2 2" xfId="17109"/>
    <cellStyle name="注释 11 2 2 3 3" xfId="8895"/>
    <cellStyle name="注释 11 2 2 3 3 2" xfId="14134"/>
    <cellStyle name="注释 11 2 2 3 3 2 2" xfId="16257"/>
    <cellStyle name="注释 11 2 2 3 4" xfId="11894"/>
    <cellStyle name="注释 11 2 2 3 4 2" xfId="17198"/>
    <cellStyle name="注释 11 2 2 4" xfId="8085"/>
    <cellStyle name="注释 11 2 2 4 2" xfId="13350"/>
    <cellStyle name="注释 11 2 2 4 2 2" xfId="16710"/>
    <cellStyle name="注释 11 2 2 5" xfId="10956"/>
    <cellStyle name="注释 11 2 2 5 2" xfId="17544"/>
    <cellStyle name="注释 11 2 3" xfId="5848"/>
    <cellStyle name="注释 11 2 3 2" xfId="7614"/>
    <cellStyle name="注释 11 2 3 2 2" xfId="9375"/>
    <cellStyle name="注释 11 2 3 2 2 2" xfId="12081"/>
    <cellStyle name="注释 11 2 3 2 2 2 2" xfId="17968"/>
    <cellStyle name="注释 11 2 3 2 3" xfId="8938"/>
    <cellStyle name="注释 11 2 3 2 3 2" xfId="14177"/>
    <cellStyle name="注释 11 2 3 2 3 2 2" xfId="18850"/>
    <cellStyle name="注释 11 2 3 2 4" xfId="11939"/>
    <cellStyle name="注释 11 2 3 2 4 2" xfId="17170"/>
    <cellStyle name="注释 11 2 3 3" xfId="8370"/>
    <cellStyle name="注释 11 2 3 3 2" xfId="13635"/>
    <cellStyle name="注释 11 2 3 3 2 2" xfId="16562"/>
    <cellStyle name="注释 11 2 3 4" xfId="11311"/>
    <cellStyle name="注释 11 2 3 4 2" xfId="17277"/>
    <cellStyle name="注释 11 2 4" xfId="7380"/>
    <cellStyle name="注释 11 2 4 2" xfId="9136"/>
    <cellStyle name="注释 11 2 4 2 2" xfId="12006"/>
    <cellStyle name="注释 11 2 4 2 2 2" xfId="17126"/>
    <cellStyle name="注释 11 2 4 3" xfId="8870"/>
    <cellStyle name="注释 11 2 4 3 2" xfId="14109"/>
    <cellStyle name="注释 11 2 4 3 2 2" xfId="18782"/>
    <cellStyle name="注释 11 2 4 4" xfId="11869"/>
    <cellStyle name="注释 11 2 4 4 2" xfId="17214"/>
    <cellStyle name="注释 11 2 5" xfId="7971"/>
    <cellStyle name="注释 11 2 5 2" xfId="13239"/>
    <cellStyle name="注释 11 2 5 2 2" xfId="16788"/>
    <cellStyle name="注释 11 2 6" xfId="10834"/>
    <cellStyle name="注释 11 2 6 2" xfId="17640"/>
    <cellStyle name="注释 11 3" xfId="5099"/>
    <cellStyle name="注释 11 3 2" xfId="6075"/>
    <cellStyle name="注释 11 3 2 2" xfId="8558"/>
    <cellStyle name="注释 11 3 2 2 2" xfId="13823"/>
    <cellStyle name="注释 11 3 2 2 2 2" xfId="16446"/>
    <cellStyle name="注释 11 3 2 3" xfId="11538"/>
    <cellStyle name="注释 11 3 2 3 2" xfId="19432"/>
    <cellStyle name="注释 11 3 3" xfId="8086"/>
    <cellStyle name="注释 11 3 3 2" xfId="13351"/>
    <cellStyle name="注释 11 3 3 2 2" xfId="16709"/>
    <cellStyle name="注释 11 3 4" xfId="10957"/>
    <cellStyle name="注释 11 3 4 2" xfId="17543"/>
    <cellStyle name="注释 11 4" xfId="5849"/>
    <cellStyle name="注释 11 4 2" xfId="8371"/>
    <cellStyle name="注释 11 4 2 2" xfId="13636"/>
    <cellStyle name="注释 11 4 2 2 2" xfId="16561"/>
    <cellStyle name="注释 11 4 3" xfId="11312"/>
    <cellStyle name="注释 11 4 3 2" xfId="19153"/>
    <cellStyle name="注释 11 5" xfId="7970"/>
    <cellStyle name="注释 11 5 2" xfId="13238"/>
    <cellStyle name="注释 11 5 2 2" xfId="16789"/>
    <cellStyle name="注释 11 6" xfId="10833"/>
    <cellStyle name="注释 11 6 2" xfId="17641"/>
    <cellStyle name="注释 12" xfId="3876"/>
    <cellStyle name="注释 12 2" xfId="5097"/>
    <cellStyle name="注释 12 2 2" xfId="6073"/>
    <cellStyle name="注释 12 2 2 2" xfId="7640"/>
    <cellStyle name="注释 12 2 2 2 2" xfId="9406"/>
    <cellStyle name="注释 12 2 2 2 2 2" xfId="12112"/>
    <cellStyle name="注释 12 2 2 2 2 2 2" xfId="17058"/>
    <cellStyle name="注释 12 2 2 2 3" xfId="8963"/>
    <cellStyle name="注释 12 2 2 2 3 2" xfId="14202"/>
    <cellStyle name="注释 12 2 2 2 3 2 2" xfId="18667"/>
    <cellStyle name="注释 12 2 2 2 4" xfId="11965"/>
    <cellStyle name="注释 12 2 2 2 4 2" xfId="17853"/>
    <cellStyle name="注释 12 2 2 3" xfId="8556"/>
    <cellStyle name="注释 12 2 2 3 2" xfId="13821"/>
    <cellStyle name="注释 12 2 2 3 2 2" xfId="16453"/>
    <cellStyle name="注释 12 2 2 4" xfId="11536"/>
    <cellStyle name="注释 12 2 2 4 2" xfId="19751"/>
    <cellStyle name="注释 12 2 3" xfId="7496"/>
    <cellStyle name="注释 12 2 3 2" xfId="9252"/>
    <cellStyle name="注释 12 2 3 2 2" xfId="12030"/>
    <cellStyle name="注释 12 2 3 2 2 2" xfId="17971"/>
    <cellStyle name="注释 12 2 3 3" xfId="8894"/>
    <cellStyle name="注释 12 2 3 3 2" xfId="14133"/>
    <cellStyle name="注释 12 2 3 3 2 2" xfId="16258"/>
    <cellStyle name="注释 12 2 3 4" xfId="11893"/>
    <cellStyle name="注释 12 2 3 4 2" xfId="17945"/>
    <cellStyle name="注释 12 2 4" xfId="8084"/>
    <cellStyle name="注释 12 2 4 2" xfId="13349"/>
    <cellStyle name="注释 12 2 4 2 2" xfId="18708"/>
    <cellStyle name="注释 12 2 5" xfId="10955"/>
    <cellStyle name="注释 12 2 5 2" xfId="17545"/>
    <cellStyle name="注释 12 3" xfId="5813"/>
    <cellStyle name="注释 12 3 2" xfId="7611"/>
    <cellStyle name="注释 12 3 2 2" xfId="9372"/>
    <cellStyle name="注释 12 3 2 2 2" xfId="12078"/>
    <cellStyle name="注释 12 3 2 2 2 2" xfId="17079"/>
    <cellStyle name="注释 12 3 2 3" xfId="8935"/>
    <cellStyle name="注释 12 3 2 3 2" xfId="14174"/>
    <cellStyle name="注释 12 3 2 3 2 2" xfId="16239"/>
    <cellStyle name="注释 12 3 2 4" xfId="11936"/>
    <cellStyle name="注释 12 3 2 4 2" xfId="17172"/>
    <cellStyle name="注释 12 3 3" xfId="8349"/>
    <cellStyle name="注释 12 3 3 2" xfId="13614"/>
    <cellStyle name="注释 12 3 3 2 2" xfId="16575"/>
    <cellStyle name="注释 12 3 4" xfId="11276"/>
    <cellStyle name="注释 12 3 4 2" xfId="18316"/>
    <cellStyle name="注释 12 4" xfId="7381"/>
    <cellStyle name="注释 12 4 2" xfId="9137"/>
    <cellStyle name="注释 12 4 2 2" xfId="12007"/>
    <cellStyle name="注释 12 4 2 2 2" xfId="17125"/>
    <cellStyle name="注释 12 4 3" xfId="8871"/>
    <cellStyle name="注释 12 4 3 2" xfId="14110"/>
    <cellStyle name="注释 12 4 3 2 2" xfId="18350"/>
    <cellStyle name="注释 12 4 4" xfId="11870"/>
    <cellStyle name="注释 12 4 4 2" xfId="17880"/>
    <cellStyle name="注释 12 5" xfId="7972"/>
    <cellStyle name="注释 12 5 2" xfId="13240"/>
    <cellStyle name="注释 12 5 2 2" xfId="16787"/>
    <cellStyle name="注释 12 6" xfId="10835"/>
    <cellStyle name="注释 12 6 2" xfId="17639"/>
    <cellStyle name="注释 13" xfId="5203"/>
    <cellStyle name="注释 13 2" xfId="6179"/>
    <cellStyle name="注释 13 2 2" xfId="7659"/>
    <cellStyle name="注释 13 2 2 2" xfId="9429"/>
    <cellStyle name="注释 13 2 2 2 2" xfId="12135"/>
    <cellStyle name="注释 13 2 2 2 2 2" xfId="17039"/>
    <cellStyle name="注释 13 2 2 3" xfId="8982"/>
    <cellStyle name="注释 13 2 2 3 2" xfId="14221"/>
    <cellStyle name="注释 13 2 2 3 2 2" xfId="16215"/>
    <cellStyle name="注释 13 2 2 4" xfId="11984"/>
    <cellStyle name="注释 13 2 2 4 2" xfId="18205"/>
    <cellStyle name="注释 13 2 3" xfId="8648"/>
    <cellStyle name="注释 13 2 3 2" xfId="13913"/>
    <cellStyle name="注释 13 2 3 2 2" xfId="16391"/>
    <cellStyle name="注释 13 2 4" xfId="11642"/>
    <cellStyle name="注释 13 2 4 2" xfId="19045"/>
    <cellStyle name="注释 13 3" xfId="7515"/>
    <cellStyle name="注释 13 3 2" xfId="9275"/>
    <cellStyle name="注释 13 3 2 2" xfId="12053"/>
    <cellStyle name="注释 13 3 2 2 2" xfId="17095"/>
    <cellStyle name="注释 13 3 3" xfId="8913"/>
    <cellStyle name="注释 13 3 3 2" xfId="14152"/>
    <cellStyle name="注释 13 3 3 2 2" xfId="18671"/>
    <cellStyle name="注释 13 3 4" xfId="11912"/>
    <cellStyle name="注释 13 3 4 2" xfId="17188"/>
    <cellStyle name="注释 13 4" xfId="8176"/>
    <cellStyle name="注释 13 4 2" xfId="13441"/>
    <cellStyle name="注释 13 4 2 2" xfId="16660"/>
    <cellStyle name="注释 13 5" xfId="11061"/>
    <cellStyle name="注释 13 5 2" xfId="17467"/>
    <cellStyle name="注释 14" xfId="5532"/>
    <cellStyle name="注释 14 2" xfId="8317"/>
    <cellStyle name="注释 14 2 2" xfId="13582"/>
    <cellStyle name="注释 14 2 2 2" xfId="18500"/>
    <cellStyle name="注释 14 3" xfId="11243"/>
    <cellStyle name="注释 14 3 2" xfId="19466"/>
    <cellStyle name="注释 15" xfId="5976"/>
    <cellStyle name="注释 15 2" xfId="7631"/>
    <cellStyle name="注释 15 2 2" xfId="9395"/>
    <cellStyle name="注释 15 2 2 2" xfId="12101"/>
    <cellStyle name="注释 15 2 2 2 2" xfId="18098"/>
    <cellStyle name="注释 15 2 3" xfId="8954"/>
    <cellStyle name="注释 15 2 3 2" xfId="14193"/>
    <cellStyle name="注释 15 2 3 2 2" xfId="19143"/>
    <cellStyle name="注释 15 2 4" xfId="11956"/>
    <cellStyle name="注释 15 2 4 2" xfId="17160"/>
    <cellStyle name="注释 15 3" xfId="8472"/>
    <cellStyle name="注释 15 3 2" xfId="13737"/>
    <cellStyle name="注释 15 3 2 2" xfId="18485"/>
    <cellStyle name="注释 15 4" xfId="11439"/>
    <cellStyle name="注释 15 4 2" xfId="19190"/>
    <cellStyle name="注释 16" xfId="3872"/>
    <cellStyle name="注释 16 2" xfId="7968"/>
    <cellStyle name="注释 16 2 2" xfId="13236"/>
    <cellStyle name="注释 16 2 2 2" xfId="16791"/>
    <cellStyle name="注释 16 3" xfId="10831"/>
    <cellStyle name="注释 16 3 2" xfId="17643"/>
    <cellStyle name="注释 17" xfId="7815"/>
    <cellStyle name="注释 17 2" xfId="13054"/>
    <cellStyle name="注释 17 2 2" xfId="16833"/>
    <cellStyle name="注释 18" xfId="10632"/>
    <cellStyle name="注释 18 2" xfId="19855"/>
    <cellStyle name="注释 2" xfId="384"/>
    <cellStyle name="注释 2 10" xfId="10637"/>
    <cellStyle name="注释 2 10 2" xfId="19509"/>
    <cellStyle name="注释 2 2" xfId="394"/>
    <cellStyle name="注释 2 2 2" xfId="416"/>
    <cellStyle name="注释 2 2 2 2" xfId="5399"/>
    <cellStyle name="注释 2 2 2 2 2" xfId="8306"/>
    <cellStyle name="注释 2 2 2 2 2 2" xfId="13571"/>
    <cellStyle name="注释 2 2 2 2 2 2 2" xfId="16597"/>
    <cellStyle name="注释 2 2 2 2 3" xfId="11231"/>
    <cellStyle name="注释 2 2 2 2 3 2" xfId="17330"/>
    <cellStyle name="注释 2 2 2 3" xfId="5789"/>
    <cellStyle name="注释 2 2 2 3 2" xfId="8326"/>
    <cellStyle name="注释 2 2 2 3 2 2" xfId="13591"/>
    <cellStyle name="注释 2 2 2 3 2 2 2" xfId="18499"/>
    <cellStyle name="注释 2 2 2 3 3" xfId="11252"/>
    <cellStyle name="注释 2 2 2 3 3 2" xfId="17314"/>
    <cellStyle name="注释 2 2 2 4" xfId="5074"/>
    <cellStyle name="注释 2 2 2 4 2" xfId="8078"/>
    <cellStyle name="注释 2 2 2 4 2 2" xfId="13343"/>
    <cellStyle name="注释 2 2 2 4 2 2 2" xfId="18986"/>
    <cellStyle name="注释 2 2 2 4 3" xfId="10949"/>
    <cellStyle name="注释 2 2 2 4 3 2" xfId="17547"/>
    <cellStyle name="注释 2 2 2 5" xfId="7850"/>
    <cellStyle name="注释 2 2 2 5 2" xfId="13089"/>
    <cellStyle name="注释 2 2 2 5 2 2" xfId="19780"/>
    <cellStyle name="注释 2 2 2 6" xfId="10667"/>
    <cellStyle name="注释 2 2 2 6 2" xfId="19291"/>
    <cellStyle name="注释 2 2 3" xfId="5200"/>
    <cellStyle name="注释 2 2 3 2" xfId="6176"/>
    <cellStyle name="注释 2 2 3 2 2" xfId="8645"/>
    <cellStyle name="注释 2 2 3 2 2 2" xfId="13910"/>
    <cellStyle name="注释 2 2 3 2 2 2 2" xfId="16394"/>
    <cellStyle name="注释 2 2 3 2 3" xfId="11639"/>
    <cellStyle name="注释 2 2 3 2 3 2" xfId="19694"/>
    <cellStyle name="注释 2 2 3 3" xfId="8173"/>
    <cellStyle name="注释 2 2 3 3 2" xfId="13438"/>
    <cellStyle name="注释 2 2 3 3 2 2" xfId="18881"/>
    <cellStyle name="注释 2 2 3 4" xfId="11058"/>
    <cellStyle name="注释 2 2 3 4 2" xfId="17470"/>
    <cellStyle name="注释 2 2 4" xfId="5980"/>
    <cellStyle name="注释 2 2 4 2" xfId="8476"/>
    <cellStyle name="注释 2 2 4 2 2" xfId="13741"/>
    <cellStyle name="注释 2 2 4 2 2 2" xfId="16500"/>
    <cellStyle name="注释 2 2 4 3" xfId="11443"/>
    <cellStyle name="注释 2 2 4 3 2" xfId="18991"/>
    <cellStyle name="注释 2 2 5" xfId="3878"/>
    <cellStyle name="注释 2 2 5 2" xfId="7974"/>
    <cellStyle name="注释 2 2 5 2 2" xfId="13242"/>
    <cellStyle name="注释 2 2 5 2 2 2" xfId="16785"/>
    <cellStyle name="注释 2 2 5 3" xfId="10837"/>
    <cellStyle name="注释 2 2 5 3 2" xfId="19134"/>
    <cellStyle name="注释 2 2 6" xfId="7828"/>
    <cellStyle name="注释 2 2 6 2" xfId="13067"/>
    <cellStyle name="注释 2 2 6 2 2" xfId="19362"/>
    <cellStyle name="注释 2 2 7" xfId="10645"/>
    <cellStyle name="注释 2 2 7 2" xfId="19821"/>
    <cellStyle name="注释 2 3" xfId="406"/>
    <cellStyle name="注释 2 3 2" xfId="5199"/>
    <cellStyle name="注释 2 3 2 2" xfId="6175"/>
    <cellStyle name="注释 2 3 2 2 2" xfId="8644"/>
    <cellStyle name="注释 2 3 2 2 2 2" xfId="13909"/>
    <cellStyle name="注释 2 3 2 2 2 2 2" xfId="16395"/>
    <cellStyle name="注释 2 3 2 2 3" xfId="11638"/>
    <cellStyle name="注释 2 3 2 2 3 2" xfId="19206"/>
    <cellStyle name="注释 2 3 2 3" xfId="8172"/>
    <cellStyle name="注释 2 3 2 3 2" xfId="13437"/>
    <cellStyle name="注释 2 3 2 3 2 2" xfId="16662"/>
    <cellStyle name="注释 2 3 2 4" xfId="11057"/>
    <cellStyle name="注释 2 3 2 4 2" xfId="17471"/>
    <cellStyle name="注释 2 3 3" xfId="6028"/>
    <cellStyle name="注释 2 3 3 2" xfId="8517"/>
    <cellStyle name="注释 2 3 3 2 2" xfId="13782"/>
    <cellStyle name="注释 2 3 3 2 2 2" xfId="16475"/>
    <cellStyle name="注释 2 3 3 3" xfId="11491"/>
    <cellStyle name="注释 2 3 3 3 2" xfId="19025"/>
    <cellStyle name="注释 2 3 4" xfId="3879"/>
    <cellStyle name="注释 2 3 4 2" xfId="7975"/>
    <cellStyle name="注释 2 3 4 2 2" xfId="13243"/>
    <cellStyle name="注释 2 3 4 2 2 2" xfId="16784"/>
    <cellStyle name="注释 2 3 4 3" xfId="10838"/>
    <cellStyle name="注释 2 3 4 3 2" xfId="18817"/>
    <cellStyle name="注释 2 3 5" xfId="7840"/>
    <cellStyle name="注释 2 3 5 2" xfId="13079"/>
    <cellStyle name="注释 2 3 5 2 2" xfId="19301"/>
    <cellStyle name="注释 2 3 6" xfId="10657"/>
    <cellStyle name="注释 2 3 6 2" xfId="17738"/>
    <cellStyle name="注释 2 4" xfId="3880"/>
    <cellStyle name="注释 2 4 2" xfId="5096"/>
    <cellStyle name="注释 2 4 2 2" xfId="6072"/>
    <cellStyle name="注释 2 4 2 2 2" xfId="8555"/>
    <cellStyle name="注释 2 4 2 2 2 2" xfId="13820"/>
    <cellStyle name="注释 2 4 2 2 2 2 2" xfId="16454"/>
    <cellStyle name="注释 2 4 2 2 3" xfId="11535"/>
    <cellStyle name="注释 2 4 2 2 3 2" xfId="19186"/>
    <cellStyle name="注释 2 4 2 3" xfId="8083"/>
    <cellStyle name="注释 2 4 2 3 2" xfId="13348"/>
    <cellStyle name="注释 2 4 2 3 2 2" xfId="18889"/>
    <cellStyle name="注释 2 4 2 4" xfId="10954"/>
    <cellStyle name="注释 2 4 2 4 2" xfId="17546"/>
    <cellStyle name="注释 2 4 3" xfId="5937"/>
    <cellStyle name="注释 2 4 3 2" xfId="8439"/>
    <cellStyle name="注释 2 4 3 2 2" xfId="13704"/>
    <cellStyle name="注释 2 4 3 2 2 2" xfId="16522"/>
    <cellStyle name="注释 2 4 3 3" xfId="11400"/>
    <cellStyle name="注释 2 4 3 3 2" xfId="19016"/>
    <cellStyle name="注释 2 4 4" xfId="7976"/>
    <cellStyle name="注释 2 4 4 2" xfId="13244"/>
    <cellStyle name="注释 2 4 4 2 2" xfId="16783"/>
    <cellStyle name="注释 2 4 5" xfId="10839"/>
    <cellStyle name="注释 2 4 5 2" xfId="17636"/>
    <cellStyle name="注释 2 5" xfId="5073"/>
    <cellStyle name="注释 2 5 2" xfId="5398"/>
    <cellStyle name="注释 2 5 2 2" xfId="7526"/>
    <cellStyle name="注释 2 5 2 2 2" xfId="9287"/>
    <cellStyle name="注释 2 5 2 2 2 2" xfId="12065"/>
    <cellStyle name="注释 2 5 2 2 2 2 2" xfId="17908"/>
    <cellStyle name="注释 2 5 2 2 3" xfId="8923"/>
    <cellStyle name="注释 2 5 2 2 3 2" xfId="14162"/>
    <cellStyle name="注释 2 5 2 2 3 2 2" xfId="16244"/>
    <cellStyle name="注释 2 5 2 2 4" xfId="11923"/>
    <cellStyle name="注释 2 5 2 2 4 2" xfId="17177"/>
    <cellStyle name="注释 2 5 2 3" xfId="8305"/>
    <cellStyle name="注释 2 5 2 3 2" xfId="13570"/>
    <cellStyle name="注释 2 5 2 3 2 2" xfId="16598"/>
    <cellStyle name="注释 2 5 2 4" xfId="11230"/>
    <cellStyle name="注释 2 5 2 4 2" xfId="17331"/>
    <cellStyle name="注释 2 5 3" xfId="5825"/>
    <cellStyle name="注释 2 5 3 2" xfId="7612"/>
    <cellStyle name="注释 2 5 3 2 2" xfId="9373"/>
    <cellStyle name="注释 2 5 3 2 2 2" xfId="12079"/>
    <cellStyle name="注释 2 5 3 2 2 2 2" xfId="18513"/>
    <cellStyle name="注释 2 5 3 2 3" xfId="8936"/>
    <cellStyle name="注释 2 5 3 2 3 2" xfId="14175"/>
    <cellStyle name="注释 2 5 3 2 3 2 2" xfId="16238"/>
    <cellStyle name="注释 2 5 3 2 4" xfId="11937"/>
    <cellStyle name="注释 2 5 3 2 4 2" xfId="17886"/>
    <cellStyle name="注释 2 5 3 3" xfId="8360"/>
    <cellStyle name="注释 2 5 3 3 2" xfId="13625"/>
    <cellStyle name="注释 2 5 3 3 2 2" xfId="16568"/>
    <cellStyle name="注释 2 5 3 4" xfId="11288"/>
    <cellStyle name="注释 2 5 3 4 2" xfId="17294"/>
    <cellStyle name="注释 2 5 4" xfId="7482"/>
    <cellStyle name="注释 2 5 4 2" xfId="9238"/>
    <cellStyle name="注释 2 5 4 2 2" xfId="12028"/>
    <cellStyle name="注释 2 5 4 2 2 2" xfId="17751"/>
    <cellStyle name="注释 2 5 4 3" xfId="8892"/>
    <cellStyle name="注释 2 5 4 3 2" xfId="14131"/>
    <cellStyle name="注释 2 5 4 3 2 2" xfId="16259"/>
    <cellStyle name="注释 2 5 4 4" xfId="11891"/>
    <cellStyle name="注释 2 5 4 4 2" xfId="17745"/>
    <cellStyle name="注释 2 5 5" xfId="8077"/>
    <cellStyle name="注释 2 5 5 2" xfId="13342"/>
    <cellStyle name="注释 2 5 5 2 2" xfId="16712"/>
    <cellStyle name="注释 2 5 6" xfId="10948"/>
    <cellStyle name="注释 2 5 6 2" xfId="17548"/>
    <cellStyle name="注释 2 6" xfId="5201"/>
    <cellStyle name="注释 2 6 2" xfId="6177"/>
    <cellStyle name="注释 2 6 2 2" xfId="9005"/>
    <cellStyle name="注释 2 6 2 2 2" xfId="11996"/>
    <cellStyle name="注释 2 6 2 2 2 2" xfId="19631"/>
    <cellStyle name="注释 2 6 2 2 2 2 2" xfId="17136"/>
    <cellStyle name="注释 2 6 2 2 2 3" xfId="19471"/>
    <cellStyle name="注释 2 6 2 2 2 4" xfId="19878"/>
    <cellStyle name="注释 2 6 2 3" xfId="9428"/>
    <cellStyle name="注释 2 6 2 3 2" xfId="12134"/>
    <cellStyle name="注释 2 6 2 3 2 2" xfId="17040"/>
    <cellStyle name="注释 2 6 2 4" xfId="8646"/>
    <cellStyle name="注释 2 6 2 4 2" xfId="13911"/>
    <cellStyle name="注释 2 6 2 4 2 2" xfId="16393"/>
    <cellStyle name="注释 2 6 2 5" xfId="11640"/>
    <cellStyle name="注释 2 6 2 5 2" xfId="19996"/>
    <cellStyle name="注释 2 6 3" xfId="9003"/>
    <cellStyle name="注释 2 6 3 2" xfId="11994"/>
    <cellStyle name="注释 2 6 3 2 2" xfId="19630"/>
    <cellStyle name="注释 2 6 3 2 2 2" xfId="17138"/>
    <cellStyle name="注释 2 6 3 2 3" xfId="19469"/>
    <cellStyle name="注释 2 6 3 2 4" xfId="19194"/>
    <cellStyle name="注释 2 6 4" xfId="9274"/>
    <cellStyle name="注释 2 6 4 2" xfId="12052"/>
    <cellStyle name="注释 2 6 4 2 2" xfId="17096"/>
    <cellStyle name="注释 2 6 5" xfId="8174"/>
    <cellStyle name="注释 2 6 5 2" xfId="13439"/>
    <cellStyle name="注释 2 6 5 2 2" xfId="18700"/>
    <cellStyle name="注释 2 6 6" xfId="11059"/>
    <cellStyle name="注释 2 6 6 2" xfId="17469"/>
    <cellStyle name="注释 2 7" xfId="5999"/>
    <cellStyle name="注释 2 7 2" xfId="9009"/>
    <cellStyle name="注释 2 7 2 2" xfId="12000"/>
    <cellStyle name="注释 2 7 2 2 2" xfId="19632"/>
    <cellStyle name="注释 2 7 2 2 2 2" xfId="17132"/>
    <cellStyle name="注释 2 7 2 2 3" xfId="19470"/>
    <cellStyle name="注释 2 7 2 2 4" xfId="19573"/>
    <cellStyle name="注释 2 7 3" xfId="9398"/>
    <cellStyle name="注释 2 7 3 2" xfId="12104"/>
    <cellStyle name="注释 2 7 3 2 2" xfId="17066"/>
    <cellStyle name="注释 2 7 4" xfId="8494"/>
    <cellStyle name="注释 2 7 4 2" xfId="13759"/>
    <cellStyle name="注释 2 7 4 2 2" xfId="17784"/>
    <cellStyle name="注释 2 7 5" xfId="11462"/>
    <cellStyle name="注释 2 7 5 2" xfId="19810"/>
    <cellStyle name="注释 2 8" xfId="3877"/>
    <cellStyle name="注释 2 8 2" xfId="7973"/>
    <cellStyle name="注释 2 8 2 2" xfId="13241"/>
    <cellStyle name="注释 2 8 2 2 2" xfId="16786"/>
    <cellStyle name="注释 2 8 3" xfId="10836"/>
    <cellStyle name="注释 2 8 3 2" xfId="17638"/>
    <cellStyle name="注释 2 9" xfId="7820"/>
    <cellStyle name="注释 2 9 2" xfId="13059"/>
    <cellStyle name="注释 2 9 2 2" xfId="19971"/>
    <cellStyle name="注释 3" xfId="389"/>
    <cellStyle name="注释 3 2" xfId="411"/>
    <cellStyle name="注释 3 2 2" xfId="5197"/>
    <cellStyle name="注释 3 2 2 2" xfId="6173"/>
    <cellStyle name="注释 3 2 2 2 2" xfId="8642"/>
    <cellStyle name="注释 3 2 2 2 2 2" xfId="13907"/>
    <cellStyle name="注释 3 2 2 2 2 2 2" xfId="16397"/>
    <cellStyle name="注释 3 2 2 2 3" xfId="11636"/>
    <cellStyle name="注释 3 2 2 2 3 2" xfId="19521"/>
    <cellStyle name="注释 3 2 2 3" xfId="8170"/>
    <cellStyle name="注释 3 2 2 3 2" xfId="13435"/>
    <cellStyle name="注释 3 2 2 3 2 2" xfId="16664"/>
    <cellStyle name="注释 3 2 2 4" xfId="11055"/>
    <cellStyle name="注释 3 2 2 4 2" xfId="17473"/>
    <cellStyle name="注释 3 2 3" xfId="6027"/>
    <cellStyle name="注释 3 2 3 2" xfId="8516"/>
    <cellStyle name="注释 3 2 3 2 2" xfId="13781"/>
    <cellStyle name="注释 3 2 3 2 2 2" xfId="16476"/>
    <cellStyle name="注释 3 2 3 3" xfId="11490"/>
    <cellStyle name="注释 3 2 3 3 2" xfId="19355"/>
    <cellStyle name="注释 3 2 4" xfId="3882"/>
    <cellStyle name="注释 3 2 4 2" xfId="7978"/>
    <cellStyle name="注释 3 2 4 2 2" xfId="13246"/>
    <cellStyle name="注释 3 2 4 2 2 2" xfId="16781"/>
    <cellStyle name="注释 3 2 4 3" xfId="10841"/>
    <cellStyle name="注释 3 2 4 3 2" xfId="17637"/>
    <cellStyle name="注释 3 2 5" xfId="7845"/>
    <cellStyle name="注释 3 2 5 2" xfId="13084"/>
    <cellStyle name="注释 3 2 5 2 2" xfId="18584"/>
    <cellStyle name="注释 3 2 6" xfId="10662"/>
    <cellStyle name="注释 3 2 6 2" xfId="19520"/>
    <cellStyle name="注释 3 3" xfId="5198"/>
    <cellStyle name="注释 3 3 2" xfId="6174"/>
    <cellStyle name="注释 3 3 2 2" xfId="8643"/>
    <cellStyle name="注释 3 3 2 2 2" xfId="13908"/>
    <cellStyle name="注释 3 3 2 2 2 2" xfId="16396"/>
    <cellStyle name="注释 3 3 2 3" xfId="11637"/>
    <cellStyle name="注释 3 3 2 3 2" xfId="19826"/>
    <cellStyle name="注释 3 3 3" xfId="8171"/>
    <cellStyle name="注释 3 3 3 2" xfId="13436"/>
    <cellStyle name="注释 3 3 3 2 2" xfId="15418"/>
    <cellStyle name="注释 3 3 4" xfId="11056"/>
    <cellStyle name="注释 3 3 4 2" xfId="17472"/>
    <cellStyle name="注释 3 4" xfId="5979"/>
    <cellStyle name="注释 3 4 2" xfId="8475"/>
    <cellStyle name="注释 3 4 2 2" xfId="13740"/>
    <cellStyle name="注释 3 4 2 2 2" xfId="16501"/>
    <cellStyle name="注释 3 4 3" xfId="11442"/>
    <cellStyle name="注释 3 4 3 2" xfId="19321"/>
    <cellStyle name="注释 3 5" xfId="3881"/>
    <cellStyle name="注释 3 5 2" xfId="7977"/>
    <cellStyle name="注释 3 5 2 2" xfId="13245"/>
    <cellStyle name="注释 3 5 2 2 2" xfId="16782"/>
    <cellStyle name="注释 3 5 3" xfId="10840"/>
    <cellStyle name="注释 3 5 3 2" xfId="19155"/>
    <cellStyle name="注释 3 6" xfId="7825"/>
    <cellStyle name="注释 3 6 2" xfId="13064"/>
    <cellStyle name="注释 3 6 2 2" xfId="19255"/>
    <cellStyle name="注释 3 7" xfId="10642"/>
    <cellStyle name="注释 3 7 2" xfId="19279"/>
    <cellStyle name="注释 4" xfId="401"/>
    <cellStyle name="注释 4 2" xfId="5196"/>
    <cellStyle name="注释 4 2 2" xfId="6172"/>
    <cellStyle name="注释 4 2 2 2" xfId="8641"/>
    <cellStyle name="注释 4 2 2 2 2" xfId="13906"/>
    <cellStyle name="注释 4 2 2 2 2 2" xfId="16398"/>
    <cellStyle name="注释 4 2 2 3" xfId="11635"/>
    <cellStyle name="注释 4 2 2 3 2" xfId="18532"/>
    <cellStyle name="注释 4 2 3" xfId="8169"/>
    <cellStyle name="注释 4 2 3 2" xfId="13434"/>
    <cellStyle name="注释 4 2 3 2 2" xfId="18369"/>
    <cellStyle name="注释 4 2 4" xfId="11054"/>
    <cellStyle name="注释 4 2 4 2" xfId="17474"/>
    <cellStyle name="注释 4 3" xfId="5978"/>
    <cellStyle name="注释 4 3 2" xfId="8474"/>
    <cellStyle name="注释 4 3 2 2" xfId="13739"/>
    <cellStyle name="注释 4 3 2 2 2" xfId="17782"/>
    <cellStyle name="注释 4 3 3" xfId="11441"/>
    <cellStyle name="注释 4 3 3 2" xfId="19942"/>
    <cellStyle name="注释 4 4" xfId="3883"/>
    <cellStyle name="注释 4 4 2" xfId="7979"/>
    <cellStyle name="注释 4 4 2 2" xfId="13247"/>
    <cellStyle name="注释 4 4 2 2 2" xfId="16780"/>
    <cellStyle name="注释 4 4 3" xfId="10842"/>
    <cellStyle name="注释 4 4 3 2" xfId="15531"/>
    <cellStyle name="注释 4 5" xfId="7835"/>
    <cellStyle name="注释 4 5 2" xfId="13074"/>
    <cellStyle name="注释 4 5 2 2" xfId="20059"/>
    <cellStyle name="注释 4 6" xfId="10652"/>
    <cellStyle name="注释 4 6 2" xfId="17739"/>
    <cellStyle name="注释 5" xfId="3884"/>
    <cellStyle name="注释 5 2" xfId="5195"/>
    <cellStyle name="注释 5 2 2" xfId="6171"/>
    <cellStyle name="注释 5 2 2 2" xfId="8640"/>
    <cellStyle name="注释 5 2 2 2 2" xfId="13905"/>
    <cellStyle name="注释 5 2 2 2 2 2" xfId="16399"/>
    <cellStyle name="注释 5 2 2 3" xfId="11634"/>
    <cellStyle name="注释 5 2 2 3 2" xfId="19035"/>
    <cellStyle name="注释 5 2 3" xfId="8168"/>
    <cellStyle name="注释 5 2 3 2" xfId="13433"/>
    <cellStyle name="注释 5 2 3 2 2" xfId="18800"/>
    <cellStyle name="注释 5 2 4" xfId="11053"/>
    <cellStyle name="注释 5 2 4 2" xfId="17475"/>
    <cellStyle name="注释 5 3" xfId="6026"/>
    <cellStyle name="注释 5 3 2" xfId="8515"/>
    <cellStyle name="注释 5 3 2 2" xfId="13780"/>
    <cellStyle name="注释 5 3 2 2 2" xfId="16477"/>
    <cellStyle name="注释 5 3 3" xfId="11489"/>
    <cellStyle name="注释 5 3 3 2" xfId="19976"/>
    <cellStyle name="注释 5 4" xfId="7980"/>
    <cellStyle name="注释 5 4 2" xfId="13248"/>
    <cellStyle name="注释 5 4 2 2" xfId="16779"/>
    <cellStyle name="注释 5 5" xfId="10843"/>
    <cellStyle name="注释 5 5 2" xfId="15400"/>
    <cellStyle name="注释 6" xfId="3885"/>
    <cellStyle name="注释 6 2" xfId="5194"/>
    <cellStyle name="注释 6 2 2" xfId="6170"/>
    <cellStyle name="注释 6 2 2 2" xfId="8639"/>
    <cellStyle name="注释 6 2 2 2 2" xfId="13904"/>
    <cellStyle name="注释 6 2 2 2 2 2" xfId="18000"/>
    <cellStyle name="注释 6 2 2 3" xfId="11633"/>
    <cellStyle name="注释 6 2 2 3 2" xfId="19365"/>
    <cellStyle name="注释 6 2 3" xfId="8167"/>
    <cellStyle name="注释 6 2 3 2" xfId="13432"/>
    <cellStyle name="注释 6 2 3 2 2" xfId="18981"/>
    <cellStyle name="注释 6 2 4" xfId="11052"/>
    <cellStyle name="注释 6 2 4 2" xfId="17476"/>
    <cellStyle name="注释 6 3" xfId="5977"/>
    <cellStyle name="注释 6 3 2" xfId="8473"/>
    <cellStyle name="注释 6 3 2 2" xfId="13738"/>
    <cellStyle name="注释 6 3 2 2 2" xfId="18173"/>
    <cellStyle name="注释 6 3 3" xfId="11440"/>
    <cellStyle name="注释 6 3 3 2" xfId="19640"/>
    <cellStyle name="注释 6 4" xfId="7981"/>
    <cellStyle name="注释 6 4 2" xfId="13249"/>
    <cellStyle name="注释 6 4 2 2" xfId="15386"/>
    <cellStyle name="注释 6 5" xfId="10844"/>
    <cellStyle name="注释 6 5 2" xfId="17635"/>
    <cellStyle name="注释 7" xfId="3886"/>
    <cellStyle name="注释 7 2" xfId="5193"/>
    <cellStyle name="注释 7 2 2" xfId="6169"/>
    <cellStyle name="注释 7 2 2 2" xfId="8638"/>
    <cellStyle name="注释 7 2 2 2 2" xfId="13903"/>
    <cellStyle name="注释 7 2 2 2 2 2" xfId="18739"/>
    <cellStyle name="注释 7 2 2 3" xfId="11632"/>
    <cellStyle name="注释 7 2 2 3 2" xfId="19986"/>
    <cellStyle name="注释 7 2 3" xfId="8166"/>
    <cellStyle name="注释 7 2 3 2" xfId="13431"/>
    <cellStyle name="注释 7 2 3 2 2" xfId="16663"/>
    <cellStyle name="注释 7 2 4" xfId="11051"/>
    <cellStyle name="注释 7 2 4 2" xfId="17477"/>
    <cellStyle name="注释 7 3" xfId="5871"/>
    <cellStyle name="注释 7 3 2" xfId="8389"/>
    <cellStyle name="注释 7 3 2 2" xfId="13654"/>
    <cellStyle name="注释 7 3 2 2 2" xfId="15521"/>
    <cellStyle name="注释 7 3 3" xfId="11334"/>
    <cellStyle name="注释 7 3 3 2" xfId="15367"/>
    <cellStyle name="注释 7 4" xfId="7982"/>
    <cellStyle name="注释 7 4 2" xfId="13250"/>
    <cellStyle name="注释 7 4 2 2" xfId="18077"/>
    <cellStyle name="注释 7 5" xfId="10845"/>
    <cellStyle name="注释 7 5 2" xfId="17634"/>
    <cellStyle name="注释 8" xfId="3887"/>
    <cellStyle name="注释 8 2" xfId="5156"/>
    <cellStyle name="注释 8 2 2" xfId="6132"/>
    <cellStyle name="注释 8 2 2 2" xfId="7649"/>
    <cellStyle name="注释 8 2 2 2 2" xfId="9415"/>
    <cellStyle name="注释 8 2 2 2 2 2" xfId="12121"/>
    <cellStyle name="注释 8 2 2 2 2 2 2" xfId="17049"/>
    <cellStyle name="注释 8 2 2 2 3" xfId="8972"/>
    <cellStyle name="注释 8 2 2 2 3 2" xfId="14211"/>
    <cellStyle name="注释 8 2 2 2 3 2 2" xfId="16221"/>
    <cellStyle name="注释 8 2 2 2 4" xfId="11974"/>
    <cellStyle name="注释 8 2 2 2 4 2" xfId="17749"/>
    <cellStyle name="注释 8 2 2 3" xfId="8603"/>
    <cellStyle name="注释 8 2 2 3 2" xfId="13868"/>
    <cellStyle name="注释 8 2 2 3 2 2" xfId="16426"/>
    <cellStyle name="注释 8 2 2 4" xfId="11595"/>
    <cellStyle name="注释 8 2 2 4 2" xfId="19597"/>
    <cellStyle name="注释 8 2 3" xfId="7505"/>
    <cellStyle name="注释 8 2 3 2" xfId="9261"/>
    <cellStyle name="注释 8 2 3 2 2" xfId="12039"/>
    <cellStyle name="注释 8 2 3 2 2 2" xfId="17890"/>
    <cellStyle name="注释 8 2 3 3" xfId="8903"/>
    <cellStyle name="注释 8 2 3 3 2" xfId="14142"/>
    <cellStyle name="注释 8 2 3 3 2 2" xfId="16254"/>
    <cellStyle name="注释 8 2 3 4" xfId="11902"/>
    <cellStyle name="注释 8 2 3 4 2" xfId="17884"/>
    <cellStyle name="注释 8 2 4" xfId="8131"/>
    <cellStyle name="注释 8 2 4 2" xfId="13396"/>
    <cellStyle name="注释 8 2 4 2 2" xfId="18801"/>
    <cellStyle name="注释 8 2 5" xfId="11014"/>
    <cellStyle name="注释 8 2 5 2" xfId="17502"/>
    <cellStyle name="注释 8 3" xfId="5870"/>
    <cellStyle name="注释 8 3 2" xfId="7619"/>
    <cellStyle name="注释 8 3 2 2" xfId="9381"/>
    <cellStyle name="注释 8 3 2 2 2" xfId="12087"/>
    <cellStyle name="注释 8 3 2 2 2 2" xfId="17873"/>
    <cellStyle name="注释 8 3 2 3" xfId="8943"/>
    <cellStyle name="注释 8 3 2 3 2" xfId="14182"/>
    <cellStyle name="注释 8 3 2 3 2 2" xfId="16235"/>
    <cellStyle name="注释 8 3 2 4" xfId="11944"/>
    <cellStyle name="注释 8 3 2 4 2" xfId="17939"/>
    <cellStyle name="注释 8 3 3" xfId="8388"/>
    <cellStyle name="注释 8 3 3 2" xfId="13653"/>
    <cellStyle name="注释 8 3 3 2 2" xfId="15522"/>
    <cellStyle name="注释 8 3 4" xfId="11333"/>
    <cellStyle name="注释 8 3 4 2" xfId="17262"/>
    <cellStyle name="注释 8 4" xfId="7382"/>
    <cellStyle name="注释 8 4 2" xfId="9138"/>
    <cellStyle name="注释 8 4 2 2" xfId="12008"/>
    <cellStyle name="注释 8 4 2 2 2" xfId="17124"/>
    <cellStyle name="注释 8 4 3" xfId="8872"/>
    <cellStyle name="注释 8 4 3 2" xfId="14111"/>
    <cellStyle name="注释 8 4 3 2 2" xfId="16270"/>
    <cellStyle name="注释 8 4 4" xfId="11871"/>
    <cellStyle name="注释 8 4 4 2" xfId="17213"/>
    <cellStyle name="注释 8 5" xfId="7983"/>
    <cellStyle name="注释 8 5 2" xfId="13251"/>
    <cellStyle name="注释 8 5 2 2" xfId="18904"/>
    <cellStyle name="注释 8 6" xfId="10846"/>
    <cellStyle name="注释 8 6 2" xfId="17633"/>
    <cellStyle name="注释 9" xfId="3888"/>
    <cellStyle name="注释 9 10" xfId="3889"/>
    <cellStyle name="注释 9 10 2" xfId="5364"/>
    <cellStyle name="注释 9 10 2 2" xfId="8279"/>
    <cellStyle name="注释 9 10 2 2 2" xfId="13544"/>
    <cellStyle name="注释 9 10 2 2 2 2" xfId="16610"/>
    <cellStyle name="注释 9 10 2 3" xfId="11196"/>
    <cellStyle name="注释 9 10 2 3 2" xfId="17357"/>
    <cellStyle name="注释 9 10 3" xfId="6043"/>
    <cellStyle name="注释 9 10 3 2" xfId="8531"/>
    <cellStyle name="注释 9 10 3 2 2" xfId="13796"/>
    <cellStyle name="注释 9 10 3 2 2 2" xfId="16465"/>
    <cellStyle name="注释 9 10 3 3" xfId="11506"/>
    <cellStyle name="注释 9 10 3 3 2" xfId="19068"/>
    <cellStyle name="注释 9 10 4" xfId="7985"/>
    <cellStyle name="注释 9 10 4 2" xfId="13253"/>
    <cellStyle name="注释 9 10 4 2 2" xfId="17984"/>
    <cellStyle name="注释 9 10 5" xfId="10848"/>
    <cellStyle name="注释 9 10 5 2" xfId="17631"/>
    <cellStyle name="注释 9 11" xfId="3890"/>
    <cellStyle name="注释 9 11 2" xfId="5365"/>
    <cellStyle name="注释 9 11 2 2" xfId="8280"/>
    <cellStyle name="注释 9 11 2 2 2" xfId="13545"/>
    <cellStyle name="注释 9 11 2 2 2 2" xfId="16609"/>
    <cellStyle name="注释 9 11 2 3" xfId="11197"/>
    <cellStyle name="注释 9 11 2 3 2" xfId="17356"/>
    <cellStyle name="注释 9 11 3" xfId="5831"/>
    <cellStyle name="注释 9 11 3 2" xfId="8362"/>
    <cellStyle name="注释 9 11 3 2 2" xfId="13627"/>
    <cellStyle name="注释 9 11 3 2 2 2" xfId="16566"/>
    <cellStyle name="注释 9 11 3 3" xfId="11294"/>
    <cellStyle name="注释 9 11 3 3 2" xfId="18900"/>
    <cellStyle name="注释 9 11 4" xfId="7986"/>
    <cellStyle name="注释 9 11 4 2" xfId="13254"/>
    <cellStyle name="注释 9 11 4 2 2" xfId="16778"/>
    <cellStyle name="注释 9 11 5" xfId="10849"/>
    <cellStyle name="注释 9 11 5 2" xfId="17630"/>
    <cellStyle name="注释 9 12" xfId="3891"/>
    <cellStyle name="注释 9 12 2" xfId="5366"/>
    <cellStyle name="注释 9 12 2 2" xfId="8281"/>
    <cellStyle name="注释 9 12 2 2 2" xfId="13546"/>
    <cellStyle name="注释 9 12 2 2 2 2" xfId="19148"/>
    <cellStyle name="注释 9 12 2 3" xfId="11198"/>
    <cellStyle name="注释 9 12 2 3 2" xfId="17355"/>
    <cellStyle name="注释 9 12 3" xfId="5801"/>
    <cellStyle name="注释 9 12 3 2" xfId="8338"/>
    <cellStyle name="注释 9 12 3 2 2" xfId="13603"/>
    <cellStyle name="注释 9 12 3 2 2 2" xfId="17769"/>
    <cellStyle name="注释 9 12 3 3" xfId="11264"/>
    <cellStyle name="注释 9 12 3 3 2" xfId="19157"/>
    <cellStyle name="注释 9 12 4" xfId="7987"/>
    <cellStyle name="注释 9 12 4 2" xfId="13255"/>
    <cellStyle name="注释 9 12 4 2 2" xfId="16777"/>
    <cellStyle name="注释 9 12 5" xfId="10850"/>
    <cellStyle name="注释 9 12 5 2" xfId="17629"/>
    <cellStyle name="注释 9 13" xfId="5155"/>
    <cellStyle name="注释 9 13 2" xfId="6131"/>
    <cellStyle name="注释 9 13 2 2" xfId="8602"/>
    <cellStyle name="注释 9 13 2 2 2" xfId="13867"/>
    <cellStyle name="注释 9 13 2 2 2 2" xfId="16427"/>
    <cellStyle name="注释 9 13 2 3" xfId="11594"/>
    <cellStyle name="注释 9 13 2 3 2" xfId="18993"/>
    <cellStyle name="注释 9 13 3" xfId="8130"/>
    <cellStyle name="注释 9 13 3 2" xfId="13395"/>
    <cellStyle name="注释 9 13 3 2 2" xfId="18982"/>
    <cellStyle name="注释 9 13 4" xfId="11013"/>
    <cellStyle name="注释 9 13 4 2" xfId="17503"/>
    <cellStyle name="注释 9 14" xfId="5975"/>
    <cellStyle name="注释 9 14 2" xfId="8471"/>
    <cellStyle name="注释 9 14 2 2" xfId="13736"/>
    <cellStyle name="注释 9 14 2 2 2" xfId="16496"/>
    <cellStyle name="注释 9 14 3" xfId="11438"/>
    <cellStyle name="注释 9 14 3 2" xfId="19811"/>
    <cellStyle name="注释 9 15" xfId="7984"/>
    <cellStyle name="注释 9 15 2" xfId="13252"/>
    <cellStyle name="注释 9 15 2 2" xfId="18723"/>
    <cellStyle name="注释 9 16" xfId="10847"/>
    <cellStyle name="注释 9 16 2" xfId="17632"/>
    <cellStyle name="注释 9 2" xfId="3892"/>
    <cellStyle name="注释 9 2 2" xfId="5154"/>
    <cellStyle name="注释 9 2 2 2" xfId="6130"/>
    <cellStyle name="注释 9 2 2 2 2" xfId="8601"/>
    <cellStyle name="注释 9 2 2 2 2 2" xfId="13866"/>
    <cellStyle name="注释 9 2 2 2 2 2 2" xfId="17794"/>
    <cellStyle name="注释 9 2 2 2 3" xfId="11593"/>
    <cellStyle name="注释 9 2 2 2 3 2" xfId="19323"/>
    <cellStyle name="注释 9 2 2 3" xfId="8129"/>
    <cellStyle name="注释 9 2 2 3 2" xfId="13394"/>
    <cellStyle name="注释 9 2 2 3 2 2" xfId="16684"/>
    <cellStyle name="注释 9 2 2 4" xfId="11012"/>
    <cellStyle name="注释 9 2 2 4 2" xfId="17504"/>
    <cellStyle name="注释 9 2 3" xfId="6062"/>
    <cellStyle name="注释 9 2 3 2" xfId="8545"/>
    <cellStyle name="注释 9 2 3 2 2" xfId="13810"/>
    <cellStyle name="注释 9 2 3 2 2 2" xfId="16460"/>
    <cellStyle name="注释 9 2 3 3" xfId="11525"/>
    <cellStyle name="注释 9 2 3 3 2" xfId="19844"/>
    <cellStyle name="注释 9 2 4" xfId="7988"/>
    <cellStyle name="注释 9 2 4 2" xfId="13256"/>
    <cellStyle name="注释 9 2 4 2 2" xfId="16776"/>
    <cellStyle name="注释 9 2 5" xfId="10851"/>
    <cellStyle name="注释 9 2 5 2" xfId="17628"/>
    <cellStyle name="注释 9 3" xfId="3893"/>
    <cellStyle name="注释 9 3 2" xfId="3894"/>
    <cellStyle name="注释 9 3 2 2" xfId="5162"/>
    <cellStyle name="注释 9 3 2 2 2" xfId="6138"/>
    <cellStyle name="注释 9 3 2 2 2 2" xfId="8609"/>
    <cellStyle name="注释 9 3 2 2 2 2 2" xfId="13874"/>
    <cellStyle name="注释 9 3 2 2 2 2 2 2" xfId="16420"/>
    <cellStyle name="注释 9 3 2 2 2 3" xfId="11601"/>
    <cellStyle name="注释 9 3 2 2 2 3 2" xfId="19090"/>
    <cellStyle name="注释 9 3 2 2 3" xfId="8137"/>
    <cellStyle name="注释 9 3 2 2 3 2" xfId="13402"/>
    <cellStyle name="注释 9 3 2 2 3 2 2" xfId="16682"/>
    <cellStyle name="注释 9 3 2 2 4" xfId="11020"/>
    <cellStyle name="注释 9 3 2 2 4 2" xfId="17496"/>
    <cellStyle name="注释 9 3 2 3" xfId="5935"/>
    <cellStyle name="注释 9 3 2 3 2" xfId="8437"/>
    <cellStyle name="注释 9 3 2 3 2 2" xfId="13702"/>
    <cellStyle name="注释 9 3 2 3 2 2 2" xfId="16524"/>
    <cellStyle name="注释 9 3 2 3 3" xfId="11398"/>
    <cellStyle name="注释 9 3 2 3 3 2" xfId="19967"/>
    <cellStyle name="注释 9 3 2 4" xfId="7990"/>
    <cellStyle name="注释 9 3 2 4 2" xfId="13258"/>
    <cellStyle name="注释 9 3 2 4 2 2" xfId="16774"/>
    <cellStyle name="注释 9 3 2 5" xfId="10853"/>
    <cellStyle name="注释 9 3 2 5 2" xfId="17626"/>
    <cellStyle name="注释 9 3 3" xfId="5163"/>
    <cellStyle name="注释 9 3 3 2" xfId="6139"/>
    <cellStyle name="注释 9 3 3 2 2" xfId="8610"/>
    <cellStyle name="注释 9 3 3 2 2 2" xfId="13875"/>
    <cellStyle name="注释 9 3 3 2 2 2 2" xfId="16419"/>
    <cellStyle name="注释 9 3 3 2 3" xfId="11602"/>
    <cellStyle name="注释 9 3 3 2 3 2" xfId="18564"/>
    <cellStyle name="注释 9 3 3 3" xfId="8138"/>
    <cellStyle name="注释 9 3 3 3 2" xfId="13403"/>
    <cellStyle name="注释 9 3 3 3 2 2" xfId="16681"/>
    <cellStyle name="注释 9 3 3 4" xfId="11021"/>
    <cellStyle name="注释 9 3 3 4 2" xfId="17495"/>
    <cellStyle name="注释 9 3 4" xfId="5936"/>
    <cellStyle name="注释 9 3 4 2" xfId="8438"/>
    <cellStyle name="注释 9 3 4 2 2" xfId="13703"/>
    <cellStyle name="注释 9 3 4 2 2 2" xfId="16523"/>
    <cellStyle name="注释 9 3 4 3" xfId="11399"/>
    <cellStyle name="注释 9 3 4 3 2" xfId="19346"/>
    <cellStyle name="注释 9 3 5" xfId="7989"/>
    <cellStyle name="注释 9 3 5 2" xfId="13257"/>
    <cellStyle name="注释 9 3 5 2 2" xfId="16775"/>
    <cellStyle name="注释 9 3 6" xfId="10852"/>
    <cellStyle name="注释 9 3 6 2" xfId="17627"/>
    <cellStyle name="注释 9 4" xfId="3895"/>
    <cellStyle name="注释 9 4 2" xfId="5367"/>
    <cellStyle name="注释 9 4 2 2" xfId="8282"/>
    <cellStyle name="注释 9 4 2 2 2" xfId="13547"/>
    <cellStyle name="注释 9 4 2 2 2 2" xfId="16607"/>
    <cellStyle name="注释 9 4 2 3" xfId="11199"/>
    <cellStyle name="注释 9 4 2 3 2" xfId="17354"/>
    <cellStyle name="注释 9 4 3" xfId="5800"/>
    <cellStyle name="注释 9 4 3 2" xfId="8337"/>
    <cellStyle name="注释 9 4 3 2 2" xfId="13602"/>
    <cellStyle name="注释 9 4 3 2 2 2" xfId="18186"/>
    <cellStyle name="注释 9 4 3 3" xfId="11263"/>
    <cellStyle name="注释 9 4 3 3 2" xfId="19464"/>
    <cellStyle name="注释 9 4 4" xfId="7991"/>
    <cellStyle name="注释 9 4 4 2" xfId="13259"/>
    <cellStyle name="注释 9 4 4 2 2" xfId="16773"/>
    <cellStyle name="注释 9 4 5" xfId="10854"/>
    <cellStyle name="注释 9 4 5 2" xfId="17625"/>
    <cellStyle name="注释 9 5" xfId="3896"/>
    <cellStyle name="注释 9 5 2" xfId="5368"/>
    <cellStyle name="注释 9 5 2 2" xfId="8283"/>
    <cellStyle name="注释 9 5 2 2 2" xfId="13548"/>
    <cellStyle name="注释 9 5 2 2 2 2" xfId="18977"/>
    <cellStyle name="注释 9 5 2 3" xfId="11200"/>
    <cellStyle name="注释 9 5 2 3 2" xfId="17353"/>
    <cellStyle name="注释 9 5 3" xfId="5799"/>
    <cellStyle name="注释 9 5 3 2" xfId="8336"/>
    <cellStyle name="注释 9 5 3 2 2" xfId="13601"/>
    <cellStyle name="注释 9 5 3 2 2 2" xfId="18498"/>
    <cellStyle name="注释 9 5 3 3" xfId="11262"/>
    <cellStyle name="注释 9 5 3 3 2" xfId="19465"/>
    <cellStyle name="注释 9 5 4" xfId="7992"/>
    <cellStyle name="注释 9 5 4 2" xfId="13260"/>
    <cellStyle name="注释 9 5 4 2 2" xfId="16772"/>
    <cellStyle name="注释 9 5 5" xfId="10855"/>
    <cellStyle name="注释 9 5 5 2" xfId="17624"/>
    <cellStyle name="注释 9 6" xfId="3897"/>
    <cellStyle name="注释 9 6 2" xfId="5369"/>
    <cellStyle name="注释 9 6 2 2" xfId="8284"/>
    <cellStyle name="注释 9 6 2 2 2" xfId="13549"/>
    <cellStyle name="注释 9 6 2 2 2 2" xfId="18796"/>
    <cellStyle name="注释 9 6 2 3" xfId="11201"/>
    <cellStyle name="注释 9 6 2 3 2" xfId="17352"/>
    <cellStyle name="注释 9 6 3" xfId="5798"/>
    <cellStyle name="注释 9 6 3 2" xfId="8335"/>
    <cellStyle name="注释 9 6 3 2 2" xfId="13600"/>
    <cellStyle name="注释 9 6 3 2 2 2" xfId="16576"/>
    <cellStyle name="注释 9 6 3 3" xfId="11261"/>
    <cellStyle name="注释 9 6 3 3 2" xfId="17305"/>
    <cellStyle name="注释 9 6 4" xfId="7993"/>
    <cellStyle name="注释 9 6 4 2" xfId="13261"/>
    <cellStyle name="注释 9 6 4 2 2" xfId="16771"/>
    <cellStyle name="注释 9 6 5" xfId="10856"/>
    <cellStyle name="注释 9 6 5 2" xfId="17623"/>
    <cellStyle name="注释 9 7" xfId="3898"/>
    <cellStyle name="注释 9 7 2" xfId="5370"/>
    <cellStyle name="注释 9 7 2 2" xfId="8285"/>
    <cellStyle name="注释 9 7 2 2 2" xfId="13550"/>
    <cellStyle name="注释 9 7 2 2 2 2" xfId="18365"/>
    <cellStyle name="注释 9 7 2 3" xfId="11202"/>
    <cellStyle name="注释 9 7 2 3 2" xfId="17351"/>
    <cellStyle name="注释 9 7 3" xfId="5797"/>
    <cellStyle name="注释 9 7 3 2" xfId="8334"/>
    <cellStyle name="注释 9 7 3 2 2" xfId="13599"/>
    <cellStyle name="注释 9 7 3 2 2 2" xfId="15529"/>
    <cellStyle name="注释 9 7 3 3" xfId="11260"/>
    <cellStyle name="注释 9 7 3 3 2" xfId="17306"/>
    <cellStyle name="注释 9 7 4" xfId="7994"/>
    <cellStyle name="注释 9 7 4 2" xfId="13262"/>
    <cellStyle name="注释 9 7 4 2 2" xfId="16770"/>
    <cellStyle name="注释 9 7 5" xfId="10857"/>
    <cellStyle name="注释 9 7 5 2" xfId="17622"/>
    <cellStyle name="注释 9 8" xfId="3899"/>
    <cellStyle name="注释 9 8 2" xfId="5371"/>
    <cellStyle name="注释 9 8 2 2" xfId="8286"/>
    <cellStyle name="注释 9 8 2 2 2" xfId="13551"/>
    <cellStyle name="注释 9 8 2 2 2 2" xfId="16608"/>
    <cellStyle name="注释 9 8 2 3" xfId="11203"/>
    <cellStyle name="注释 9 8 2 3 2" xfId="17350"/>
    <cellStyle name="注释 9 8 3" xfId="5796"/>
    <cellStyle name="注释 9 8 3 2" xfId="8333"/>
    <cellStyle name="注释 9 8 3 2 2" xfId="13598"/>
    <cellStyle name="注释 9 8 3 2 2 2" xfId="16583"/>
    <cellStyle name="注释 9 8 3 3" xfId="11259"/>
    <cellStyle name="注释 9 8 3 3 2" xfId="17307"/>
    <cellStyle name="注释 9 8 4" xfId="7995"/>
    <cellStyle name="注释 9 8 4 2" xfId="13263"/>
    <cellStyle name="注释 9 8 4 2 2" xfId="16769"/>
    <cellStyle name="注释 9 8 5" xfId="10858"/>
    <cellStyle name="注释 9 8 5 2" xfId="17621"/>
    <cellStyle name="注释 9 9" xfId="3900"/>
    <cellStyle name="注释 9 9 2" xfId="5372"/>
    <cellStyle name="注释 9 9 2 2" xfId="8287"/>
    <cellStyle name="注释 9 9 2 2 2" xfId="13552"/>
    <cellStyle name="注释 9 9 2 2 2 2" xfId="15414"/>
    <cellStyle name="注释 9 9 2 3" xfId="11204"/>
    <cellStyle name="注释 9 9 2 3 2" xfId="17349"/>
    <cellStyle name="注释 9 9 3" xfId="6044"/>
    <cellStyle name="注释 9 9 3 2" xfId="8532"/>
    <cellStyle name="注释 9 9 3 2 2" xfId="13797"/>
    <cellStyle name="注释 9 9 3 2 2 2" xfId="16464"/>
    <cellStyle name="注释 9 9 3 3" xfId="11507"/>
    <cellStyle name="注释 9 9 3 3 2" xfId="18306"/>
    <cellStyle name="注释 9 9 4" xfId="7996"/>
    <cellStyle name="注释 9 9 4 2" xfId="13264"/>
    <cellStyle name="注释 9 9 4 2 2" xfId="16768"/>
    <cellStyle name="注释 9 9 5" xfId="10859"/>
    <cellStyle name="注释 9 9 5 2" xfId="17620"/>
    <cellStyle name="百分比 2" xfId="4319"/>
    <cellStyle name="百分比 2 2" xfId="7729"/>
    <cellStyle name="百分比 3" xfId="7730"/>
    <cellStyle name="百分比 4" xfId="7728"/>
    <cellStyle name="解释性文本" xfId="111"/>
    <cellStyle name="解释性文本 10" xfId="5533"/>
    <cellStyle name="解释性文本 10 2" xfId="7589"/>
    <cellStyle name="解释性文本 10 2 2" xfId="9350"/>
    <cellStyle name="解释性文本 11" xfId="3901"/>
    <cellStyle name="解释性文本 12" xfId="10419"/>
    <cellStyle name="解释性文本 2" xfId="3902"/>
    <cellStyle name="解释性文本 2 2" xfId="3903"/>
    <cellStyle name="解释性文本 2 2 2" xfId="5065"/>
    <cellStyle name="解释性文本 2 3" xfId="3904"/>
    <cellStyle name="解释性文本 2 4" xfId="3905"/>
    <cellStyle name="解释性文本 2 5" xfId="5085"/>
    <cellStyle name="解释性文本 2 5 2" xfId="7491"/>
    <cellStyle name="解释性文本 2 5 2 2" xfId="9247"/>
    <cellStyle name="解释性文本 3" xfId="3906"/>
    <cellStyle name="解释性文本 3 2" xfId="3907"/>
    <cellStyle name="解释性文本 4" xfId="3908"/>
    <cellStyle name="解释性文本 4 2" xfId="7383"/>
    <cellStyle name="解释性文本 4 2 2" xfId="9139"/>
    <cellStyle name="解释性文本 5" xfId="3909"/>
    <cellStyle name="解释性文本 6" xfId="3910"/>
    <cellStyle name="解释性文本 7" xfId="3911"/>
    <cellStyle name="解释性文本 7 2" xfId="7384"/>
    <cellStyle name="解释性文本 7 2 2" xfId="9140"/>
    <cellStyle name="解释性文本 8" xfId="3912"/>
    <cellStyle name="解释性文本 9" xfId="3913"/>
    <cellStyle name="計算方式" xfId="3914"/>
    <cellStyle name="計算方式 10" xfId="5534"/>
    <cellStyle name="計算方式 10 2" xfId="7590"/>
    <cellStyle name="計算方式 10 2 2" xfId="7786"/>
    <cellStyle name="計算方式 10 2 2 2" xfId="10151"/>
    <cellStyle name="計算方式 10 2 2 2 2" xfId="13025"/>
    <cellStyle name="計算方式 10 2 2 2 2 2" xfId="19161"/>
    <cellStyle name="計算方式 10 2 2 3" xfId="9351"/>
    <cellStyle name="計算方式 10 2 2 3 2" xfId="14287"/>
    <cellStyle name="計算方式 10 2 2 3 2 2" xfId="18469"/>
    <cellStyle name="計算方式 10 2 2 4" xfId="12069"/>
    <cellStyle name="計算方式 10 2 2 4 2" xfId="17969"/>
    <cellStyle name="計算方式 10 2 3" xfId="8926"/>
    <cellStyle name="計算方式 10 2 3 2" xfId="14165"/>
    <cellStyle name="計算方式 10 2 3 2 2" xfId="16241"/>
    <cellStyle name="計算方式 10 2 4" xfId="11927"/>
    <cellStyle name="計算方式 10 2 4 2" xfId="17175"/>
    <cellStyle name="計算方式 10 3" xfId="6945"/>
    <cellStyle name="計算方式 10 3 2" xfId="9797"/>
    <cellStyle name="計算方式 10 3 2 2" xfId="14680"/>
    <cellStyle name="計算方式 10 3 2 2 2" xfId="15930"/>
    <cellStyle name="計算方式 10 3 3" xfId="12629"/>
    <cellStyle name="計算方式 10 3 3 2" xfId="19997"/>
    <cellStyle name="計算方式 10 4" xfId="8318"/>
    <cellStyle name="計算方式 10 4 2" xfId="13583"/>
    <cellStyle name="計算方式 10 4 2 2" xfId="18188"/>
    <cellStyle name="計算方式 10 5" xfId="11244"/>
    <cellStyle name="計算方式 10 5 2" xfId="18611"/>
    <cellStyle name="計算方式 11" xfId="5974"/>
    <cellStyle name="計算方式 11 2" xfId="6866"/>
    <cellStyle name="計算方式 11 2 2" xfId="9741"/>
    <cellStyle name="計算方式 11 2 2 2" xfId="14629"/>
    <cellStyle name="計算方式 11 2 2 2 2" xfId="15966"/>
    <cellStyle name="計算方式 11 2 3" xfId="12550"/>
    <cellStyle name="計算方式 11 2 3 2" xfId="19796"/>
    <cellStyle name="計算方式 11 3" xfId="8470"/>
    <cellStyle name="計算方式 11 3 2" xfId="13735"/>
    <cellStyle name="計算方式 11 3 2 2" xfId="16502"/>
    <cellStyle name="計算方式 11 4" xfId="11437"/>
    <cellStyle name="計算方式 11 4 2" xfId="19506"/>
    <cellStyle name="計算方式 12" xfId="6956"/>
    <cellStyle name="計算方式 12 2" xfId="9804"/>
    <cellStyle name="計算方式 12 2 2" xfId="14684"/>
    <cellStyle name="計算方式 12 2 2 2" xfId="15928"/>
    <cellStyle name="計算方式 12 3" xfId="12640"/>
    <cellStyle name="計算方式 12 3 2" xfId="18910"/>
    <cellStyle name="計算方式 13" xfId="7997"/>
    <cellStyle name="計算方式 13 2" xfId="13265"/>
    <cellStyle name="計算方式 13 2 2" xfId="16767"/>
    <cellStyle name="計算方式 14" xfId="10860"/>
    <cellStyle name="計算方式 14 2" xfId="17619"/>
    <cellStyle name="計算方式 2" xfId="3915"/>
    <cellStyle name="計算方式 2 2" xfId="5152"/>
    <cellStyle name="計算方式 2 2 2" xfId="6128"/>
    <cellStyle name="計算方式 2 2 2 2" xfId="7665"/>
    <cellStyle name="計算方式 2 2 2 2 2" xfId="10063"/>
    <cellStyle name="計算方式 2 2 2 2 2 2" xfId="14907"/>
    <cellStyle name="計算方式 2 2 2 2 2 2 2" xfId="15814"/>
    <cellStyle name="計算方式 2 2 2 2 3" xfId="12942"/>
    <cellStyle name="計算方式 2 2 2 2 3 2" xfId="19920"/>
    <cellStyle name="計算方式 2 2 2 3" xfId="8599"/>
    <cellStyle name="計算方式 2 2 2 3 2" xfId="13864"/>
    <cellStyle name="計算方式 2 2 2 3 2 2" xfId="18473"/>
    <cellStyle name="計算方式 2 2 2 4" xfId="11591"/>
    <cellStyle name="計算方式 2 2 2 4 2" xfId="19642"/>
    <cellStyle name="計算方式 2 2 3" xfId="6663"/>
    <cellStyle name="計算方式 2 2 3 2" xfId="9612"/>
    <cellStyle name="計算方式 2 2 3 2 2" xfId="14511"/>
    <cellStyle name="計算方式 2 2 3 2 2 2" xfId="18136"/>
    <cellStyle name="計算方式 2 2 3 3" xfId="12348"/>
    <cellStyle name="計算方式 2 2 3 3 2" xfId="16911"/>
    <cellStyle name="計算方式 2 2 4" xfId="8127"/>
    <cellStyle name="計算方式 2 2 4 2" xfId="13392"/>
    <cellStyle name="計算方式 2 2 4 2 2" xfId="16686"/>
    <cellStyle name="計算方式 2 2 5" xfId="11010"/>
    <cellStyle name="計算方式 2 2 5 2" xfId="17506"/>
    <cellStyle name="計算方式 2 3" xfId="6025"/>
    <cellStyle name="計算方式 2 3 2" xfId="6919"/>
    <cellStyle name="計算方式 2 3 2 2" xfId="9778"/>
    <cellStyle name="計算方式 2 3 2 2 2" xfId="14664"/>
    <cellStyle name="計算方式 2 3 2 2 2 2" xfId="15941"/>
    <cellStyle name="計算方式 2 3 2 3" xfId="12603"/>
    <cellStyle name="計算方式 2 3 2 3 2" xfId="19197"/>
    <cellStyle name="計算方式 2 3 3" xfId="8514"/>
    <cellStyle name="計算方式 2 3 3 2" xfId="13779"/>
    <cellStyle name="計算方式 2 3 3 2 2" xfId="17786"/>
    <cellStyle name="計算方式 2 3 4" xfId="11488"/>
    <cellStyle name="計算方式 2 3 4 2" xfId="19674"/>
    <cellStyle name="計算方式 2 4" xfId="6680"/>
    <cellStyle name="計算方式 2 4 2" xfId="9629"/>
    <cellStyle name="計算方式 2 4 2 2" xfId="14526"/>
    <cellStyle name="計算方式 2 4 2 2 2" xfId="16042"/>
    <cellStyle name="計算方式 2 4 3" xfId="12365"/>
    <cellStyle name="計算方式 2 4 3 2" xfId="16903"/>
    <cellStyle name="計算方式 2 5" xfId="7998"/>
    <cellStyle name="計算方式 2 5 2" xfId="13266"/>
    <cellStyle name="計算方式 2 5 2 2" xfId="16766"/>
    <cellStyle name="計算方式 2 6" xfId="10861"/>
    <cellStyle name="計算方式 2 6 2" xfId="17618"/>
    <cellStyle name="計算方式 3" xfId="3916"/>
    <cellStyle name="計算方式 3 2" xfId="5151"/>
    <cellStyle name="計算方式 3 2 2" xfId="6127"/>
    <cellStyle name="計算方式 3 2 2 2" xfId="6909"/>
    <cellStyle name="計算方式 3 2 2 2 2" xfId="9769"/>
    <cellStyle name="計算方式 3 2 2 2 2 2" xfId="14656"/>
    <cellStyle name="計算方式 3 2 2 2 2 2 2" xfId="18062"/>
    <cellStyle name="計算方式 3 2 2 2 3" xfId="12593"/>
    <cellStyle name="計算方式 3 2 2 2 3 2" xfId="16853"/>
    <cellStyle name="計算方式 3 2 2 3" xfId="8598"/>
    <cellStyle name="計算方式 3 2 2 3 2" xfId="13863"/>
    <cellStyle name="計算方式 3 2 2 3 2 2" xfId="16422"/>
    <cellStyle name="計算方式 3 2 2 4" xfId="11590"/>
    <cellStyle name="計算方式 3 2 2 4 2" xfId="19185"/>
    <cellStyle name="計算方式 3 2 3" xfId="6714"/>
    <cellStyle name="計算方式 3 2 3 2" xfId="9650"/>
    <cellStyle name="計算方式 3 2 3 2 2" xfId="14547"/>
    <cellStyle name="計算方式 3 2 3 2 2 2" xfId="16029"/>
    <cellStyle name="計算方式 3 2 3 3" xfId="12398"/>
    <cellStyle name="計算方式 3 2 3 3 2" xfId="16886"/>
    <cellStyle name="計算方式 3 2 4" xfId="8126"/>
    <cellStyle name="計算方式 3 2 4 2" xfId="13391"/>
    <cellStyle name="計算方式 3 2 4 2 2" xfId="16687"/>
    <cellStyle name="計算方式 3 2 5" xfId="11009"/>
    <cellStyle name="計算方式 3 2 5 2" xfId="18281"/>
    <cellStyle name="計算方式 3 3" xfId="5973"/>
    <cellStyle name="計算方式 3 3 2" xfId="6802"/>
    <cellStyle name="計算方式 3 3 2 2" xfId="9697"/>
    <cellStyle name="計算方式 3 3 2 2 2" xfId="14593"/>
    <cellStyle name="計算方式 3 3 2 2 2 2" xfId="15992"/>
    <cellStyle name="計算方式 3 3 2 3" xfId="12486"/>
    <cellStyle name="計算方式 3 3 2 3 2" xfId="19021"/>
    <cellStyle name="計算方式 3 3 3" xfId="8469"/>
    <cellStyle name="計算方式 3 3 3 2" xfId="13734"/>
    <cellStyle name="計算方式 3 3 3 2 2" xfId="16503"/>
    <cellStyle name="計算方式 3 3 4" xfId="11436"/>
    <cellStyle name="計算方式 3 3 4 2" xfId="17261"/>
    <cellStyle name="計算方式 3 4" xfId="7676"/>
    <cellStyle name="計算方式 3 4 2" xfId="10073"/>
    <cellStyle name="計算方式 3 4 2 2" xfId="14917"/>
    <cellStyle name="計算方式 3 4 2 2 2" xfId="15809"/>
    <cellStyle name="計算方式 3 4 3" xfId="12953"/>
    <cellStyle name="計算方式 3 4 3 2" xfId="19652"/>
    <cellStyle name="計算方式 3 5" xfId="7999"/>
    <cellStyle name="計算方式 3 5 2" xfId="13267"/>
    <cellStyle name="計算方式 3 5 2 2" xfId="16765"/>
    <cellStyle name="計算方式 3 6" xfId="10862"/>
    <cellStyle name="計算方式 3 6 2" xfId="17617"/>
    <cellStyle name="計算方式 4" xfId="3917"/>
    <cellStyle name="計算方式 4 2" xfId="5150"/>
    <cellStyle name="計算方式 4 2 2" xfId="6126"/>
    <cellStyle name="計算方式 4 2 2 2" xfId="6896"/>
    <cellStyle name="計算方式 4 2 2 2 2" xfId="9757"/>
    <cellStyle name="計算方式 4 2 2 2 2 2" xfId="14645"/>
    <cellStyle name="計算方式 4 2 2 2 2 2 2" xfId="15955"/>
    <cellStyle name="計算方式 4 2 2 2 3" xfId="12580"/>
    <cellStyle name="計算方式 4 2 2 2 3 2" xfId="16862"/>
    <cellStyle name="計算方式 4 2 2 3" xfId="8597"/>
    <cellStyle name="計算方式 4 2 2 3 2" xfId="13862"/>
    <cellStyle name="計算方式 4 2 2 3 2 2" xfId="15495"/>
    <cellStyle name="計算方式 4 2 2 4" xfId="11589"/>
    <cellStyle name="計算方式 4 2 2 4 2" xfId="19806"/>
    <cellStyle name="計算方式 4 2 3" xfId="6504"/>
    <cellStyle name="計算方式 4 2 3 2" xfId="9470"/>
    <cellStyle name="計算方式 4 2 3 2 2" xfId="14372"/>
    <cellStyle name="計算方式 4 2 3 2 2 2" xfId="15479"/>
    <cellStyle name="計算方式 4 2 3 3" xfId="12189"/>
    <cellStyle name="計算方式 4 2 3 3 2" xfId="18731"/>
    <cellStyle name="計算方式 4 2 4" xfId="8125"/>
    <cellStyle name="計算方式 4 2 4 2" xfId="13390"/>
    <cellStyle name="計算方式 4 2 4 2 2" xfId="16688"/>
    <cellStyle name="計算方式 4 2 5" xfId="11008"/>
    <cellStyle name="計算方式 4 2 5 2" xfId="18328"/>
    <cellStyle name="計算方式 4 3" xfId="6024"/>
    <cellStyle name="計算方式 4 3 2" xfId="6519"/>
    <cellStyle name="計算方式 4 3 2 2" xfId="9485"/>
    <cellStyle name="計算方式 4 3 2 2 2" xfId="14387"/>
    <cellStyle name="計算方式 4 3 2 2 2 2" xfId="16125"/>
    <cellStyle name="計算方式 4 3 2 3" xfId="12204"/>
    <cellStyle name="計算方式 4 3 2 3 2" xfId="16985"/>
    <cellStyle name="計算方式 4 3 3" xfId="8513"/>
    <cellStyle name="計算方式 4 3 3 2" xfId="13778"/>
    <cellStyle name="計算方式 4 3 3 2 2" xfId="18169"/>
    <cellStyle name="計算方式 4 3 4" xfId="11487"/>
    <cellStyle name="計算方式 4 3 4 2" xfId="19188"/>
    <cellStyle name="計算方式 4 4" xfId="6880"/>
    <cellStyle name="計算方式 4 4 2" xfId="9751"/>
    <cellStyle name="計算方式 4 4 2 2" xfId="14639"/>
    <cellStyle name="計算方式 4 4 2 2 2" xfId="17996"/>
    <cellStyle name="計算方式 4 4 3" xfId="12564"/>
    <cellStyle name="計算方式 4 4 3 2" xfId="19526"/>
    <cellStyle name="計算方式 4 5" xfId="8000"/>
    <cellStyle name="計算方式 4 5 2" xfId="13268"/>
    <cellStyle name="計算方式 4 5 2 2" xfId="16764"/>
    <cellStyle name="計算方式 4 6" xfId="10863"/>
    <cellStyle name="計算方式 4 6 2" xfId="17616"/>
    <cellStyle name="計算方式 5" xfId="3918"/>
    <cellStyle name="計算方式 5 2" xfId="5149"/>
    <cellStyle name="計算方式 5 2 2" xfId="6125"/>
    <cellStyle name="計算方式 5 2 2 2" xfId="6808"/>
    <cellStyle name="計算方式 5 2 2 2 2" xfId="9703"/>
    <cellStyle name="計算方式 5 2 2 2 2 2" xfId="14598"/>
    <cellStyle name="計算方式 5 2 2 2 2 2 2" xfId="18746"/>
    <cellStyle name="計算方式 5 2 2 2 3" xfId="12492"/>
    <cellStyle name="計算方式 5 2 2 2 3 2" xfId="18382"/>
    <cellStyle name="計算方式 5 2 2 3" xfId="8596"/>
    <cellStyle name="計算方式 5 2 2 3 2" xfId="13861"/>
    <cellStyle name="計算方式 5 2 2 3 2 2" xfId="16429"/>
    <cellStyle name="計算方式 5 2 2 4" xfId="11588"/>
    <cellStyle name="計算方式 5 2 2 4 2" xfId="19501"/>
    <cellStyle name="計算方式 5 2 3" xfId="7697"/>
    <cellStyle name="計算方式 5 2 3 2" xfId="10089"/>
    <cellStyle name="計算方式 5 2 3 2 2" xfId="14932"/>
    <cellStyle name="計算方式 5 2 3 2 2 2" xfId="15454"/>
    <cellStyle name="計算方式 5 2 3 3" xfId="12974"/>
    <cellStyle name="計算方式 5 2 3 3 2" xfId="19480"/>
    <cellStyle name="計算方式 5 2 4" xfId="8124"/>
    <cellStyle name="計算方式 5 2 4 2" xfId="13389"/>
    <cellStyle name="計算方式 5 2 4 2 2" xfId="16689"/>
    <cellStyle name="計算方式 5 2 5" xfId="11007"/>
    <cellStyle name="計算方式 5 2 5 2" xfId="18597"/>
    <cellStyle name="計算方式 5 3" xfId="5972"/>
    <cellStyle name="計算方式 5 3 2" xfId="6934"/>
    <cellStyle name="計算方式 5 3 2 2" xfId="9787"/>
    <cellStyle name="計算方式 5 3 2 2 2" xfId="14672"/>
    <cellStyle name="計算方式 5 3 2 2 2 2" xfId="15933"/>
    <cellStyle name="計算方式 5 3 2 3" xfId="12618"/>
    <cellStyle name="計算方式 5 3 2 3 2" xfId="19238"/>
    <cellStyle name="計算方式 5 3 3" xfId="8468"/>
    <cellStyle name="計算方式 5 3 3 2" xfId="13733"/>
    <cellStyle name="計算方式 5 3 3 2 2" xfId="16504"/>
    <cellStyle name="計算方式 5 3 4" xfId="11435"/>
    <cellStyle name="計算方式 5 3 4 2" xfId="18301"/>
    <cellStyle name="計算方式 5 4" xfId="7062"/>
    <cellStyle name="計算方式 5 4 2" xfId="9878"/>
    <cellStyle name="計算方式 5 4 2 2" xfId="14751"/>
    <cellStyle name="計算方式 5 4 2 2 2" xfId="15891"/>
    <cellStyle name="計算方式 5 4 3" xfId="12746"/>
    <cellStyle name="計算方式 5 4 3 2" xfId="20062"/>
    <cellStyle name="計算方式 5 5" xfId="8001"/>
    <cellStyle name="計算方式 5 5 2" xfId="13269"/>
    <cellStyle name="計算方式 5 5 2 2" xfId="15382"/>
    <cellStyle name="計算方式 5 6" xfId="10864"/>
    <cellStyle name="計算方式 5 6 2" xfId="17615"/>
    <cellStyle name="計算方式 6" xfId="3919"/>
    <cellStyle name="計算方式 6 2" xfId="5148"/>
    <cellStyle name="計算方式 6 2 2" xfId="6124"/>
    <cellStyle name="計算方式 6 2 2 2" xfId="7648"/>
    <cellStyle name="計算方式 6 2 2 2 2" xfId="7808"/>
    <cellStyle name="計算方式 6 2 2 2 2 2" xfId="10173"/>
    <cellStyle name="計算方式 6 2 2 2 2 2 2" xfId="13047"/>
    <cellStyle name="計算方式 6 2 2 2 2 2 2 2" xfId="19300"/>
    <cellStyle name="計算方式 6 2 2 2 2 3" xfId="9414"/>
    <cellStyle name="計算方式 6 2 2 2 2 3 2" xfId="14326"/>
    <cellStyle name="計算方式 6 2 2 2 2 3 2 2" xfId="16157"/>
    <cellStyle name="計算方式 6 2 2 2 2 4" xfId="12120"/>
    <cellStyle name="計算方式 6 2 2 2 2 4 2" xfId="17050"/>
    <cellStyle name="計算方式 6 2 2 2 3" xfId="8971"/>
    <cellStyle name="計算方式 6 2 2 2 3 2" xfId="14210"/>
    <cellStyle name="計算方式 6 2 2 2 3 2 2" xfId="18665"/>
    <cellStyle name="計算方式 6 2 2 2 4" xfId="11973"/>
    <cellStyle name="計算方式 6 2 2 2 4 2" xfId="17942"/>
    <cellStyle name="計算方式 6 2 2 3" xfId="6856"/>
    <cellStyle name="計算方式 6 2 2 3 2" xfId="9732"/>
    <cellStyle name="計算方式 6 2 2 3 2 2" xfId="14622"/>
    <cellStyle name="計算方式 6 2 2 3 2 2 2" xfId="15973"/>
    <cellStyle name="計算方式 6 2 2 3 3" xfId="12540"/>
    <cellStyle name="計算方式 6 2 2 3 3 2" xfId="19917"/>
    <cellStyle name="計算方式 6 2 2 4" xfId="8595"/>
    <cellStyle name="計算方式 6 2 2 4 2" xfId="13860"/>
    <cellStyle name="計算方式 6 2 2 4 2 2" xfId="16430"/>
    <cellStyle name="計算方式 6 2 2 5" xfId="11587"/>
    <cellStyle name="計算方式 6 2 2 5 2" xfId="18252"/>
    <cellStyle name="計算方式 6 2 3" xfId="7504"/>
    <cellStyle name="計算方式 6 2 3 2" xfId="7776"/>
    <cellStyle name="計算方式 6 2 3 2 2" xfId="10141"/>
    <cellStyle name="計算方式 6 2 3 2 2 2" xfId="13015"/>
    <cellStyle name="計算方式 6 2 3 2 2 2 2" xfId="19218"/>
    <cellStyle name="計算方式 6 2 3 2 3" xfId="9260"/>
    <cellStyle name="計算方式 6 2 3 2 3 2" xfId="14264"/>
    <cellStyle name="計算方式 6 2 3 2 3 2 2" xfId="16195"/>
    <cellStyle name="計算方式 6 2 3 2 4" xfId="12038"/>
    <cellStyle name="計算方式 6 2 3 2 4 2" xfId="18203"/>
    <cellStyle name="計算方式 6 2 3 3" xfId="8902"/>
    <cellStyle name="計算方式 6 2 3 3 2" xfId="14141"/>
    <cellStyle name="計算方式 6 2 3 3 2 2" xfId="15411"/>
    <cellStyle name="計算方式 6 2 3 4" xfId="11901"/>
    <cellStyle name="計算方式 6 2 3 4 2" xfId="18209"/>
    <cellStyle name="計算方式 6 2 4" xfId="6497"/>
    <cellStyle name="計算方式 6 2 4 2" xfId="9463"/>
    <cellStyle name="計算方式 6 2 4 2 2" xfId="14366"/>
    <cellStyle name="計算方式 6 2 4 2 2 2" xfId="17804"/>
    <cellStyle name="計算方式 6 2 4 3" xfId="12182"/>
    <cellStyle name="計算方式 6 2 4 3 2" xfId="17002"/>
    <cellStyle name="計算方式 6 2 5" xfId="8123"/>
    <cellStyle name="計算方式 6 2 5 2" xfId="13388"/>
    <cellStyle name="計算方式 6 2 5 2 2" xfId="18705"/>
    <cellStyle name="計算方式 6 2 6" xfId="11006"/>
    <cellStyle name="計算方式 6 2 6 2" xfId="18620"/>
    <cellStyle name="計算方式 6 3" xfId="6023"/>
    <cellStyle name="計算方式 6 3 2" xfId="7635"/>
    <cellStyle name="計算方式 6 3 2 2" xfId="7801"/>
    <cellStyle name="計算方式 6 3 2 2 2" xfId="10166"/>
    <cellStyle name="計算方式 6 3 2 2 2 2" xfId="13040"/>
    <cellStyle name="計算方式 6 3 2 2 2 2 2" xfId="19214"/>
    <cellStyle name="計算方式 6 3 2 2 3" xfId="9401"/>
    <cellStyle name="計算方式 6 3 2 2 3 2" xfId="14315"/>
    <cellStyle name="計算方式 6 3 2 2 3 2 2" xfId="15489"/>
    <cellStyle name="計算方式 6 3 2 2 4" xfId="12107"/>
    <cellStyle name="計算方式 6 3 2 2 4 2" xfId="17063"/>
    <cellStyle name="計算方式 6 3 2 3" xfId="8958"/>
    <cellStyle name="計算方式 6 3 2 3 2" xfId="14197"/>
    <cellStyle name="計算方式 6 3 2 3 2 2" xfId="18347"/>
    <cellStyle name="計算方式 6 3 2 4" xfId="11960"/>
    <cellStyle name="計算方式 6 3 2 4 2" xfId="17156"/>
    <cellStyle name="計算方式 6 3 3" xfId="6857"/>
    <cellStyle name="計算方式 6 3 3 2" xfId="9733"/>
    <cellStyle name="計算方式 6 3 3 2 2" xfId="14623"/>
    <cellStyle name="計算方式 6 3 3 2 2 2" xfId="15972"/>
    <cellStyle name="計算方式 6 3 3 3" xfId="12541"/>
    <cellStyle name="計算方式 6 3 3 3 2" xfId="19296"/>
    <cellStyle name="計算方式 6 3 4" xfId="8512"/>
    <cellStyle name="計算方式 6 3 4 2" xfId="13777"/>
    <cellStyle name="計算方式 6 3 4 2 2" xfId="18481"/>
    <cellStyle name="計算方式 6 3 5" xfId="11486"/>
    <cellStyle name="計算方式 6 3 5 2" xfId="19809"/>
    <cellStyle name="計算方式 6 4" xfId="7385"/>
    <cellStyle name="計算方式 6 4 2" xfId="7760"/>
    <cellStyle name="計算方式 6 4 2 2" xfId="10125"/>
    <cellStyle name="計算方式 6 4 2 2 2" xfId="12999"/>
    <cellStyle name="計算方式 6 4 2 2 2 2" xfId="19784"/>
    <cellStyle name="計算方式 6 4 2 3" xfId="9141"/>
    <cellStyle name="計算方式 6 4 2 3 2" xfId="14239"/>
    <cellStyle name="計算方式 6 4 2 3 2 2" xfId="18662"/>
    <cellStyle name="計算方式 6 4 2 4" xfId="12009"/>
    <cellStyle name="計算方式 6 4 2 4 2" xfId="17123"/>
    <cellStyle name="計算方式 6 4 3" xfId="8873"/>
    <cellStyle name="計算方式 6 4 3 2" xfId="14112"/>
    <cellStyle name="計算方式 6 4 3 2 2" xfId="15412"/>
    <cellStyle name="計算方式 6 4 4" xfId="11872"/>
    <cellStyle name="計算方式 6 4 4 2" xfId="17212"/>
    <cellStyle name="計算方式 6 5" xfId="6870"/>
    <cellStyle name="計算方式 6 5 2" xfId="9744"/>
    <cellStyle name="計算方式 6 5 2 2" xfId="14632"/>
    <cellStyle name="計算方式 6 5 2 2 2" xfId="15963"/>
    <cellStyle name="計算方式 6 5 3" xfId="12554"/>
    <cellStyle name="計算方式 6 5 3 2" xfId="19393"/>
    <cellStyle name="計算方式 6 6" xfId="8002"/>
    <cellStyle name="計算方式 6 6 2" xfId="13270"/>
    <cellStyle name="計算方式 6 6 2 2" xfId="18078"/>
    <cellStyle name="計算方式 6 7" xfId="10865"/>
    <cellStyle name="計算方式 6 7 2" xfId="17614"/>
    <cellStyle name="計算方式 7" xfId="3920"/>
    <cellStyle name="計算方式 7 2" xfId="5095"/>
    <cellStyle name="計算方式 7 2 2" xfId="6071"/>
    <cellStyle name="計算方式 7 2 2 2" xfId="6549"/>
    <cellStyle name="計算方式 7 2 2 2 2" xfId="9510"/>
    <cellStyle name="計算方式 7 2 2 2 2 2" xfId="14411"/>
    <cellStyle name="計算方式 7 2 2 2 2 2 2" xfId="16108"/>
    <cellStyle name="計算方式 7 2 2 2 3" xfId="12234"/>
    <cellStyle name="計算方式 7 2 2 2 3 2" xfId="18200"/>
    <cellStyle name="計算方式 7 2 2 3" xfId="8554"/>
    <cellStyle name="計算方式 7 2 2 3 2" xfId="13819"/>
    <cellStyle name="計算方式 7 2 2 3 2 2" xfId="16455"/>
    <cellStyle name="計算方式 7 2 2 4" xfId="11534"/>
    <cellStyle name="計算方式 7 2 2 4 2" xfId="19807"/>
    <cellStyle name="計算方式 7 2 3" xfId="6900"/>
    <cellStyle name="計算方式 7 2 3 2" xfId="9761"/>
    <cellStyle name="計算方式 7 2 3 2 2" xfId="14649"/>
    <cellStyle name="計算方式 7 2 3 2 2 2" xfId="15951"/>
    <cellStyle name="計算方式 7 2 3 3" xfId="12584"/>
    <cellStyle name="計算方式 7 2 3 3 2" xfId="17977"/>
    <cellStyle name="計算方式 7 2 4" xfId="8082"/>
    <cellStyle name="計算方式 7 2 4 2" xfId="13347"/>
    <cellStyle name="計算方式 7 2 4 2 2" xfId="16711"/>
    <cellStyle name="計算方式 7 2 5" xfId="10953"/>
    <cellStyle name="計算方式 7 2 5 2" xfId="18284"/>
    <cellStyle name="計算方式 7 3" xfId="5812"/>
    <cellStyle name="計算方式 7 3 2" xfId="6591"/>
    <cellStyle name="計算方式 7 3 2 2" xfId="9545"/>
    <cellStyle name="計算方式 7 3 2 2 2" xfId="14446"/>
    <cellStyle name="計算方式 7 3 2 2 2 2" xfId="16089"/>
    <cellStyle name="計算方式 7 3 2 3" xfId="12276"/>
    <cellStyle name="計算方式 7 3 2 3 2" xfId="18509"/>
    <cellStyle name="計算方式 7 3 3" xfId="8348"/>
    <cellStyle name="計算方式 7 3 3 2" xfId="13613"/>
    <cellStyle name="計算方式 7 3 3 2 2" xfId="17770"/>
    <cellStyle name="計算方式 7 3 4" xfId="11275"/>
    <cellStyle name="計算方式 7 3 4 2" xfId="18587"/>
    <cellStyle name="計算方式 7 4" xfId="6604"/>
    <cellStyle name="計算方式 7 4 2" xfId="9556"/>
    <cellStyle name="計算方式 7 4 2 2" xfId="14457"/>
    <cellStyle name="計算方式 7 4 2 2 2" xfId="16082"/>
    <cellStyle name="計算方式 7 4 3" xfId="12289"/>
    <cellStyle name="計算方式 7 4 3 2" xfId="17858"/>
    <cellStyle name="計算方式 7 5" xfId="8003"/>
    <cellStyle name="計算方式 7 5 2" xfId="13271"/>
    <cellStyle name="計算方式 7 5 2 2" xfId="18921"/>
    <cellStyle name="計算方式 7 6" xfId="10866"/>
    <cellStyle name="計算方式 7 6 2" xfId="17613"/>
    <cellStyle name="計算方式 8" xfId="4738"/>
    <cellStyle name="計算方式 8 2" xfId="5383"/>
    <cellStyle name="計算方式 8 2 2" xfId="6969"/>
    <cellStyle name="計算方式 8 2 2 2" xfId="9814"/>
    <cellStyle name="計算方式 8 2 2 2 2" xfId="14694"/>
    <cellStyle name="計算方式 8 2 2 2 2 2" xfId="18841"/>
    <cellStyle name="計算方式 8 2 2 3" xfId="12653"/>
    <cellStyle name="計算方式 8 2 2 3 2" xfId="19939"/>
    <cellStyle name="計算方式 8 2 3" xfId="8297"/>
    <cellStyle name="計算方式 8 2 3 2" xfId="13562"/>
    <cellStyle name="計算方式 8 2 3 2 2" xfId="18867"/>
    <cellStyle name="計算方式 8 2 4" xfId="11215"/>
    <cellStyle name="計算方式 8 2 4 2" xfId="17342"/>
    <cellStyle name="計算方式 8 3" xfId="5887"/>
    <cellStyle name="計算方式 8 3 2" xfId="6597"/>
    <cellStyle name="計算方式 8 3 2 2" xfId="9550"/>
    <cellStyle name="計算方式 8 3 2 2 2" xfId="14451"/>
    <cellStyle name="計算方式 8 3 2 2 2 2" xfId="15472"/>
    <cellStyle name="計算方式 8 3 2 3" xfId="12282"/>
    <cellStyle name="計算方式 8 3 2 3 2" xfId="17922"/>
    <cellStyle name="計算方式 8 3 3" xfId="8401"/>
    <cellStyle name="計算方式 8 3 3 2" xfId="13666"/>
    <cellStyle name="計算方式 8 3 3 2 2" xfId="16544"/>
    <cellStyle name="計算方式 8 3 4" xfId="11350"/>
    <cellStyle name="計算方式 8 3 4 2" xfId="19554"/>
    <cellStyle name="計算方式 8 4" xfId="6581"/>
    <cellStyle name="計算方式 8 4 2" xfId="9537"/>
    <cellStyle name="計算方式 8 4 2 2" xfId="14438"/>
    <cellStyle name="計算方式 8 4 2 2 2" xfId="16093"/>
    <cellStyle name="計算方式 8 4 3" xfId="12266"/>
    <cellStyle name="計算方式 8 4 3 2" xfId="17894"/>
    <cellStyle name="計算方式 8 5" xfId="8069"/>
    <cellStyle name="計算方式 8 5 2" xfId="13334"/>
    <cellStyle name="計算方式 8 5 2 2" xfId="16718"/>
    <cellStyle name="計算方式 8 6" xfId="10933"/>
    <cellStyle name="計算方式 8 6 2" xfId="18601"/>
    <cellStyle name="計算方式 9" xfId="5153"/>
    <cellStyle name="計算方式 9 2" xfId="6129"/>
    <cellStyle name="計算方式 9 2 2" xfId="6632"/>
    <cellStyle name="計算方式 9 2 2 2" xfId="9581"/>
    <cellStyle name="計算方式 9 2 2 2 2" xfId="14481"/>
    <cellStyle name="計算方式 9 2 2 2 2 2" xfId="18451"/>
    <cellStyle name="計算方式 9 2 2 3" xfId="12317"/>
    <cellStyle name="計算方式 9 2 2 3 2" xfId="16926"/>
    <cellStyle name="計算方式 9 2 3" xfId="8600"/>
    <cellStyle name="計算方式 9 2 3 2" xfId="13865"/>
    <cellStyle name="計算方式 9 2 3 2 2" xfId="18161"/>
    <cellStyle name="計算方式 9 2 4" xfId="11592"/>
    <cellStyle name="計算方式 9 2 4 2" xfId="19944"/>
    <cellStyle name="計算方式 9 3" xfId="6566"/>
    <cellStyle name="計算方式 9 3 2" xfId="9525"/>
    <cellStyle name="計算方式 9 3 2 2" xfId="14426"/>
    <cellStyle name="計算方式 9 3 2 2 2" xfId="16101"/>
    <cellStyle name="計算方式 9 3 3" xfId="12251"/>
    <cellStyle name="計算方式 9 3 3 2" xfId="17965"/>
    <cellStyle name="計算方式 9 4" xfId="8128"/>
    <cellStyle name="計算方式 9 4 2" xfId="13393"/>
    <cellStyle name="計算方式 9 4 2 2" xfId="16685"/>
    <cellStyle name="計算方式 9 5" xfId="11011"/>
    <cellStyle name="計算方式 9 5 2" xfId="17505"/>
    <cellStyle name="說明文字" xfId="3921"/>
    <cellStyle name="說明文字 2" xfId="3922"/>
    <cellStyle name="說明文字 3" xfId="3923"/>
    <cellStyle name="說明文字 4" xfId="3924"/>
    <cellStyle name="說明文字 4 2" xfId="7386"/>
    <cellStyle name="說明文字 4 2 2" xfId="9142"/>
    <cellStyle name="說明文字 5" xfId="3925"/>
    <cellStyle name="說明文字 6" xfId="4726"/>
    <cellStyle name="說明文字 7" xfId="5535"/>
    <cellStyle name="說明文字 7 2" xfId="7591"/>
    <cellStyle name="說明文字 7 2 2" xfId="9352"/>
    <cellStyle name="警告文字" xfId="3926"/>
    <cellStyle name="警告文字 2" xfId="3927"/>
    <cellStyle name="警告文字 3" xfId="3928"/>
    <cellStyle name="警告文字 4" xfId="3929"/>
    <cellStyle name="警告文字 4 2" xfId="7387"/>
    <cellStyle name="警告文字 4 2 2" xfId="9143"/>
    <cellStyle name="警告文字 5" xfId="3930"/>
    <cellStyle name="警告文字 6" xfId="4756"/>
    <cellStyle name="警告文字 7" xfId="5536"/>
    <cellStyle name="警告文字 7 2" xfId="7592"/>
    <cellStyle name="警告文字 7 2 2" xfId="9353"/>
    <cellStyle name="警告文本" xfId="112"/>
    <cellStyle name="警告文本 10" xfId="5537"/>
    <cellStyle name="警告文本 10 2" xfId="7593"/>
    <cellStyle name="警告文本 10 2 2" xfId="9354"/>
    <cellStyle name="警告文本 11" xfId="3931"/>
    <cellStyle name="警告文本 12" xfId="10420"/>
    <cellStyle name="警告文本 2" xfId="3932"/>
    <cellStyle name="警告文本 2 2" xfId="3933"/>
    <cellStyle name="警告文本 2 2 2" xfId="5066"/>
    <cellStyle name="警告文本 2 3" xfId="3934"/>
    <cellStyle name="警告文本 2 4" xfId="3935"/>
    <cellStyle name="警告文本 2 5" xfId="5035"/>
    <cellStyle name="警告文本 2 5 2" xfId="7474"/>
    <cellStyle name="警告文本 2 5 2 2" xfId="9230"/>
    <cellStyle name="警告文本 3" xfId="3936"/>
    <cellStyle name="警告文本 3 2" xfId="3937"/>
    <cellStyle name="警告文本 4" xfId="3938"/>
    <cellStyle name="警告文本 4 2" xfId="7388"/>
    <cellStyle name="警告文本 4 2 2" xfId="9144"/>
    <cellStyle name="警告文本 5" xfId="3939"/>
    <cellStyle name="警告文本 6" xfId="3940"/>
    <cellStyle name="警告文本 7" xfId="3941"/>
    <cellStyle name="警告文本 7 2" xfId="7389"/>
    <cellStyle name="警告文本 7 2 2" xfId="9145"/>
    <cellStyle name="警告文本 8" xfId="3942"/>
    <cellStyle name="警告文本 9" xfId="3943"/>
    <cellStyle name="计算" xfId="113"/>
    <cellStyle name="计算 10" xfId="3945"/>
    <cellStyle name="计算 10 2" xfId="5248"/>
    <cellStyle name="计算 10 2 2" xfId="6224"/>
    <cellStyle name="计算 10 2 2 2" xfId="7019"/>
    <cellStyle name="计算 10 2 2 2 2" xfId="9847"/>
    <cellStyle name="计算 10 2 2 2 2 2" xfId="14723"/>
    <cellStyle name="计算 10 2 2 2 2 2 2" xfId="15907"/>
    <cellStyle name="计算 10 2 2 2 3" xfId="12703"/>
    <cellStyle name="计算 10 2 2 2 3 2" xfId="19489"/>
    <cellStyle name="计算 10 2 2 3" xfId="8689"/>
    <cellStyle name="计算 10 2 2 3 2" xfId="13954"/>
    <cellStyle name="计算 10 2 2 3 2 2" xfId="16362"/>
    <cellStyle name="计算 10 2 2 4" xfId="11687"/>
    <cellStyle name="计算 10 2 2 4 2" xfId="19709"/>
    <cellStyle name="计算 10 2 3" xfId="6651"/>
    <cellStyle name="计算 10 2 3 2" xfId="9600"/>
    <cellStyle name="计算 10 2 3 2 2" xfId="14500"/>
    <cellStyle name="计算 10 2 3 2 2 2" xfId="18449"/>
    <cellStyle name="计算 10 2 3 3" xfId="12336"/>
    <cellStyle name="计算 10 2 3 3 2" xfId="16916"/>
    <cellStyle name="计算 10 2 4" xfId="8217"/>
    <cellStyle name="计算 10 2 4 2" xfId="13482"/>
    <cellStyle name="计算 10 2 4 2 2" xfId="18226"/>
    <cellStyle name="计算 10 2 5" xfId="11106"/>
    <cellStyle name="计算 10 2 5 2" xfId="17426"/>
    <cellStyle name="计算 10 3" xfId="6048"/>
    <cellStyle name="计算 10 3 2" xfId="6476"/>
    <cellStyle name="计算 10 3 2 2" xfId="9450"/>
    <cellStyle name="计算 10 3 2 2 2" xfId="14355"/>
    <cellStyle name="计算 10 3 2 2 2 2" xfId="18151"/>
    <cellStyle name="计算 10 3 2 3" xfId="12161"/>
    <cellStyle name="计算 10 3 2 3 2" xfId="17018"/>
    <cellStyle name="计算 10 3 3" xfId="8536"/>
    <cellStyle name="计算 10 3 3 2" xfId="13801"/>
    <cellStyle name="计算 10 3 3 2 2" xfId="15502"/>
    <cellStyle name="计算 10 3 4" xfId="11511"/>
    <cellStyle name="计算 10 3 4 2" xfId="19187"/>
    <cellStyle name="计算 10 4" xfId="6603"/>
    <cellStyle name="计算 10 4 2" xfId="9555"/>
    <cellStyle name="计算 10 4 2 2" xfId="14456"/>
    <cellStyle name="计算 10 4 2 2 2" xfId="16083"/>
    <cellStyle name="计算 10 4 3" xfId="12288"/>
    <cellStyle name="计算 10 4 3 2" xfId="16939"/>
    <cellStyle name="计算 10 5" xfId="8005"/>
    <cellStyle name="计算 10 5 2" xfId="13273"/>
    <cellStyle name="计算 10 5 2 2" xfId="18001"/>
    <cellStyle name="计算 10 6" xfId="10868"/>
    <cellStyle name="计算 10 6 2" xfId="17611"/>
    <cellStyle name="计算 11" xfId="5192"/>
    <cellStyle name="计算 11 2" xfId="6168"/>
    <cellStyle name="计算 11 2 2" xfId="7658"/>
    <cellStyle name="计算 11 2 2 2" xfId="7813"/>
    <cellStyle name="计算 11 2 2 2 2" xfId="10178"/>
    <cellStyle name="计算 11 2 2 2 2 2" xfId="13052"/>
    <cellStyle name="计算 11 2 2 2 2 2 2" xfId="18583"/>
    <cellStyle name="计算 11 2 2 2 3" xfId="9427"/>
    <cellStyle name="计算 11 2 2 2 3 2" xfId="14335"/>
    <cellStyle name="计算 11 2 2 2 3 2 2" xfId="18465"/>
    <cellStyle name="计算 11 2 2 2 4" xfId="12133"/>
    <cellStyle name="计算 11 2 2 2 4 2" xfId="18004"/>
    <cellStyle name="计算 11 2 2 3" xfId="8981"/>
    <cellStyle name="计算 11 2 2 3 2" xfId="14220"/>
    <cellStyle name="计算 11 2 2 3 2 2" xfId="16216"/>
    <cellStyle name="计算 11 2 2 4" xfId="11983"/>
    <cellStyle name="计算 11 2 2 4 2" xfId="18517"/>
    <cellStyle name="计算 11 2 3" xfId="6936"/>
    <cellStyle name="计算 11 2 3 2" xfId="9789"/>
    <cellStyle name="计算 11 2 3 2 2" xfId="14674"/>
    <cellStyle name="计算 11 2 3 2 2 2" xfId="15931"/>
    <cellStyle name="计算 11 2 3 3" xfId="12620"/>
    <cellStyle name="计算 11 2 3 3 2" xfId="20039"/>
    <cellStyle name="计算 11 2 4" xfId="8637"/>
    <cellStyle name="计算 11 2 4 2" xfId="13902"/>
    <cellStyle name="计算 11 2 4 2 2" xfId="18920"/>
    <cellStyle name="计算 11 2 5" xfId="11631"/>
    <cellStyle name="计算 11 2 5 2" xfId="19684"/>
    <cellStyle name="计算 11 3" xfId="7514"/>
    <cellStyle name="计算 11 3 2" xfId="7781"/>
    <cellStyle name="计算 11 3 2 2" xfId="10146"/>
    <cellStyle name="计算 11 3 2 2 2" xfId="13020"/>
    <cellStyle name="计算 11 3 2 2 2 2" xfId="18293"/>
    <cellStyle name="计算 11 3 2 3" xfId="9273"/>
    <cellStyle name="计算 11 3 2 3 2" xfId="14273"/>
    <cellStyle name="计算 11 3 2 3 2 2" xfId="16190"/>
    <cellStyle name="计算 11 3 2 4" xfId="12051"/>
    <cellStyle name="计算 11 3 2 4 2" xfId="17097"/>
    <cellStyle name="计算 11 3 3" xfId="8912"/>
    <cellStyle name="计算 11 3 3 2" xfId="14151"/>
    <cellStyle name="计算 11 3 3 2 2" xfId="18852"/>
    <cellStyle name="计算 11 3 4" xfId="11911"/>
    <cellStyle name="计算 11 3 4 2" xfId="17189"/>
    <cellStyle name="计算 11 4" xfId="6505"/>
    <cellStyle name="计算 11 4 2" xfId="9471"/>
    <cellStyle name="计算 11 4 2 2" xfId="14373"/>
    <cellStyle name="计算 11 4 2 2 2" xfId="16126"/>
    <cellStyle name="计算 11 4 3" xfId="12190"/>
    <cellStyle name="计算 11 4 3 2" xfId="17992"/>
    <cellStyle name="计算 11 5" xfId="8165"/>
    <cellStyle name="计算 11 5 2" xfId="13430"/>
    <cellStyle name="计算 11 5 2 2" xfId="19152"/>
    <cellStyle name="计算 11 6" xfId="11050"/>
    <cellStyle name="计算 11 6 2" xfId="17478"/>
    <cellStyle name="计算 12" xfId="5538"/>
    <cellStyle name="计算 12 2" xfId="7594"/>
    <cellStyle name="计算 12 2 2" xfId="7787"/>
    <cellStyle name="计算 12 2 2 2" xfId="10152"/>
    <cellStyle name="计算 12 2 2 2 2" xfId="13026"/>
    <cellStyle name="计算 12 2 2 2 2 2" xfId="19706"/>
    <cellStyle name="计算 12 2 2 3" xfId="9355"/>
    <cellStyle name="计算 12 2 2 3 2" xfId="14288"/>
    <cellStyle name="计算 12 2 2 3 2 2" xfId="18157"/>
    <cellStyle name="计算 12 2 2 4" xfId="12070"/>
    <cellStyle name="计算 12 2 2 4 2" xfId="17753"/>
    <cellStyle name="计算 12 2 3" xfId="8927"/>
    <cellStyle name="计算 12 2 3 2" xfId="14166"/>
    <cellStyle name="计算 12 2 3 2 2" xfId="18961"/>
    <cellStyle name="计算 12 2 4" xfId="11928"/>
    <cellStyle name="计算 12 2 4 2" xfId="17936"/>
    <cellStyle name="计算 12 3" xfId="6550"/>
    <cellStyle name="计算 12 3 2" xfId="9511"/>
    <cellStyle name="计算 12 3 2 2" xfId="14412"/>
    <cellStyle name="计算 12 3 2 2 2" xfId="16102"/>
    <cellStyle name="计算 12 3 3" xfId="12235"/>
    <cellStyle name="计算 12 3 3 2" xfId="17912"/>
    <cellStyle name="计算 12 4" xfId="8319"/>
    <cellStyle name="计算 12 4 2" xfId="13584"/>
    <cellStyle name="计算 12 4 2 2" xfId="17767"/>
    <cellStyle name="计算 12 5" xfId="11245"/>
    <cellStyle name="计算 12 5 2" xfId="18588"/>
    <cellStyle name="计算 13" xfId="6022"/>
    <cellStyle name="计算 13 2" xfId="7634"/>
    <cellStyle name="计算 13 2 2" xfId="7800"/>
    <cellStyle name="计算 13 2 2 2" xfId="10165"/>
    <cellStyle name="计算 13 2 2 2 2" xfId="13039"/>
    <cellStyle name="计算 13 2 2 2 2 2" xfId="19834"/>
    <cellStyle name="计算 13 2 2 3" xfId="9400"/>
    <cellStyle name="计算 13 2 2 3 2" xfId="14314"/>
    <cellStyle name="计算 13 2 2 3 2 2" xfId="16165"/>
    <cellStyle name="计算 13 2 2 4" xfId="12106"/>
    <cellStyle name="计算 13 2 2 4 2" xfId="17064"/>
    <cellStyle name="计算 13 2 3" xfId="8957"/>
    <cellStyle name="计算 13 2 3 2" xfId="14196"/>
    <cellStyle name="计算 13 2 3 2 2" xfId="18779"/>
    <cellStyle name="计算 13 2 4" xfId="11959"/>
    <cellStyle name="计算 13 2 4 2" xfId="17157"/>
    <cellStyle name="计算 13 3" xfId="6572"/>
    <cellStyle name="计算 13 3 2" xfId="9531"/>
    <cellStyle name="计算 13 3 2 2" xfId="14432"/>
    <cellStyle name="计算 13 3 2 2 2" xfId="16090"/>
    <cellStyle name="计算 13 3 3" xfId="12257"/>
    <cellStyle name="计算 13 3 3 2" xfId="16954"/>
    <cellStyle name="计算 13 4" xfId="8511"/>
    <cellStyle name="计算 13 4 2" xfId="13776"/>
    <cellStyle name="计算 13 4 2 2" xfId="16472"/>
    <cellStyle name="计算 13 5" xfId="11485"/>
    <cellStyle name="计算 13 5 2" xfId="19504"/>
    <cellStyle name="计算 14" xfId="3944"/>
    <cellStyle name="计算 14 2" xfId="6679"/>
    <cellStyle name="计算 14 2 2" xfId="9628"/>
    <cellStyle name="计算 14 2 2 2" xfId="14525"/>
    <cellStyle name="计算 14 2 2 2 2" xfId="16043"/>
    <cellStyle name="计算 14 2 3" xfId="12364"/>
    <cellStyle name="计算 14 2 3 2" xfId="17957"/>
    <cellStyle name="计算 14 3" xfId="8004"/>
    <cellStyle name="计算 14 3 2" xfId="13272"/>
    <cellStyle name="计算 14 3 2 2" xfId="18740"/>
    <cellStyle name="计算 14 4" xfId="10867"/>
    <cellStyle name="计算 14 4 2" xfId="17612"/>
    <cellStyle name="计算 15" xfId="7816"/>
    <cellStyle name="计算 15 2" xfId="13055"/>
    <cellStyle name="计算 15 2 2" xfId="19476"/>
    <cellStyle name="计算 16" xfId="10633"/>
    <cellStyle name="计算 16 2" xfId="19235"/>
    <cellStyle name="计算 2" xfId="385"/>
    <cellStyle name="计算 2 10" xfId="10638"/>
    <cellStyle name="计算 2 10 2" xfId="19814"/>
    <cellStyle name="计算 2 2" xfId="395"/>
    <cellStyle name="计算 2 2 2" xfId="417"/>
    <cellStyle name="计算 2 2 2 2" xfId="5396"/>
    <cellStyle name="计算 2 2 2 2 2" xfId="6647"/>
    <cellStyle name="计算 2 2 2 2 2 2" xfId="9596"/>
    <cellStyle name="计算 2 2 2 2 2 2 2" xfId="14496"/>
    <cellStyle name="计算 2 2 2 2 2 2 2 2" xfId="16060"/>
    <cellStyle name="计算 2 2 2 2 2 3" xfId="12332"/>
    <cellStyle name="计算 2 2 2 2 2 3 2" xfId="16919"/>
    <cellStyle name="计算 2 2 2 2 3" xfId="8303"/>
    <cellStyle name="计算 2 2 2 2 3 2" xfId="13568"/>
    <cellStyle name="计算 2 2 2 2 3 2 2" xfId="18758"/>
    <cellStyle name="计算 2 2 2 2 4" xfId="11228"/>
    <cellStyle name="计算 2 2 2 2 4 2" xfId="18271"/>
    <cellStyle name="计算 2 2 2 3" xfId="5881"/>
    <cellStyle name="计算 2 2 2 3 2" xfId="6561"/>
    <cellStyle name="计算 2 2 2 3 2 2" xfId="9520"/>
    <cellStyle name="计算 2 2 2 3 2 2 2" xfId="14421"/>
    <cellStyle name="计算 2 2 2 3 2 2 2 2" xfId="15475"/>
    <cellStyle name="计算 2 2 2 3 2 3" xfId="12246"/>
    <cellStyle name="计算 2 2 2 3 2 3 2" xfId="18199"/>
    <cellStyle name="计算 2 2 2 3 3" xfId="8397"/>
    <cellStyle name="计算 2 2 2 3 3 2" xfId="13662"/>
    <cellStyle name="计算 2 2 2 3 3 2 2" xfId="16548"/>
    <cellStyle name="计算 2 2 2 3 4" xfId="11344"/>
    <cellStyle name="计算 2 2 2 3 4 2" xfId="19263"/>
    <cellStyle name="计算 2 2 2 4" xfId="5067"/>
    <cellStyle name="计算 2 2 2 4 2" xfId="6514"/>
    <cellStyle name="计算 2 2 2 4 2 2" xfId="9480"/>
    <cellStyle name="计算 2 2 2 4 2 2 2" xfId="14382"/>
    <cellStyle name="计算 2 2 2 4 2 2 2 2" xfId="15478"/>
    <cellStyle name="计算 2 2 2 4 2 3" xfId="12199"/>
    <cellStyle name="计算 2 2 2 4 2 3 2" xfId="16990"/>
    <cellStyle name="计算 2 2 2 4 3" xfId="8075"/>
    <cellStyle name="计算 2 2 2 4 3 2" xfId="13340"/>
    <cellStyle name="计算 2 2 2 4 3 2 2" xfId="16714"/>
    <cellStyle name="计算 2 2 2 4 4" xfId="10946"/>
    <cellStyle name="计算 2 2 2 4 4 2" xfId="17550"/>
    <cellStyle name="计算 2 2 2 5" xfId="7042"/>
    <cellStyle name="计算 2 2 2 5 2" xfId="9865"/>
    <cellStyle name="计算 2 2 2 5 2 2" xfId="14740"/>
    <cellStyle name="计算 2 2 2 5 2 2 2" xfId="15896"/>
    <cellStyle name="计算 2 2 2 5 3" xfId="12726"/>
    <cellStyle name="计算 2 2 2 5 3 2" xfId="16845"/>
    <cellStyle name="计算 2 2 2 6" xfId="7851"/>
    <cellStyle name="计算 2 2 2 6 2" xfId="13090"/>
    <cellStyle name="计算 2 2 2 6 2 2" xfId="19159"/>
    <cellStyle name="计算 2 2 2 7" xfId="10668"/>
    <cellStyle name="计算 2 2 2 7 2" xfId="18574"/>
    <cellStyle name="计算 2 2 3" xfId="5147"/>
    <cellStyle name="计算 2 2 3 2" xfId="6123"/>
    <cellStyle name="计算 2 2 3 2 2" xfId="6569"/>
    <cellStyle name="计算 2 2 3 2 2 2" xfId="9528"/>
    <cellStyle name="计算 2 2 3 2 2 2 2" xfId="14429"/>
    <cellStyle name="计算 2 2 3 2 2 2 2 2" xfId="16098"/>
    <cellStyle name="计算 2 2 3 2 2 3" xfId="12254"/>
    <cellStyle name="计算 2 2 3 2 2 3 2" xfId="16957"/>
    <cellStyle name="计算 2 2 3 2 3" xfId="8594"/>
    <cellStyle name="计算 2 2 3 2 3 2" xfId="13859"/>
    <cellStyle name="计算 2 2 3 2 3 2 2" xfId="16431"/>
    <cellStyle name="计算 2 2 3 2 4" xfId="11586"/>
    <cellStyle name="计算 2 2 3 2 4 2" xfId="18569"/>
    <cellStyle name="计算 2 2 3 3" xfId="7718"/>
    <cellStyle name="计算 2 2 3 3 2" xfId="10108"/>
    <cellStyle name="计算 2 2 3 3 2 2" xfId="14950"/>
    <cellStyle name="计算 2 2 3 3 2 2 2" xfId="15797"/>
    <cellStyle name="计算 2 2 3 3 3" xfId="12995"/>
    <cellStyle name="计算 2 2 3 3 3 2" xfId="19110"/>
    <cellStyle name="计算 2 2 3 4" xfId="8122"/>
    <cellStyle name="计算 2 2 3 4 2" xfId="13387"/>
    <cellStyle name="计算 2 2 3 4 2 2" xfId="18886"/>
    <cellStyle name="计算 2 2 3 5" xfId="11005"/>
    <cellStyle name="计算 2 2 3 5 2" xfId="17493"/>
    <cellStyle name="计算 2 2 4" xfId="6021"/>
    <cellStyle name="计算 2 2 4 2" xfId="7009"/>
    <cellStyle name="计算 2 2 4 2 2" xfId="9841"/>
    <cellStyle name="计算 2 2 4 2 2 2" xfId="14717"/>
    <cellStyle name="计算 2 2 4 2 2 2 2" xfId="18341"/>
    <cellStyle name="计算 2 2 4 2 3" xfId="12693"/>
    <cellStyle name="计算 2 2 4 2 3 2" xfId="18560"/>
    <cellStyle name="计算 2 2 4 3" xfId="8510"/>
    <cellStyle name="计算 2 2 4 3 2" xfId="13775"/>
    <cellStyle name="计算 2 2 4 3 2 2" xfId="15508"/>
    <cellStyle name="计算 2 2 4 4" xfId="11484"/>
    <cellStyle name="计算 2 2 4 4 2" xfId="17259"/>
    <cellStyle name="计算 2 2 5" xfId="3947"/>
    <cellStyle name="计算 2 2 5 2" xfId="6847"/>
    <cellStyle name="计算 2 2 5 2 2" xfId="9725"/>
    <cellStyle name="计算 2 2 5 2 2 2" xfId="14616"/>
    <cellStyle name="计算 2 2 5 2 2 2 2" xfId="18056"/>
    <cellStyle name="计算 2 2 5 2 3" xfId="12531"/>
    <cellStyle name="计算 2 2 5 2 3 2" xfId="18536"/>
    <cellStyle name="计算 2 2 5 3" xfId="8007"/>
    <cellStyle name="计算 2 2 5 3 2" xfId="13275"/>
    <cellStyle name="计算 2 2 5 3 2 2" xfId="16762"/>
    <cellStyle name="计算 2 2 5 4" xfId="10870"/>
    <cellStyle name="计算 2 2 5 4 2" xfId="17609"/>
    <cellStyle name="计算 2 2 6" xfId="6710"/>
    <cellStyle name="计算 2 2 6 2" xfId="9646"/>
    <cellStyle name="计算 2 2 6 2 2" xfId="14543"/>
    <cellStyle name="计算 2 2 6 2 2 2" xfId="16033"/>
    <cellStyle name="计算 2 2 6 3" xfId="12394"/>
    <cellStyle name="计算 2 2 6 3 2" xfId="16889"/>
    <cellStyle name="计算 2 2 7" xfId="7832"/>
    <cellStyle name="计算 2 2 7 2" xfId="13071"/>
    <cellStyle name="计算 2 2 7 2 2" xfId="19835"/>
    <cellStyle name="计算 2 2 8" xfId="10649"/>
    <cellStyle name="计算 2 2 8 2" xfId="19287"/>
    <cellStyle name="计算 2 3" xfId="407"/>
    <cellStyle name="计算 2 3 2" xfId="5146"/>
    <cellStyle name="计算 2 3 2 2" xfId="6122"/>
    <cellStyle name="计算 2 3 2 2 2" xfId="6633"/>
    <cellStyle name="计算 2 3 2 2 2 2" xfId="9582"/>
    <cellStyle name="计算 2 3 2 2 2 2 2" xfId="14482"/>
    <cellStyle name="计算 2 3 2 2 2 2 2 2" xfId="18139"/>
    <cellStyle name="计算 2 3 2 2 2 3" xfId="12318"/>
    <cellStyle name="计算 2 3 2 2 2 3 2" xfId="16925"/>
    <cellStyle name="计算 2 3 2 2 3" xfId="8593"/>
    <cellStyle name="计算 2 3 2 2 3 2" xfId="13858"/>
    <cellStyle name="计算 2 3 2 2 3 2 2" xfId="16432"/>
    <cellStyle name="计算 2 3 2 2 4" xfId="11585"/>
    <cellStyle name="计算 2 3 2 2 4 2" xfId="19094"/>
    <cellStyle name="计算 2 3 2 3" xfId="6557"/>
    <cellStyle name="计算 2 3 2 3 2" xfId="9517"/>
    <cellStyle name="计算 2 3 2 3 2 2" xfId="14418"/>
    <cellStyle name="计算 2 3 2 3 2 2 2" xfId="16105"/>
    <cellStyle name="计算 2 3 2 3 3" xfId="12242"/>
    <cellStyle name="计算 2 3 2 3 3 2" xfId="16962"/>
    <cellStyle name="计算 2 3 2 4" xfId="8121"/>
    <cellStyle name="计算 2 3 2 4 2" xfId="13386"/>
    <cellStyle name="计算 2 3 2 4 2 2" xfId="16690"/>
    <cellStyle name="计算 2 3 2 5" xfId="11004"/>
    <cellStyle name="计算 2 3 2 5 2" xfId="19132"/>
    <cellStyle name="计算 2 3 3" xfId="5970"/>
    <cellStyle name="计算 2 3 3 2" xfId="6835"/>
    <cellStyle name="计算 2 3 3 2 2" xfId="9718"/>
    <cellStyle name="计算 2 3 3 2 2 2" xfId="14609"/>
    <cellStyle name="计算 2 3 3 2 2 2 2" xfId="15981"/>
    <cellStyle name="计算 2 3 3 2 3" xfId="12519"/>
    <cellStyle name="计算 2 3 3 2 3 2" xfId="19176"/>
    <cellStyle name="计算 2 3 3 3" xfId="8466"/>
    <cellStyle name="计算 2 3 3 3 2" xfId="13731"/>
    <cellStyle name="计算 2 3 3 3 2 2" xfId="16506"/>
    <cellStyle name="计算 2 3 3 4" xfId="11433"/>
    <cellStyle name="计算 2 3 3 4 2" xfId="19340"/>
    <cellStyle name="计算 2 3 4" xfId="3948"/>
    <cellStyle name="计算 2 3 4 2" xfId="6472"/>
    <cellStyle name="计算 2 3 4 2 2" xfId="9448"/>
    <cellStyle name="计算 2 3 4 2 2 2" xfId="14353"/>
    <cellStyle name="计算 2 3 4 2 2 2 2" xfId="16138"/>
    <cellStyle name="计算 2 3 4 2 3" xfId="12157"/>
    <cellStyle name="计算 2 3 4 2 3 2" xfId="17022"/>
    <cellStyle name="计算 2 3 4 3" xfId="8008"/>
    <cellStyle name="计算 2 3 4 3 2" xfId="13276"/>
    <cellStyle name="计算 2 3 4 3 2 2" xfId="16761"/>
    <cellStyle name="计算 2 3 4 4" xfId="10871"/>
    <cellStyle name="计算 2 3 4 4 2" xfId="17608"/>
    <cellStyle name="计算 2 3 5" xfId="6753"/>
    <cellStyle name="计算 2 3 5 2" xfId="9670"/>
    <cellStyle name="计算 2 3 5 2 2" xfId="14567"/>
    <cellStyle name="计算 2 3 5 2 2 2" xfId="16013"/>
    <cellStyle name="计算 2 3 5 3" xfId="12437"/>
    <cellStyle name="计算 2 3 5 3 2" xfId="20015"/>
    <cellStyle name="计算 2 3 6" xfId="7841"/>
    <cellStyle name="计算 2 3 6 2" xfId="13080"/>
    <cellStyle name="计算 2 3 6 2 2" xfId="19710"/>
    <cellStyle name="计算 2 3 7" xfId="10658"/>
    <cellStyle name="计算 2 3 7 2" xfId="19598"/>
    <cellStyle name="计算 2 4" xfId="3949"/>
    <cellStyle name="计算 2 4 2" xfId="5249"/>
    <cellStyle name="计算 2 4 2 2" xfId="6225"/>
    <cellStyle name="计算 2 4 2 2 2" xfId="6872"/>
    <cellStyle name="计算 2 4 2 2 2 2" xfId="9746"/>
    <cellStyle name="计算 2 4 2 2 2 2 2" xfId="14634"/>
    <cellStyle name="计算 2 4 2 2 2 2 2 2" xfId="15961"/>
    <cellStyle name="计算 2 4 2 2 2 3" xfId="12556"/>
    <cellStyle name="计算 2 4 2 2 2 3 2" xfId="19577"/>
    <cellStyle name="计算 2 4 2 2 3" xfId="8690"/>
    <cellStyle name="计算 2 4 2 2 3 2" xfId="13955"/>
    <cellStyle name="计算 2 4 2 2 3 2 2" xfId="16361"/>
    <cellStyle name="计算 2 4 2 2 4" xfId="11688"/>
    <cellStyle name="计算 2 4 2 2 4 2" xfId="20011"/>
    <cellStyle name="计算 2 4 2 3" xfId="6459"/>
    <cellStyle name="计算 2 4 2 3 2" xfId="9437"/>
    <cellStyle name="计算 2 4 2 3 2 2" xfId="14342"/>
    <cellStyle name="计算 2 4 2 3 2 2 2" xfId="16150"/>
    <cellStyle name="计算 2 4 2 3 3" xfId="12144"/>
    <cellStyle name="计算 2 4 2 3 3 2" xfId="17030"/>
    <cellStyle name="计算 2 4 2 4" xfId="8218"/>
    <cellStyle name="计算 2 4 2 4 2" xfId="13483"/>
    <cellStyle name="计算 2 4 2 4 2 2" xfId="16640"/>
    <cellStyle name="计算 2 4 2 5" xfId="11107"/>
    <cellStyle name="计算 2 4 2 5 2" xfId="17425"/>
    <cellStyle name="计算 2 4 3" xfId="6047"/>
    <cellStyle name="计算 2 4 3 2" xfId="6503"/>
    <cellStyle name="计算 2 4 3 2 2" xfId="9469"/>
    <cellStyle name="计算 2 4 3 2 2 2" xfId="14371"/>
    <cellStyle name="计算 2 4 3 2 2 2 2" xfId="16133"/>
    <cellStyle name="计算 2 4 3 2 3" xfId="12188"/>
    <cellStyle name="计算 2 4 3 2 3 2" xfId="18912"/>
    <cellStyle name="计算 2 4 3 3" xfId="8535"/>
    <cellStyle name="计算 2 4 3 3 2" xfId="13800"/>
    <cellStyle name="计算 2 4 3 3 2 2" xfId="15503"/>
    <cellStyle name="计算 2 4 3 4" xfId="11510"/>
    <cellStyle name="计算 2 4 3 4 2" xfId="19808"/>
    <cellStyle name="计算 2 4 4" xfId="6534"/>
    <cellStyle name="计算 2 4 4 2" xfId="9500"/>
    <cellStyle name="计算 2 4 4 2 2" xfId="14401"/>
    <cellStyle name="计算 2 4 4 2 2 2" xfId="16115"/>
    <cellStyle name="计算 2 4 4 3" xfId="12219"/>
    <cellStyle name="计算 2 4 4 3 2" xfId="16975"/>
    <cellStyle name="计算 2 4 5" xfId="8009"/>
    <cellStyle name="计算 2 4 5 2" xfId="13277"/>
    <cellStyle name="计算 2 4 5 2 2" xfId="16760"/>
    <cellStyle name="计算 2 4 6" xfId="10872"/>
    <cellStyle name="计算 2 4 6 2" xfId="17607"/>
    <cellStyle name="计算 2 5" xfId="5033"/>
    <cellStyle name="计算 2 5 2" xfId="5394"/>
    <cellStyle name="计算 2 5 2 2" xfId="7524"/>
    <cellStyle name="计算 2 5 2 2 2" xfId="7784"/>
    <cellStyle name="计算 2 5 2 2 2 2" xfId="10149"/>
    <cellStyle name="计算 2 5 2 2 2 2 2" xfId="13023"/>
    <cellStyle name="计算 2 5 2 2 2 2 2 2" xfId="19477"/>
    <cellStyle name="计算 2 5 2 2 2 3" xfId="9285"/>
    <cellStyle name="计算 2 5 2 2 2 3 2" xfId="14282"/>
    <cellStyle name="计算 2 5 2 2 2 3 2 2" xfId="16185"/>
    <cellStyle name="计算 2 5 2 2 2 4" xfId="12063"/>
    <cellStyle name="计算 2 5 2 2 2 4 2" xfId="17870"/>
    <cellStyle name="计算 2 5 2 2 3" xfId="8921"/>
    <cellStyle name="计算 2 5 2 2 3 2" xfId="14160"/>
    <cellStyle name="计算 2 5 2 2 3 2 2" xfId="16245"/>
    <cellStyle name="计算 2 5 2 2 4" xfId="11921"/>
    <cellStyle name="计算 2 5 2 2 4 2" xfId="17179"/>
    <cellStyle name="计算 2 5 2 3" xfId="6809"/>
    <cellStyle name="计算 2 5 2 3 2" xfId="9704"/>
    <cellStyle name="计算 2 5 2 3 2 2" xfId="14599"/>
    <cellStyle name="计算 2 5 2 3 2 2 2" xfId="18007"/>
    <cellStyle name="计算 2 5 2 3 3" xfId="12493"/>
    <cellStyle name="计算 2 5 2 3 3 2" xfId="18403"/>
    <cellStyle name="计算 2 5 2 4" xfId="8301"/>
    <cellStyle name="计算 2 5 2 4 2" xfId="13566"/>
    <cellStyle name="计算 2 5 2 4 2 2" xfId="16599"/>
    <cellStyle name="计算 2 5 2 5" xfId="11226"/>
    <cellStyle name="计算 2 5 2 5 2" xfId="18589"/>
    <cellStyle name="计算 2 5 3" xfId="5882"/>
    <cellStyle name="计算 2 5 3 2" xfId="7622"/>
    <cellStyle name="计算 2 5 3 2 2" xfId="7794"/>
    <cellStyle name="计算 2 5 3 2 2 2" xfId="10159"/>
    <cellStyle name="计算 2 5 3 2 2 2 2" xfId="13033"/>
    <cellStyle name="计算 2 5 3 2 2 2 2 2" xfId="19720"/>
    <cellStyle name="计算 2 5 3 2 2 3" xfId="9384"/>
    <cellStyle name="计算 2 5 3 2 2 3 2" xfId="14303"/>
    <cellStyle name="计算 2 5 3 2 2 3 2 2" xfId="16172"/>
    <cellStyle name="计算 2 5 3 2 2 4" xfId="12090"/>
    <cellStyle name="计算 2 5 3 2 2 4 2" xfId="17074"/>
    <cellStyle name="计算 2 5 3 2 3" xfId="8945"/>
    <cellStyle name="计算 2 5 3 2 3 2" xfId="14184"/>
    <cellStyle name="计算 2 5 3 2 3 2 2" xfId="16233"/>
    <cellStyle name="计算 2 5 3 2 4" xfId="11947"/>
    <cellStyle name="计算 2 5 3 2 4 2" xfId="17167"/>
    <cellStyle name="计算 2 5 3 3" xfId="6499"/>
    <cellStyle name="计算 2 5 3 3 2" xfId="9465"/>
    <cellStyle name="计算 2 5 3 3 2 2" xfId="14368"/>
    <cellStyle name="计算 2 5 3 3 2 2 2" xfId="16136"/>
    <cellStyle name="计算 2 5 3 3 3" xfId="12184"/>
    <cellStyle name="计算 2 5 3 3 3 2" xfId="17000"/>
    <cellStyle name="计算 2 5 3 4" xfId="8398"/>
    <cellStyle name="计算 2 5 3 4 2" xfId="13663"/>
    <cellStyle name="计算 2 5 3 4 2 2" xfId="16547"/>
    <cellStyle name="计算 2 5 3 5" xfId="11345"/>
    <cellStyle name="计算 2 5 3 5 2" xfId="19673"/>
    <cellStyle name="计算 2 5 4" xfId="7472"/>
    <cellStyle name="计算 2 5 4 2" xfId="7770"/>
    <cellStyle name="计算 2 5 4 2 2" xfId="10135"/>
    <cellStyle name="计算 2 5 4 2 2 2" xfId="13009"/>
    <cellStyle name="计算 2 5 4 2 2 2 2" xfId="19981"/>
    <cellStyle name="计算 2 5 4 2 3" xfId="9228"/>
    <cellStyle name="计算 2 5 4 2 3 2" xfId="14255"/>
    <cellStyle name="计算 2 5 4 2 3 2 2" xfId="18352"/>
    <cellStyle name="计算 2 5 4 2 4" xfId="12026"/>
    <cellStyle name="计算 2 5 4 2 4 2" xfId="18204"/>
    <cellStyle name="计算 2 5 4 3" xfId="8890"/>
    <cellStyle name="计算 2 5 4 3 2" xfId="14129"/>
    <cellStyle name="计算 2 5 4 3 2 2" xfId="18248"/>
    <cellStyle name="计算 2 5 4 4" xfId="11889"/>
    <cellStyle name="计算 2 5 4 4 2" xfId="18210"/>
    <cellStyle name="计算 2 5 5" xfId="6756"/>
    <cellStyle name="计算 2 5 5 2" xfId="9673"/>
    <cellStyle name="计算 2 5 5 2 2" xfId="14570"/>
    <cellStyle name="计算 2 5 5 2 2 2" xfId="16010"/>
    <cellStyle name="计算 2 5 5 3" xfId="12440"/>
    <cellStyle name="计算 2 5 5 3 2" xfId="18415"/>
    <cellStyle name="计算 2 5 6" xfId="8073"/>
    <cellStyle name="计算 2 5 6 2" xfId="13338"/>
    <cellStyle name="计算 2 5 6 2 2" xfId="16716"/>
    <cellStyle name="计算 2 5 7" xfId="10944"/>
    <cellStyle name="计算 2 5 7 2" xfId="17552"/>
    <cellStyle name="计算 2 6" xfId="5191"/>
    <cellStyle name="计算 2 6 2" xfId="6167"/>
    <cellStyle name="计算 2 6 2 2" xfId="6914"/>
    <cellStyle name="计算 2 6 2 2 2" xfId="9774"/>
    <cellStyle name="计算 2 6 2 2 2 2" xfId="12598"/>
    <cellStyle name="计算 2 6 2 2 2 2 2" xfId="16848"/>
    <cellStyle name="计算 2 6 2 2 3" xfId="9004"/>
    <cellStyle name="计算 2 6 2 2 3 2" xfId="14230"/>
    <cellStyle name="计算 2 6 2 2 3 2 2" xfId="18845"/>
    <cellStyle name="计算 2 6 2 2 4" xfId="11995"/>
    <cellStyle name="计算 2 6 2 2 4 2" xfId="17137"/>
    <cellStyle name="计算 2 6 2 3" xfId="9426"/>
    <cellStyle name="计算 2 6 2 3 2" xfId="12132"/>
    <cellStyle name="计算 2 6 2 3 2 2" xfId="18743"/>
    <cellStyle name="计算 2 6 2 4" xfId="8636"/>
    <cellStyle name="计算 2 6 2 4 2" xfId="13901"/>
    <cellStyle name="计算 2 6 2 4 2 2" xfId="18066"/>
    <cellStyle name="计算 2 6 2 5" xfId="11630"/>
    <cellStyle name="计算 2 6 2 5 2" xfId="19249"/>
    <cellStyle name="计算 2 6 3" xfId="6903"/>
    <cellStyle name="计算 2 6 3 2" xfId="9764"/>
    <cellStyle name="计算 2 6 3 2 2" xfId="12587"/>
    <cellStyle name="计算 2 6 3 2 2 2" xfId="16859"/>
    <cellStyle name="计算 2 6 3 3" xfId="8997"/>
    <cellStyle name="计算 2 6 3 3 2" xfId="14226"/>
    <cellStyle name="计算 2 6 3 3 2 2" xfId="18346"/>
    <cellStyle name="计算 2 6 3 4" xfId="11990"/>
    <cellStyle name="计算 2 6 3 4 2" xfId="17141"/>
    <cellStyle name="计算 2 6 4" xfId="9272"/>
    <cellStyle name="计算 2 6 4 2" xfId="12050"/>
    <cellStyle name="计算 2 6 4 2 2" xfId="17098"/>
    <cellStyle name="计算 2 6 5" xfId="8164"/>
    <cellStyle name="计算 2 6 5 2" xfId="13429"/>
    <cellStyle name="计算 2 6 5 2 2" xfId="16665"/>
    <cellStyle name="计算 2 6 6" xfId="11049"/>
    <cellStyle name="计算 2 6 6 2" xfId="17479"/>
    <cellStyle name="计算 2 7" xfId="5971"/>
    <cellStyle name="计算 2 7 2" xfId="7693"/>
    <cellStyle name="计算 2 7 2 2" xfId="10087"/>
    <cellStyle name="计算 2 7 2 2 2" xfId="12970"/>
    <cellStyle name="计算 2 7 2 2 2 2" xfId="19413"/>
    <cellStyle name="计算 2 7 2 3" xfId="8998"/>
    <cellStyle name="计算 2 7 2 3 2" xfId="14227"/>
    <cellStyle name="计算 2 7 2 3 2 2" xfId="16214"/>
    <cellStyle name="计算 2 7 2 4" xfId="11991"/>
    <cellStyle name="计算 2 7 2 4 2" xfId="17888"/>
    <cellStyle name="计算 2 7 3" xfId="9394"/>
    <cellStyle name="计算 2 7 3 2" xfId="12100"/>
    <cellStyle name="计算 2 7 3 2 2" xfId="18095"/>
    <cellStyle name="计算 2 7 4" xfId="8467"/>
    <cellStyle name="计算 2 7 4 2" xfId="13732"/>
    <cellStyle name="计算 2 7 4 2 2" xfId="16505"/>
    <cellStyle name="计算 2 7 5" xfId="11434"/>
    <cellStyle name="计算 2 7 5 2" xfId="19010"/>
    <cellStyle name="计算 2 8" xfId="3946"/>
    <cellStyle name="计算 2 8 2" xfId="6678"/>
    <cellStyle name="计算 2 8 2 2" xfId="9627"/>
    <cellStyle name="计算 2 8 2 2 2" xfId="14524"/>
    <cellStyle name="计算 2 8 2 2 2 2" xfId="16044"/>
    <cellStyle name="计算 2 8 2 3" xfId="12363"/>
    <cellStyle name="计算 2 8 2 3 2" xfId="16904"/>
    <cellStyle name="计算 2 8 3" xfId="8006"/>
    <cellStyle name="计算 2 8 3 2" xfId="13274"/>
    <cellStyle name="计算 2 8 3 2 2" xfId="16763"/>
    <cellStyle name="计算 2 8 4" xfId="10869"/>
    <cellStyle name="计算 2 8 4 2" xfId="17610"/>
    <cellStyle name="计算 2 9" xfId="7821"/>
    <cellStyle name="计算 2 9 2" xfId="13060"/>
    <cellStyle name="计算 2 9 2 2" xfId="19350"/>
    <cellStyle name="计算 3" xfId="391"/>
    <cellStyle name="计算 3 2" xfId="413"/>
    <cellStyle name="计算 3 2 2" xfId="5190"/>
    <cellStyle name="计算 3 2 2 2" xfId="6166"/>
    <cellStyle name="计算 3 2 2 2 2" xfId="7030"/>
    <cellStyle name="计算 3 2 2 2 2 2" xfId="9855"/>
    <cellStyle name="计算 3 2 2 2 2 2 2" xfId="14731"/>
    <cellStyle name="计算 3 2 2 2 2 2 2 2" xfId="18061"/>
    <cellStyle name="计算 3 2 2 2 2 3" xfId="12714"/>
    <cellStyle name="计算 3 2 2 2 2 3 2" xfId="20067"/>
    <cellStyle name="计算 3 2 2 2 3" xfId="8635"/>
    <cellStyle name="计算 3 2 2 2 3 2" xfId="13900"/>
    <cellStyle name="计算 3 2 2 2 3 2 2" xfId="15393"/>
    <cellStyle name="计算 3 2 2 2 4" xfId="11629"/>
    <cellStyle name="计算 3 2 2 2 4 2" xfId="19869"/>
    <cellStyle name="计算 3 2 2 3" xfId="6661"/>
    <cellStyle name="计算 3 2 2 3 2" xfId="9610"/>
    <cellStyle name="计算 3 2 2 3 2 2" xfId="14510"/>
    <cellStyle name="计算 3 2 2 3 2 2 2" xfId="18448"/>
    <cellStyle name="计算 3 2 2 3 3" xfId="12346"/>
    <cellStyle name="计算 3 2 2 3 3 2" xfId="17954"/>
    <cellStyle name="计算 3 2 2 4" xfId="8163"/>
    <cellStyle name="计算 3 2 2 4 2" xfId="13428"/>
    <cellStyle name="计算 3 2 2 4 2 2" xfId="16666"/>
    <cellStyle name="计算 3 2 2 5" xfId="11048"/>
    <cellStyle name="计算 3 2 2 5 2" xfId="18278"/>
    <cellStyle name="计算 3 2 3" xfId="5868"/>
    <cellStyle name="计算 3 2 3 2" xfId="6718"/>
    <cellStyle name="计算 3 2 3 2 2" xfId="9654"/>
    <cellStyle name="计算 3 2 3 2 2 2" xfId="14551"/>
    <cellStyle name="计算 3 2 3 2 2 2 2" xfId="16025"/>
    <cellStyle name="计算 3 2 3 2 3" xfId="12402"/>
    <cellStyle name="计算 3 2 3 2 3 2" xfId="17874"/>
    <cellStyle name="计算 3 2 3 3" xfId="8386"/>
    <cellStyle name="计算 3 2 3 3 2" xfId="13651"/>
    <cellStyle name="计算 3 2 3 3 2 2" xfId="16550"/>
    <cellStyle name="计算 3 2 3 4" xfId="11331"/>
    <cellStyle name="计算 3 2 3 4 2" xfId="17264"/>
    <cellStyle name="计算 3 2 4" xfId="3951"/>
    <cellStyle name="计算 3 2 4 2" xfId="6984"/>
    <cellStyle name="计算 3 2 4 2 2" xfId="9826"/>
    <cellStyle name="计算 3 2 4 2 2 2" xfId="14704"/>
    <cellStyle name="计算 3 2 4 2 2 2 2" xfId="18342"/>
    <cellStyle name="计算 3 2 4 2 3" xfId="12668"/>
    <cellStyle name="计算 3 2 4 2 3 2" xfId="19931"/>
    <cellStyle name="计算 3 2 4 3" xfId="8011"/>
    <cellStyle name="计算 3 2 4 3 2" xfId="13279"/>
    <cellStyle name="计算 3 2 4 3 2 2" xfId="16758"/>
    <cellStyle name="计算 3 2 4 4" xfId="10874"/>
    <cellStyle name="计算 3 2 4 4 2" xfId="17605"/>
    <cellStyle name="计算 3 2 5" xfId="6553"/>
    <cellStyle name="计算 3 2 5 2" xfId="9513"/>
    <cellStyle name="计算 3 2 5 2 2" xfId="14414"/>
    <cellStyle name="计算 3 2 5 2 2 2" xfId="18145"/>
    <cellStyle name="计算 3 2 5 3" xfId="12238"/>
    <cellStyle name="计算 3 2 5 3 2" xfId="17876"/>
    <cellStyle name="计算 3 2 6" xfId="7847"/>
    <cellStyle name="计算 3 2 6 2" xfId="13086"/>
    <cellStyle name="计算 3 2 6 2 2" xfId="16832"/>
    <cellStyle name="计算 3 2 7" xfId="10664"/>
    <cellStyle name="计算 3 2 7 2" xfId="19205"/>
    <cellStyle name="计算 3 3" xfId="5145"/>
    <cellStyle name="计算 3 3 2" xfId="6121"/>
    <cellStyle name="计算 3 3 2 2" xfId="6840"/>
    <cellStyle name="计算 3 3 2 2 2" xfId="9721"/>
    <cellStyle name="计算 3 3 2 2 2 2" xfId="14612"/>
    <cellStyle name="计算 3 3 2 2 2 2 2" xfId="15978"/>
    <cellStyle name="计算 3 3 2 2 3" xfId="12524"/>
    <cellStyle name="计算 3 3 2 2 3 2" xfId="19568"/>
    <cellStyle name="计算 3 3 2 3" xfId="8592"/>
    <cellStyle name="计算 3 3 2 3 2" xfId="13857"/>
    <cellStyle name="计算 3 3 2 3 2 2" xfId="16433"/>
    <cellStyle name="计算 3 3 2 4" xfId="11584"/>
    <cellStyle name="计算 3 3 2 4 2" xfId="19424"/>
    <cellStyle name="计算 3 3 3" xfId="6664"/>
    <cellStyle name="计算 3 3 3 2" xfId="9613"/>
    <cellStyle name="计算 3 3 3 2 2" xfId="14512"/>
    <cellStyle name="计算 3 3 3 2 2 2" xfId="17818"/>
    <cellStyle name="计算 3 3 3 3" xfId="12349"/>
    <cellStyle name="计算 3 3 3 3 2" xfId="16910"/>
    <cellStyle name="计算 3 3 4" xfId="8120"/>
    <cellStyle name="计算 3 3 4 2" xfId="13385"/>
    <cellStyle name="计算 3 3 4 2 2" xfId="18049"/>
    <cellStyle name="计算 3 3 5" xfId="11003"/>
    <cellStyle name="计算 3 3 5 2" xfId="15421"/>
    <cellStyle name="计算 3 4" xfId="5869"/>
    <cellStyle name="计算 3 4 2" xfId="6912"/>
    <cellStyle name="计算 3 4 2 2" xfId="9772"/>
    <cellStyle name="计算 3 4 2 2 2" xfId="14659"/>
    <cellStyle name="计算 3 4 2 2 2 2" xfId="17975"/>
    <cellStyle name="计算 3 4 2 3" xfId="12596"/>
    <cellStyle name="计算 3 4 2 3 2" xfId="16850"/>
    <cellStyle name="计算 3 4 3" xfId="8387"/>
    <cellStyle name="计算 3 4 3 2" xfId="13652"/>
    <cellStyle name="计算 3 4 3 2 2" xfId="15523"/>
    <cellStyle name="计算 3 4 4" xfId="11332"/>
    <cellStyle name="计算 3 4 4 2" xfId="17263"/>
    <cellStyle name="计算 3 5" xfId="3950"/>
    <cellStyle name="计算 3 5 2" xfId="6677"/>
    <cellStyle name="计算 3 5 2 2" xfId="9626"/>
    <cellStyle name="计算 3 5 2 2 2" xfId="14523"/>
    <cellStyle name="计算 3 5 2 2 2 2" xfId="16045"/>
    <cellStyle name="计算 3 5 2 3" xfId="12362"/>
    <cellStyle name="计算 3 5 2 3 2" xfId="17923"/>
    <cellStyle name="计算 3 5 3" xfId="8010"/>
    <cellStyle name="计算 3 5 3 2" xfId="13278"/>
    <cellStyle name="计算 3 5 3 2 2" xfId="16759"/>
    <cellStyle name="计算 3 5 4" xfId="10873"/>
    <cellStyle name="计算 3 5 4 2" xfId="17606"/>
    <cellStyle name="计算 3 6" xfId="6712"/>
    <cellStyle name="计算 3 6 2" xfId="9648"/>
    <cellStyle name="计算 3 6 2 2" xfId="14545"/>
    <cellStyle name="计算 3 6 2 2 2" xfId="16031"/>
    <cellStyle name="计算 3 6 3" xfId="12396"/>
    <cellStyle name="计算 3 6 3 2" xfId="16888"/>
    <cellStyle name="计算 3 7" xfId="7830"/>
    <cellStyle name="计算 3 7 2" xfId="13069"/>
    <cellStyle name="计算 3 7 2 2" xfId="18538"/>
    <cellStyle name="计算 3 8" xfId="10647"/>
    <cellStyle name="计算 3 8 2" xfId="19603"/>
    <cellStyle name="计算 4" xfId="402"/>
    <cellStyle name="计算 4 2" xfId="5189"/>
    <cellStyle name="计算 4 2 2" xfId="6165"/>
    <cellStyle name="计算 4 2 2 2" xfId="7657"/>
    <cellStyle name="计算 4 2 2 2 2" xfId="7812"/>
    <cellStyle name="计算 4 2 2 2 2 2" xfId="10177"/>
    <cellStyle name="计算 4 2 2 2 2 2 2" xfId="13051"/>
    <cellStyle name="计算 4 2 2 2 2 2 2 2" xfId="19120"/>
    <cellStyle name="计算 4 2 2 2 2 3" xfId="9425"/>
    <cellStyle name="计算 4 2 2 2 2 3 2" xfId="14334"/>
    <cellStyle name="计算 4 2 2 2 2 3 2 2" xfId="16155"/>
    <cellStyle name="计算 4 2 2 2 2 4" xfId="12131"/>
    <cellStyle name="计算 4 2 2 2 2 4 2" xfId="18924"/>
    <cellStyle name="计算 4 2 2 2 3" xfId="8980"/>
    <cellStyle name="计算 4 2 2 2 3 2" xfId="14219"/>
    <cellStyle name="计算 4 2 2 2 3 2 2" xfId="18234"/>
    <cellStyle name="计算 4 2 2 2 4" xfId="11982"/>
    <cellStyle name="计算 4 2 2 2 4 2" xfId="17143"/>
    <cellStyle name="计算 4 2 2 3" xfId="6720"/>
    <cellStyle name="计算 4 2 2 3 2" xfId="9656"/>
    <cellStyle name="计算 4 2 2 3 2 2" xfId="14553"/>
    <cellStyle name="计算 4 2 2 3 2 2 2" xfId="16023"/>
    <cellStyle name="计算 4 2 2 3 3" xfId="12404"/>
    <cellStyle name="计算 4 2 2 3 3 2" xfId="17963"/>
    <cellStyle name="计算 4 2 2 4" xfId="8634"/>
    <cellStyle name="计算 4 2 2 4 2" xfId="13899"/>
    <cellStyle name="计算 4 2 2 4 2 2" xfId="16400"/>
    <cellStyle name="计算 4 2 2 5" xfId="11628"/>
    <cellStyle name="计算 4 2 2 5 2" xfId="19564"/>
    <cellStyle name="计算 4 2 3" xfId="7513"/>
    <cellStyle name="计算 4 2 3 2" xfId="7780"/>
    <cellStyle name="计算 4 2 3 2 2" xfId="10145"/>
    <cellStyle name="计算 4 2 3 2 2 2" xfId="13019"/>
    <cellStyle name="计算 4 2 3 2 2 2 2" xfId="19037"/>
    <cellStyle name="计算 4 2 3 2 3" xfId="9271"/>
    <cellStyle name="计算 4 2 3 2 3 2" xfId="14272"/>
    <cellStyle name="计算 4 2 3 2 3 2 2" xfId="16191"/>
    <cellStyle name="计算 4 2 3 2 4" xfId="12049"/>
    <cellStyle name="计算 4 2 3 2 4 2" xfId="17099"/>
    <cellStyle name="计算 4 2 3 3" xfId="8911"/>
    <cellStyle name="计算 4 2 3 3 2" xfId="14150"/>
    <cellStyle name="计算 4 2 3 3 2 2" xfId="16250"/>
    <cellStyle name="计算 4 2 3 4" xfId="11910"/>
    <cellStyle name="计算 4 2 3 4 2" xfId="17190"/>
    <cellStyle name="计算 4 2 4" xfId="7680"/>
    <cellStyle name="计算 4 2 4 2" xfId="10074"/>
    <cellStyle name="计算 4 2 4 2 2" xfId="14918"/>
    <cellStyle name="计算 4 2 4 2 2 2" xfId="18227"/>
    <cellStyle name="计算 4 2 4 3" xfId="12957"/>
    <cellStyle name="计算 4 2 4 3 2" xfId="19585"/>
    <cellStyle name="计算 4 2 5" xfId="8162"/>
    <cellStyle name="计算 4 2 5 2" xfId="13427"/>
    <cellStyle name="计算 4 2 5 2 2" xfId="18243"/>
    <cellStyle name="计算 4 2 6" xfId="11047"/>
    <cellStyle name="计算 4 2 6 2" xfId="18325"/>
    <cellStyle name="计算 4 3" xfId="5968"/>
    <cellStyle name="计算 4 3 2" xfId="7629"/>
    <cellStyle name="计算 4 3 2 2" xfId="7797"/>
    <cellStyle name="计算 4 3 2 2 2" xfId="10162"/>
    <cellStyle name="计算 4 3 2 2 2 2" xfId="13036"/>
    <cellStyle name="计算 4 3 2 2 2 2 2" xfId="19071"/>
    <cellStyle name="计算 4 3 2 2 3" xfId="9392"/>
    <cellStyle name="计算 4 3 2 2 3 2" xfId="14310"/>
    <cellStyle name="计算 4 3 2 2 3 2 2" xfId="16169"/>
    <cellStyle name="计算 4 3 2 2 4" xfId="12098"/>
    <cellStyle name="计算 4 3 2 2 4 2" xfId="18291"/>
    <cellStyle name="计算 4 3 2 3" xfId="8952"/>
    <cellStyle name="计算 4 3 2 3 2" xfId="14191"/>
    <cellStyle name="计算 4 3 2 3 2 2" xfId="16230"/>
    <cellStyle name="计算 4 3 2 4" xfId="11954"/>
    <cellStyle name="计算 4 3 2 4 2" xfId="17162"/>
    <cellStyle name="计算 4 3 3" xfId="6508"/>
    <cellStyle name="计算 4 3 3 2" xfId="9474"/>
    <cellStyle name="计算 4 3 3 2 2" xfId="14376"/>
    <cellStyle name="计算 4 3 3 2 2 2" xfId="17805"/>
    <cellStyle name="计算 4 3 3 3" xfId="12193"/>
    <cellStyle name="计算 4 3 3 3 2" xfId="16996"/>
    <cellStyle name="计算 4 3 4" xfId="8464"/>
    <cellStyle name="计算 4 3 4 2" xfId="13729"/>
    <cellStyle name="计算 4 3 4 2 2" xfId="18174"/>
    <cellStyle name="计算 4 3 5" xfId="11431"/>
    <cellStyle name="计算 4 3 5 2" xfId="19659"/>
    <cellStyle name="计算 4 4" xfId="3952"/>
    <cellStyle name="计算 4 4 2" xfId="7390"/>
    <cellStyle name="计算 4 4 2 2" xfId="7761"/>
    <cellStyle name="计算 4 4 2 2 2" xfId="10126"/>
    <cellStyle name="计算 4 4 2 2 2 2" xfId="14954"/>
    <cellStyle name="计算 4 4 2 2 2 2 2" xfId="18131"/>
    <cellStyle name="计算 4 4 2 2 3" xfId="13000"/>
    <cellStyle name="计算 4 4 2 2 3 2" xfId="19163"/>
    <cellStyle name="计算 4 4 2 3" xfId="8874"/>
    <cellStyle name="计算 4 4 2 3 2" xfId="14113"/>
    <cellStyle name="计算 4 4 2 3 2 2" xfId="16268"/>
    <cellStyle name="计算 4 4 2 4" xfId="11873"/>
    <cellStyle name="计算 4 4 2 4 2" xfId="17211"/>
    <cellStyle name="计算 4 4 3" xfId="6676"/>
    <cellStyle name="计算 4 4 3 2" xfId="9625"/>
    <cellStyle name="计算 4 4 3 2 2" xfId="12361"/>
    <cellStyle name="计算 4 4 3 2 2 2" xfId="16905"/>
    <cellStyle name="计算 4 4 3 3" xfId="9146"/>
    <cellStyle name="计算 4 4 3 3 2" xfId="14240"/>
    <cellStyle name="计算 4 4 3 3 2 2" xfId="16207"/>
    <cellStyle name="计算 4 4 3 4" xfId="12010"/>
    <cellStyle name="计算 4 4 3 4 2" xfId="17122"/>
    <cellStyle name="计算 4 4 4" xfId="8012"/>
    <cellStyle name="计算 4 4 4 2" xfId="13094"/>
    <cellStyle name="计算 4 4 4 2 2" xfId="19004"/>
    <cellStyle name="计算 4 4 5" xfId="10875"/>
    <cellStyle name="计算 4 4 5 2" xfId="17604"/>
    <cellStyle name="计算 4 5" xfId="6709"/>
    <cellStyle name="计算 4 5 2" xfId="9645"/>
    <cellStyle name="计算 4 5 2 2" xfId="14542"/>
    <cellStyle name="计算 4 5 2 2 2" xfId="17821"/>
    <cellStyle name="计算 4 5 3" xfId="12393"/>
    <cellStyle name="计算 4 5 3 2" xfId="17924"/>
    <cellStyle name="计算 4 6" xfId="7836"/>
    <cellStyle name="计算 4 6 2" xfId="13075"/>
    <cellStyle name="计算 4 6 2 2" xfId="19438"/>
    <cellStyle name="计算 4 7" xfId="10653"/>
    <cellStyle name="计算 4 7 2" xfId="19133"/>
    <cellStyle name="计算 5" xfId="3953"/>
    <cellStyle name="计算 5 2" xfId="5144"/>
    <cellStyle name="计算 5 2 2" xfId="6120"/>
    <cellStyle name="计算 5 2 2 2" xfId="7647"/>
    <cellStyle name="计算 5 2 2 2 2" xfId="7807"/>
    <cellStyle name="计算 5 2 2 2 2 2" xfId="10172"/>
    <cellStyle name="计算 5 2 2 2 2 2 2" xfId="13046"/>
    <cellStyle name="计算 5 2 2 2 2 2 2 2" xfId="19921"/>
    <cellStyle name="计算 5 2 2 2 2 3" xfId="9413"/>
    <cellStyle name="计算 5 2 2 2 2 3 2" xfId="14325"/>
    <cellStyle name="计算 5 2 2 2 2 3 2 2" xfId="15488"/>
    <cellStyle name="计算 5 2 2 2 2 4" xfId="12119"/>
    <cellStyle name="计算 5 2 2 2 2 4 2" xfId="17051"/>
    <cellStyle name="计算 5 2 2 2 3" xfId="8970"/>
    <cellStyle name="计算 5 2 2 2 3 2" xfId="14209"/>
    <cellStyle name="计算 5 2 2 2 3 2 2" xfId="18846"/>
    <cellStyle name="计算 5 2 2 2 4" xfId="11972"/>
    <cellStyle name="计算 5 2 2 2 4 2" xfId="18206"/>
    <cellStyle name="计算 5 2 2 3" xfId="6516"/>
    <cellStyle name="计算 5 2 2 3 2" xfId="9482"/>
    <cellStyle name="计算 5 2 2 3 2 2" xfId="14384"/>
    <cellStyle name="计算 5 2 2 3 2 2 2" xfId="18460"/>
    <cellStyle name="计算 5 2 2 3 3" xfId="12201"/>
    <cellStyle name="计算 5 2 2 3 3 2" xfId="16988"/>
    <cellStyle name="计算 5 2 2 4" xfId="8591"/>
    <cellStyle name="计算 5 2 2 4 2" xfId="13856"/>
    <cellStyle name="计算 5 2 2 4 2 2" xfId="17793"/>
    <cellStyle name="计算 5 2 2 5" xfId="11583"/>
    <cellStyle name="计算 5 2 2 5 2" xfId="20045"/>
    <cellStyle name="计算 5 2 3" xfId="7503"/>
    <cellStyle name="计算 5 2 3 2" xfId="7775"/>
    <cellStyle name="计算 5 2 3 2 2" xfId="10140"/>
    <cellStyle name="计算 5 2 3 2 2 2" xfId="13014"/>
    <cellStyle name="计算 5 2 3 2 2 2 2" xfId="19838"/>
    <cellStyle name="计算 5 2 3 2 3" xfId="9259"/>
    <cellStyle name="计算 5 2 3 2 3 2" xfId="14263"/>
    <cellStyle name="计算 5 2 3 2 3 2 2" xfId="16196"/>
    <cellStyle name="计算 5 2 3 2 4" xfId="12037"/>
    <cellStyle name="计算 5 2 3 2 4 2" xfId="18515"/>
    <cellStyle name="计算 5 2 3 3" xfId="8901"/>
    <cellStyle name="计算 5 2 3 3 2" xfId="14140"/>
    <cellStyle name="计算 5 2 3 3 2 2" xfId="16256"/>
    <cellStyle name="计算 5 2 3 4" xfId="11900"/>
    <cellStyle name="计算 5 2 3 4 2" xfId="18521"/>
    <cellStyle name="计算 5 2 4" xfId="6990"/>
    <cellStyle name="计算 5 2 4 2" xfId="9830"/>
    <cellStyle name="计算 5 2 4 2 2" xfId="14707"/>
    <cellStyle name="计算 5 2 4 2 2 2" xfId="18840"/>
    <cellStyle name="计算 5 2 4 3" xfId="12674"/>
    <cellStyle name="计算 5 2 4 3 2" xfId="19127"/>
    <cellStyle name="计算 5 2 5" xfId="8119"/>
    <cellStyle name="计算 5 2 5 2" xfId="13384"/>
    <cellStyle name="计算 5 2 5 2 2" xfId="18371"/>
    <cellStyle name="计算 5 2 6" xfId="11002"/>
    <cellStyle name="计算 5 2 6 2" xfId="15533"/>
    <cellStyle name="计算 5 3" xfId="6061"/>
    <cellStyle name="计算 5 3 2" xfId="7637"/>
    <cellStyle name="计算 5 3 2 2" xfId="7802"/>
    <cellStyle name="计算 5 3 2 2 2" xfId="10167"/>
    <cellStyle name="计算 5 3 2 2 2 2" xfId="13041"/>
    <cellStyle name="计算 5 3 2 2 2 2 2" xfId="19689"/>
    <cellStyle name="计算 5 3 2 2 3" xfId="9403"/>
    <cellStyle name="计算 5 3 2 2 3 2" xfId="14317"/>
    <cellStyle name="计算 5 3 2 2 3 2 2" xfId="18466"/>
    <cellStyle name="计算 5 3 2 2 4" xfId="12109"/>
    <cellStyle name="计算 5 3 2 2 4 2" xfId="17061"/>
    <cellStyle name="计算 5 3 2 3" xfId="8960"/>
    <cellStyle name="计算 5 3 2 3 2" xfId="14199"/>
    <cellStyle name="计算 5 3 2 3 2 2" xfId="15409"/>
    <cellStyle name="计算 5 3 2 4" xfId="11962"/>
    <cellStyle name="计算 5 3 2 4 2" xfId="17154"/>
    <cellStyle name="计算 5 3 3" xfId="7058"/>
    <cellStyle name="计算 5 3 3 2" xfId="9875"/>
    <cellStyle name="计算 5 3 3 2 2" xfId="14749"/>
    <cellStyle name="计算 5 3 3 2 2 2" xfId="15893"/>
    <cellStyle name="计算 5 3 3 3" xfId="12742"/>
    <cellStyle name="计算 5 3 3 3 2" xfId="19548"/>
    <cellStyle name="计算 5 3 4" xfId="8544"/>
    <cellStyle name="计算 5 3 4 2" xfId="13809"/>
    <cellStyle name="计算 5 3 4 2 2" xfId="16461"/>
    <cellStyle name="计算 5 3 5" xfId="11524"/>
    <cellStyle name="计算 5 3 5 2" xfId="19539"/>
    <cellStyle name="计算 5 4" xfId="7391"/>
    <cellStyle name="计算 5 4 2" xfId="7762"/>
    <cellStyle name="计算 5 4 2 2" xfId="10127"/>
    <cellStyle name="计算 5 4 2 2 2" xfId="13001"/>
    <cellStyle name="计算 5 4 2 2 2 2" xfId="19754"/>
    <cellStyle name="计算 5 4 2 3" xfId="9147"/>
    <cellStyle name="计算 5 4 2 3 2" xfId="14241"/>
    <cellStyle name="计算 5 4 2 3 2 2" xfId="16206"/>
    <cellStyle name="计算 5 4 2 4" xfId="12011"/>
    <cellStyle name="计算 5 4 2 4 2" xfId="17121"/>
    <cellStyle name="计算 5 4 3" xfId="8875"/>
    <cellStyle name="计算 5 4 3 2" xfId="14114"/>
    <cellStyle name="计算 5 4 3 2 2" xfId="18857"/>
    <cellStyle name="计算 5 4 4" xfId="11874"/>
    <cellStyle name="计算 5 4 4 2" xfId="17210"/>
    <cellStyle name="计算 5 5" xfId="6975"/>
    <cellStyle name="计算 5 5 2" xfId="9818"/>
    <cellStyle name="计算 5 5 2 2" xfId="14698"/>
    <cellStyle name="计算 5 5 2 2 2" xfId="15920"/>
    <cellStyle name="计算 5 5 3" xfId="12659"/>
    <cellStyle name="计算 5 5 3 2" xfId="18529"/>
    <cellStyle name="计算 5 6" xfId="8013"/>
    <cellStyle name="计算 5 6 2" xfId="13280"/>
    <cellStyle name="计算 5 6 2 2" xfId="16757"/>
    <cellStyle name="计算 5 7" xfId="10876"/>
    <cellStyle name="计算 5 7 2" xfId="17603"/>
    <cellStyle name="计算 6" xfId="3954"/>
    <cellStyle name="计算 6 2" xfId="5143"/>
    <cellStyle name="计算 6 2 2" xfId="6119"/>
    <cellStyle name="计算 6 2 2 2" xfId="6858"/>
    <cellStyle name="计算 6 2 2 2 2" xfId="9734"/>
    <cellStyle name="计算 6 2 2 2 2 2" xfId="14624"/>
    <cellStyle name="计算 6 2 2 2 2 2 2" xfId="15971"/>
    <cellStyle name="计算 6 2 2 2 3" xfId="12542"/>
    <cellStyle name="计算 6 2 2 2 3 2" xfId="19721"/>
    <cellStyle name="计算 6 2 2 3" xfId="8590"/>
    <cellStyle name="计算 6 2 2 3 2" xfId="13855"/>
    <cellStyle name="计算 6 2 2 3 2 2" xfId="18162"/>
    <cellStyle name="计算 6 2 2 4" xfId="11582"/>
    <cellStyle name="计算 6 2 2 4 2" xfId="19743"/>
    <cellStyle name="计算 6 2 3" xfId="6558"/>
    <cellStyle name="计算 6 2 3 2" xfId="9518"/>
    <cellStyle name="计算 6 2 3 2 2" xfId="14419"/>
    <cellStyle name="计算 6 2 3 2 2 2" xfId="16104"/>
    <cellStyle name="计算 6 2 3 3" xfId="12243"/>
    <cellStyle name="计算 6 2 3 3 2" xfId="16961"/>
    <cellStyle name="计算 6 2 4" xfId="8118"/>
    <cellStyle name="计算 6 2 4 2" xfId="13383"/>
    <cellStyle name="计算 6 2 4 2 2" xfId="18802"/>
    <cellStyle name="计算 6 2 5" xfId="11001"/>
    <cellStyle name="计算 6 2 5 2" xfId="17507"/>
    <cellStyle name="计算 6 3" xfId="6019"/>
    <cellStyle name="计算 6 3 2" xfId="7010"/>
    <cellStyle name="计算 6 3 2 2" xfId="9842"/>
    <cellStyle name="计算 6 3 2 2 2" xfId="14718"/>
    <cellStyle name="计算 6 3 2 2 2 2" xfId="18059"/>
    <cellStyle name="计算 6 3 2 3" xfId="12694"/>
    <cellStyle name="计算 6 3 2 3 2" xfId="19534"/>
    <cellStyle name="计算 6 3 3" xfId="8508"/>
    <cellStyle name="计算 6 3 3 2" xfId="13773"/>
    <cellStyle name="计算 6 3 3 2 2" xfId="16480"/>
    <cellStyle name="计算 6 3 4" xfId="11482"/>
    <cellStyle name="计算 6 3 4 2" xfId="19089"/>
    <cellStyle name="计算 6 4" xfId="6602"/>
    <cellStyle name="计算 6 4 2" xfId="9554"/>
    <cellStyle name="计算 6 4 2 2" xfId="14455"/>
    <cellStyle name="计算 6 4 2 2 2" xfId="17813"/>
    <cellStyle name="计算 6 4 3" xfId="12287"/>
    <cellStyle name="计算 6 4 3 2" xfId="16940"/>
    <cellStyle name="计算 6 5" xfId="8014"/>
    <cellStyle name="计算 6 5 2" xfId="13281"/>
    <cellStyle name="计算 6 5 2 2" xfId="16756"/>
    <cellStyle name="计算 6 6" xfId="10877"/>
    <cellStyle name="计算 6 6 2" xfId="17602"/>
    <cellStyle name="计算 7" xfId="3955"/>
    <cellStyle name="计算 7 2" xfId="5142"/>
    <cellStyle name="计算 7 2 2" xfId="6118"/>
    <cellStyle name="计算 7 2 2 2" xfId="6724"/>
    <cellStyle name="计算 7 2 2 2 2" xfId="9658"/>
    <cellStyle name="计算 7 2 2 2 2 2" xfId="14555"/>
    <cellStyle name="计算 7 2 2 2 2 2 2" xfId="16021"/>
    <cellStyle name="计算 7 2 2 2 3" xfId="12408"/>
    <cellStyle name="计算 7 2 2 2 3 2" xfId="17964"/>
    <cellStyle name="计算 7 2 2 3" xfId="8589"/>
    <cellStyle name="计算 7 2 2 3 2" xfId="13854"/>
    <cellStyle name="计算 7 2 2 3 2 2" xfId="18474"/>
    <cellStyle name="计算 7 2 2 4" xfId="11581"/>
    <cellStyle name="计算 7 2 2 4 2" xfId="19286"/>
    <cellStyle name="计算 7 2 3" xfId="6665"/>
    <cellStyle name="计算 7 2 3 2" xfId="9614"/>
    <cellStyle name="计算 7 2 3 2 2" xfId="14513"/>
    <cellStyle name="计算 7 2 3 2 2 2" xfId="16051"/>
    <cellStyle name="计算 7 2 3 3" xfId="12350"/>
    <cellStyle name="计算 7 2 3 3 2" xfId="16909"/>
    <cellStyle name="计算 7 2 4" xfId="8117"/>
    <cellStyle name="计算 7 2 4 2" xfId="13382"/>
    <cellStyle name="计算 7 2 4 2 2" xfId="18983"/>
    <cellStyle name="计算 7 2 5" xfId="11000"/>
    <cellStyle name="计算 7 2 5 2" xfId="17508"/>
    <cellStyle name="计算 7 3" xfId="6000"/>
    <cellStyle name="计算 7 3 2" xfId="6554"/>
    <cellStyle name="计算 7 3 2 2" xfId="9514"/>
    <cellStyle name="计算 7 3 2 2 2" xfId="14415"/>
    <cellStyle name="计算 7 3 2 2 2 2" xfId="17809"/>
    <cellStyle name="计算 7 3 2 3" xfId="12239"/>
    <cellStyle name="计算 7 3 2 3 2" xfId="16964"/>
    <cellStyle name="计算 7 3 3" xfId="8495"/>
    <cellStyle name="计算 7 3 3 2" xfId="13760"/>
    <cellStyle name="计算 7 3 3 2 2" xfId="16489"/>
    <cellStyle name="计算 7 3 4" xfId="11463"/>
    <cellStyle name="计算 7 3 4 2" xfId="19189"/>
    <cellStyle name="计算 7 4" xfId="6609"/>
    <cellStyle name="计算 7 4 2" xfId="9561"/>
    <cellStyle name="计算 7 4 2 2" xfId="14462"/>
    <cellStyle name="计算 7 4 2 2 2" xfId="16072"/>
    <cellStyle name="计算 7 4 3" xfId="12294"/>
    <cellStyle name="计算 7 4 3 2" xfId="16936"/>
    <cellStyle name="计算 7 5" xfId="8015"/>
    <cellStyle name="计算 7 5 2" xfId="13282"/>
    <cellStyle name="计算 7 5 2 2" xfId="16755"/>
    <cellStyle name="计算 7 6" xfId="10878"/>
    <cellStyle name="计算 7 6 2" xfId="19131"/>
    <cellStyle name="计算 8" xfId="3956"/>
    <cellStyle name="计算 8 2" xfId="5188"/>
    <cellStyle name="计算 8 2 2" xfId="6164"/>
    <cellStyle name="计算 8 2 2 2" xfId="7656"/>
    <cellStyle name="计算 8 2 2 2 2" xfId="7811"/>
    <cellStyle name="计算 8 2 2 2 2 2" xfId="10176"/>
    <cellStyle name="计算 8 2 2 2 2 2 2" xfId="13050"/>
    <cellStyle name="计算 8 2 2 2 2 2 2 2" xfId="19450"/>
    <cellStyle name="计算 8 2 2 2 2 3" xfId="9424"/>
    <cellStyle name="计算 8 2 2 2 2 3 2" xfId="14333"/>
    <cellStyle name="计算 8 2 2 2 2 3 2 2" xfId="15482"/>
    <cellStyle name="计算 8 2 2 2 2 4" xfId="12130"/>
    <cellStyle name="计算 8 2 2 2 2 4 2" xfId="18070"/>
    <cellStyle name="计算 8 2 2 2 3" xfId="8979"/>
    <cellStyle name="计算 8 2 2 2 3 2" xfId="14218"/>
    <cellStyle name="计算 8 2 2 2 3 2 2" xfId="16217"/>
    <cellStyle name="计算 8 2 2 2 4" xfId="11981"/>
    <cellStyle name="计算 8 2 2 2 4 2" xfId="17144"/>
    <cellStyle name="计算 8 2 2 3" xfId="6898"/>
    <cellStyle name="计算 8 2 2 3 2" xfId="9759"/>
    <cellStyle name="计算 8 2 2 3 2 2" xfId="14647"/>
    <cellStyle name="计算 8 2 2 3 2 2 2" xfId="15953"/>
    <cellStyle name="计算 8 2 2 3 3" xfId="12582"/>
    <cellStyle name="计算 8 2 2 3 3 2" xfId="18898"/>
    <cellStyle name="计算 8 2 2 4" xfId="8633"/>
    <cellStyle name="计算 8 2 2 4 2" xfId="13898"/>
    <cellStyle name="计算 8 2 2 4 2 2" xfId="18816"/>
    <cellStyle name="计算 8 2 2 5" xfId="11627"/>
    <cellStyle name="计算 8 2 2 5 2" xfId="19104"/>
    <cellStyle name="计算 8 2 3" xfId="7512"/>
    <cellStyle name="计算 8 2 3 2" xfId="7779"/>
    <cellStyle name="计算 8 2 3 2 2" xfId="10144"/>
    <cellStyle name="计算 8 2 3 2 2 2" xfId="13018"/>
    <cellStyle name="计算 8 2 3 2 2 2 2" xfId="19367"/>
    <cellStyle name="计算 8 2 3 2 3" xfId="9270"/>
    <cellStyle name="计算 8 2 3 2 3 2" xfId="14271"/>
    <cellStyle name="计算 8 2 3 2 3 2 2" xfId="16192"/>
    <cellStyle name="计算 8 2 3 2 4" xfId="12048"/>
    <cellStyle name="计算 8 2 3 2 4 2" xfId="17100"/>
    <cellStyle name="计算 8 2 3 3" xfId="8910"/>
    <cellStyle name="计算 8 2 3 3 2" xfId="14149"/>
    <cellStyle name="计算 8 2 3 3 2 2" xfId="18672"/>
    <cellStyle name="计算 8 2 3 4" xfId="11909"/>
    <cellStyle name="计算 8 2 3 4 2" xfId="17191"/>
    <cellStyle name="计算 8 2 4" xfId="7720"/>
    <cellStyle name="计算 8 2 4 2" xfId="10110"/>
    <cellStyle name="计算 8 2 4 2 2" xfId="14952"/>
    <cellStyle name="计算 8 2 4 2 2 2" xfId="15790"/>
    <cellStyle name="计算 8 2 4 3" xfId="12997"/>
    <cellStyle name="计算 8 2 4 3 2" xfId="16836"/>
    <cellStyle name="计算 8 2 5" xfId="8161"/>
    <cellStyle name="计算 8 2 5 2" xfId="13426"/>
    <cellStyle name="计算 8 2 5 2 2" xfId="16667"/>
    <cellStyle name="计算 8 2 6" xfId="11046"/>
    <cellStyle name="计算 8 2 6 2" xfId="18603"/>
    <cellStyle name="计算 8 3" xfId="5969"/>
    <cellStyle name="计算 8 3 2" xfId="7630"/>
    <cellStyle name="计算 8 3 2 2" xfId="7798"/>
    <cellStyle name="计算 8 3 2 2 2" xfId="10163"/>
    <cellStyle name="计算 8 3 2 2 2 2" xfId="13037"/>
    <cellStyle name="计算 8 3 2 2 2 2 2" xfId="18537"/>
    <cellStyle name="计算 8 3 2 2 3" xfId="9393"/>
    <cellStyle name="计算 8 3 2 2 3 2" xfId="14311"/>
    <cellStyle name="计算 8 3 2 2 3 2 2" xfId="16168"/>
    <cellStyle name="计算 8 3 2 2 4" xfId="12099"/>
    <cellStyle name="计算 8 3 2 2 4 2" xfId="18213"/>
    <cellStyle name="计算 8 3 2 3" xfId="8953"/>
    <cellStyle name="计算 8 3 2 3 2" xfId="14192"/>
    <cellStyle name="计算 8 3 2 3 2 2" xfId="16229"/>
    <cellStyle name="计算 8 3 2 4" xfId="11955"/>
    <cellStyle name="计算 8 3 2 4 2" xfId="17161"/>
    <cellStyle name="计算 8 3 3" xfId="6807"/>
    <cellStyle name="计算 8 3 3 2" xfId="9702"/>
    <cellStyle name="计算 8 3 3 2 2" xfId="14597"/>
    <cellStyle name="计算 8 3 3 2 2 2" xfId="18927"/>
    <cellStyle name="计算 8 3 3 3" xfId="12491"/>
    <cellStyle name="计算 8 3 3 3 2" xfId="18383"/>
    <cellStyle name="计算 8 3 4" xfId="8465"/>
    <cellStyle name="计算 8 3 4 2" xfId="13730"/>
    <cellStyle name="计算 8 3 4 2 2" xfId="17781"/>
    <cellStyle name="计算 8 3 5" xfId="11432"/>
    <cellStyle name="计算 8 3 5 2" xfId="19961"/>
    <cellStyle name="计算 8 4" xfId="7392"/>
    <cellStyle name="计算 8 4 2" xfId="7763"/>
    <cellStyle name="计算 8 4 2 2" xfId="10128"/>
    <cellStyle name="计算 8 4 2 2 2" xfId="13002"/>
    <cellStyle name="计算 8 4 2 2 2 2" xfId="20056"/>
    <cellStyle name="计算 8 4 2 3" xfId="9148"/>
    <cellStyle name="计算 8 4 2 3 2" xfId="14242"/>
    <cellStyle name="计算 8 4 2 3 2 2" xfId="16205"/>
    <cellStyle name="计算 8 4 2 4" xfId="12012"/>
    <cellStyle name="计算 8 4 2 4 2" xfId="17120"/>
    <cellStyle name="计算 8 4 3" xfId="8876"/>
    <cellStyle name="计算 8 4 3 2" xfId="14115"/>
    <cellStyle name="计算 8 4 3 2 2" xfId="18676"/>
    <cellStyle name="计算 8 4 4" xfId="11875"/>
    <cellStyle name="计算 8 4 4 2" xfId="17209"/>
    <cellStyle name="计算 8 5" xfId="6675"/>
    <cellStyle name="计算 8 5 2" xfId="9624"/>
    <cellStyle name="计算 8 5 2 2" xfId="14522"/>
    <cellStyle name="计算 8 5 2 2 2" xfId="17819"/>
    <cellStyle name="计算 8 5 3" xfId="12360"/>
    <cellStyle name="计算 8 5 3 2" xfId="17763"/>
    <cellStyle name="计算 8 6" xfId="8016"/>
    <cellStyle name="计算 8 6 2" xfId="13283"/>
    <cellStyle name="计算 8 6 2 2" xfId="16754"/>
    <cellStyle name="计算 8 7" xfId="10879"/>
    <cellStyle name="计算 8 7 2" xfId="18818"/>
    <cellStyle name="计算 9" xfId="3957"/>
    <cellStyle name="计算 9 2" xfId="5187"/>
    <cellStyle name="计算 9 2 2" xfId="6163"/>
    <cellStyle name="计算 9 2 2 2" xfId="6630"/>
    <cellStyle name="计算 9 2 2 2 2" xfId="9579"/>
    <cellStyle name="计算 9 2 2 2 2 2" xfId="14479"/>
    <cellStyle name="计算 9 2 2 2 2 2 2" xfId="15464"/>
    <cellStyle name="计算 9 2 2 2 3" xfId="12315"/>
    <cellStyle name="计算 9 2 2 2 3 2" xfId="17921"/>
    <cellStyle name="计算 9 2 2 3" xfId="8632"/>
    <cellStyle name="计算 9 2 2 3 2" xfId="13897"/>
    <cellStyle name="计算 9 2 2 3 2 2" xfId="16401"/>
    <cellStyle name="计算 9 2 2 4" xfId="11626"/>
    <cellStyle name="计算 9 2 2 4 2" xfId="19434"/>
    <cellStyle name="计算 9 2 3" xfId="6819"/>
    <cellStyle name="计算 9 2 3 2" xfId="9712"/>
    <cellStyle name="计算 9 2 3 2 2" xfId="14604"/>
    <cellStyle name="计算 9 2 3 2 2 2" xfId="15986"/>
    <cellStyle name="计算 9 2 3 3" xfId="12503"/>
    <cellStyle name="计算 9 2 3 3 2" xfId="18393"/>
    <cellStyle name="计算 9 2 4" xfId="8160"/>
    <cellStyle name="计算 9 2 4 2" xfId="13425"/>
    <cellStyle name="计算 9 2 4 2 2" xfId="16668"/>
    <cellStyle name="计算 9 2 5" xfId="11045"/>
    <cellStyle name="计算 9 2 5 2" xfId="18626"/>
    <cellStyle name="计算 9 3" xfId="6020"/>
    <cellStyle name="计算 9 3 2" xfId="6863"/>
    <cellStyle name="计算 9 3 2 2" xfId="9738"/>
    <cellStyle name="计算 9 3 2 2 2" xfId="14627"/>
    <cellStyle name="计算 9 3 2 2 2 2" xfId="15968"/>
    <cellStyle name="计算 9 3 2 3" xfId="12547"/>
    <cellStyle name="计算 9 3 2 3 2" xfId="18262"/>
    <cellStyle name="计算 9 3 3" xfId="8509"/>
    <cellStyle name="计算 9 3 3 2" xfId="13774"/>
    <cellStyle name="计算 9 3 3 2 2" xfId="16479"/>
    <cellStyle name="计算 9 3 4" xfId="11483"/>
    <cellStyle name="计算 9 3 4 2" xfId="18298"/>
    <cellStyle name="计算 9 4" xfId="6935"/>
    <cellStyle name="计算 9 4 2" xfId="9788"/>
    <cellStyle name="计算 9 4 2 2" xfId="14673"/>
    <cellStyle name="计算 9 4 2 2 2" xfId="15932"/>
    <cellStyle name="计算 9 4 3" xfId="12619"/>
    <cellStyle name="计算 9 4 3 2" xfId="19737"/>
    <cellStyle name="计算 9 5" xfId="8017"/>
    <cellStyle name="计算 9 5 2" xfId="13284"/>
    <cellStyle name="计算 9 5 2 2" xfId="16753"/>
    <cellStyle name="计算 9 6" xfId="10880"/>
    <cellStyle name="计算 9 6 2" xfId="17600"/>
    <cellStyle name="輔色1" xfId="3958"/>
    <cellStyle name="輔色1 2" xfId="3959"/>
    <cellStyle name="輔色1 3" xfId="3960"/>
    <cellStyle name="輔色1 4" xfId="3961"/>
    <cellStyle name="輔色1 5" xfId="3962"/>
    <cellStyle name="輔色1 6" xfId="3963"/>
    <cellStyle name="輔色1 6 2" xfId="7393"/>
    <cellStyle name="輔色1 6 2 2" xfId="9149"/>
    <cellStyle name="輔色1 7" xfId="3964"/>
    <cellStyle name="輔色1 8" xfId="4721"/>
    <cellStyle name="輔色1 9" xfId="5539"/>
    <cellStyle name="輔色1 9 2" xfId="7595"/>
    <cellStyle name="輔色1 9 2 2" xfId="9356"/>
    <cellStyle name="輔色2" xfId="3965"/>
    <cellStyle name="輔色2 2" xfId="3966"/>
    <cellStyle name="輔色2 3" xfId="3967"/>
    <cellStyle name="輔色2 4" xfId="3968"/>
    <cellStyle name="輔色2 5" xfId="3969"/>
    <cellStyle name="輔色2 6" xfId="3970"/>
    <cellStyle name="輔色2 6 2" xfId="7394"/>
    <cellStyle name="輔色2 6 2 2" xfId="9150"/>
    <cellStyle name="輔色2 7" xfId="3971"/>
    <cellStyle name="輔色2 8" xfId="4720"/>
    <cellStyle name="輔色2 9" xfId="5540"/>
    <cellStyle name="輔色2 9 2" xfId="7596"/>
    <cellStyle name="輔色2 9 2 2" xfId="9357"/>
    <cellStyle name="輔色3" xfId="3972"/>
    <cellStyle name="輔色3 2" xfId="3973"/>
    <cellStyle name="輔色3 3" xfId="3974"/>
    <cellStyle name="輔色3 4" xfId="3975"/>
    <cellStyle name="輔色3 5" xfId="3976"/>
    <cellStyle name="輔色3 6" xfId="3977"/>
    <cellStyle name="輔色3 6 2" xfId="7395"/>
    <cellStyle name="輔色3 6 2 2" xfId="9151"/>
    <cellStyle name="輔色3 7" xfId="3978"/>
    <cellStyle name="輔色3 8" xfId="4719"/>
    <cellStyle name="輔色3 9" xfId="5541"/>
    <cellStyle name="輔色3 9 2" xfId="7597"/>
    <cellStyle name="輔色3 9 2 2" xfId="9358"/>
    <cellStyle name="輔色4" xfId="3979"/>
    <cellStyle name="輔色4 2" xfId="3980"/>
    <cellStyle name="輔色4 3" xfId="3981"/>
    <cellStyle name="輔色4 4" xfId="3982"/>
    <cellStyle name="輔色4 5" xfId="3983"/>
    <cellStyle name="輔色4 6" xfId="3984"/>
    <cellStyle name="輔色4 6 2" xfId="7396"/>
    <cellStyle name="輔色4 6 2 2" xfId="9152"/>
    <cellStyle name="輔色4 7" xfId="3985"/>
    <cellStyle name="輔色4 8" xfId="4718"/>
    <cellStyle name="輔色4 9" xfId="5542"/>
    <cellStyle name="輔色4 9 2" xfId="7598"/>
    <cellStyle name="輔色4 9 2 2" xfId="9359"/>
    <cellStyle name="輔色5" xfId="3986"/>
    <cellStyle name="輔色5 2" xfId="3987"/>
    <cellStyle name="輔色5 3" xfId="3988"/>
    <cellStyle name="輔色5 4" xfId="3989"/>
    <cellStyle name="輔色5 5" xfId="3990"/>
    <cellStyle name="輔色5 6" xfId="3991"/>
    <cellStyle name="輔色5 6 2" xfId="7397"/>
    <cellStyle name="輔色5 6 2 2" xfId="9153"/>
    <cellStyle name="輔色5 7" xfId="3992"/>
    <cellStyle name="輔色5 8" xfId="4717"/>
    <cellStyle name="輔色5 9" xfId="5543"/>
    <cellStyle name="輔色5 9 2" xfId="7599"/>
    <cellStyle name="輔色5 9 2 2" xfId="9360"/>
    <cellStyle name="輔色6" xfId="3993"/>
    <cellStyle name="輔色6 2" xfId="3994"/>
    <cellStyle name="輔色6 3" xfId="3995"/>
    <cellStyle name="輔色6 4" xfId="3996"/>
    <cellStyle name="輔色6 5" xfId="3997"/>
    <cellStyle name="輔色6 6" xfId="3998"/>
    <cellStyle name="輔色6 6 2" xfId="7398"/>
    <cellStyle name="輔色6 6 2 2" xfId="9154"/>
    <cellStyle name="輔色6 7" xfId="3999"/>
    <cellStyle name="輔色6 8" xfId="4716"/>
    <cellStyle name="輔色6 9" xfId="5544"/>
    <cellStyle name="輔色6 9 2" xfId="7600"/>
    <cellStyle name="輔色6 9 2 2" xfId="9361"/>
    <cellStyle name="輸入" xfId="4000"/>
    <cellStyle name="輸入 10" xfId="5545"/>
    <cellStyle name="輸入 10 2" xfId="7601"/>
    <cellStyle name="輸入 10 2 2" xfId="7788"/>
    <cellStyle name="輸入 10 2 2 2" xfId="10153"/>
    <cellStyle name="輸入 10 2 2 2 2" xfId="13027"/>
    <cellStyle name="輸入 10 2 2 2 2 2" xfId="20008"/>
    <cellStyle name="輸入 10 2 2 3" xfId="9362"/>
    <cellStyle name="輸入 10 2 2 3 2" xfId="14289"/>
    <cellStyle name="輸入 10 2 2 3 2 2" xfId="17798"/>
    <cellStyle name="輸入 10 2 2 4" xfId="12071"/>
    <cellStyle name="輸入 10 2 2 4 2" xfId="17084"/>
    <cellStyle name="輸入 10 2 3" xfId="8928"/>
    <cellStyle name="輸入 10 2 3 2" xfId="14167"/>
    <cellStyle name="輸入 10 2 3 2 2" xfId="18780"/>
    <cellStyle name="輸入 10 2 4" xfId="11929"/>
    <cellStyle name="輸入 10 2 4 2" xfId="17174"/>
    <cellStyle name="輸入 10 3" xfId="6646"/>
    <cellStyle name="輸入 10 3 2" xfId="9595"/>
    <cellStyle name="輸入 10 3 2 2" xfId="14495"/>
    <cellStyle name="輸入 10 3 2 2 2" xfId="16061"/>
    <cellStyle name="輸入 10 3 3" xfId="12331"/>
    <cellStyle name="輸入 10 3 3 2" xfId="17949"/>
    <cellStyle name="輸入 10 4" xfId="8320"/>
    <cellStyle name="輸入 10 4 2" xfId="13585"/>
    <cellStyle name="輸入 10 4 2 2" xfId="16592"/>
    <cellStyle name="輸入 10 5" xfId="11246"/>
    <cellStyle name="輸入 10 5 2" xfId="18317"/>
    <cellStyle name="輸入 11" xfId="6001"/>
    <cellStyle name="輸入 11 2" xfId="6530"/>
    <cellStyle name="輸入 11 2 2" xfId="9496"/>
    <cellStyle name="輸入 11 2 2 2" xfId="14397"/>
    <cellStyle name="輸入 11 2 2 2 2" xfId="16119"/>
    <cellStyle name="輸入 11 2 3" xfId="12215"/>
    <cellStyle name="輸入 11 2 3 2" xfId="16979"/>
    <cellStyle name="輸入 11 3" xfId="8496"/>
    <cellStyle name="輸入 11 3 2" xfId="13761"/>
    <cellStyle name="輸入 11 3 2 2" xfId="16488"/>
    <cellStyle name="輸入 11 4" xfId="11464"/>
    <cellStyle name="輸入 11 4 2" xfId="19728"/>
    <cellStyle name="輸入 12" xfId="6533"/>
    <cellStyle name="輸入 12 2" xfId="9499"/>
    <cellStyle name="輸入 12 2 2" xfId="14400"/>
    <cellStyle name="輸入 12 2 2 2" xfId="16116"/>
    <cellStyle name="輸入 12 3" xfId="12218"/>
    <cellStyle name="輸入 12 3 2" xfId="16976"/>
    <cellStyle name="輸入 13" xfId="8018"/>
    <cellStyle name="輸入 13 2" xfId="13285"/>
    <cellStyle name="輸入 13 2 2" xfId="16752"/>
    <cellStyle name="輸入 14" xfId="10881"/>
    <cellStyle name="輸入 14 2" xfId="19154"/>
    <cellStyle name="輸入 2" xfId="4001"/>
    <cellStyle name="輸入 2 2" xfId="5140"/>
    <cellStyle name="輸入 2 2 2" xfId="6116"/>
    <cellStyle name="輸入 2 2 2 2" xfId="6568"/>
    <cellStyle name="輸入 2 2 2 2 2" xfId="9527"/>
    <cellStyle name="輸入 2 2 2 2 2 2" xfId="14428"/>
    <cellStyle name="輸入 2 2 2 2 2 2 2" xfId="16099"/>
    <cellStyle name="輸入 2 2 2 2 3" xfId="12253"/>
    <cellStyle name="輸入 2 2 2 2 3 2" xfId="17877"/>
    <cellStyle name="輸入 2 2 2 3" xfId="8587"/>
    <cellStyle name="輸入 2 2 2 3 2" xfId="13852"/>
    <cellStyle name="輸入 2 2 2 3 2 2" xfId="15496"/>
    <cellStyle name="輸入 2 2 2 4" xfId="11579"/>
    <cellStyle name="輸入 2 2 2 4 2" xfId="19602"/>
    <cellStyle name="輸入 2 2 3" xfId="6565"/>
    <cellStyle name="輸入 2 2 3 2" xfId="9524"/>
    <cellStyle name="輸入 2 2 3 2 2" xfId="14425"/>
    <cellStyle name="輸入 2 2 3 2 2 2" xfId="17810"/>
    <cellStyle name="輸入 2 2 3 3" xfId="12250"/>
    <cellStyle name="輸入 2 2 3 3 2" xfId="16959"/>
    <cellStyle name="輸入 2 2 4" xfId="8115"/>
    <cellStyle name="輸入 2 2 4 2" xfId="13380"/>
    <cellStyle name="輸入 2 2 4 2 2" xfId="16692"/>
    <cellStyle name="輸入 2 2 5" xfId="10998"/>
    <cellStyle name="輸入 2 2 5 2" xfId="17510"/>
    <cellStyle name="輸入 2 3" xfId="5967"/>
    <cellStyle name="輸入 2 3 2" xfId="6571"/>
    <cellStyle name="輸入 2 3 2 2" xfId="9530"/>
    <cellStyle name="輸入 2 3 2 2 2" xfId="14431"/>
    <cellStyle name="輸入 2 3 2 2 2 2" xfId="15474"/>
    <cellStyle name="輸入 2 3 2 3" xfId="12256"/>
    <cellStyle name="輸入 2 3 2 3 2" xfId="16955"/>
    <cellStyle name="輸入 2 3 3" xfId="8463"/>
    <cellStyle name="輸入 2 3 3 2" xfId="13728"/>
    <cellStyle name="輸入 2 3 3 2 2" xfId="18486"/>
    <cellStyle name="輸入 2 3 4" xfId="11430"/>
    <cellStyle name="輸入 2 3 4 2" xfId="19225"/>
    <cellStyle name="輸入 2 4" xfId="7088"/>
    <cellStyle name="輸入 2 4 2" xfId="9893"/>
    <cellStyle name="輸入 2 4 2 2" xfId="14766"/>
    <cellStyle name="輸入 2 4 2 2 2" xfId="15882"/>
    <cellStyle name="輸入 2 4 3" xfId="12772"/>
    <cellStyle name="輸入 2 4 3 2" xfId="19078"/>
    <cellStyle name="輸入 2 5" xfId="8019"/>
    <cellStyle name="輸入 2 5 2" xfId="13286"/>
    <cellStyle name="輸入 2 5 2 2" xfId="16751"/>
    <cellStyle name="輸入 2 6" xfId="10882"/>
    <cellStyle name="輸入 2 6 2" xfId="17601"/>
    <cellStyle name="輸入 3" xfId="4002"/>
    <cellStyle name="輸入 3 2" xfId="5139"/>
    <cellStyle name="輸入 3 2 2" xfId="6115"/>
    <cellStyle name="輸入 3 2 2 2" xfId="6528"/>
    <cellStyle name="輸入 3 2 2 2 2" xfId="9494"/>
    <cellStyle name="輸入 3 2 2 2 2 2" xfId="14396"/>
    <cellStyle name="輸入 3 2 2 2 2 2 2" xfId="17807"/>
    <cellStyle name="輸入 3 2 2 2 3" xfId="12213"/>
    <cellStyle name="輸入 3 2 2 2 3 2" xfId="16981"/>
    <cellStyle name="輸入 3 2 2 3" xfId="8586"/>
    <cellStyle name="輸入 3 2 2 3 2" xfId="13851"/>
    <cellStyle name="輸入 3 2 2 3 2 2" xfId="16435"/>
    <cellStyle name="輸入 3 2 2 4" xfId="11578"/>
    <cellStyle name="輸入 3 2 2 4 2" xfId="19006"/>
    <cellStyle name="輸入 3 2 3" xfId="6599"/>
    <cellStyle name="輸入 3 2 3 2" xfId="9552"/>
    <cellStyle name="輸入 3 2 3 2 2" xfId="14453"/>
    <cellStyle name="輸入 3 2 3 2 2 2" xfId="18453"/>
    <cellStyle name="輸入 3 2 3 3" xfId="12284"/>
    <cellStyle name="輸入 3 2 3 3 2" xfId="17895"/>
    <cellStyle name="輸入 3 2 4" xfId="8114"/>
    <cellStyle name="輸入 3 2 4 2" xfId="13379"/>
    <cellStyle name="輸入 3 2 4 2 2" xfId="16693"/>
    <cellStyle name="輸入 3 2 5" xfId="10997"/>
    <cellStyle name="輸入 3 2 5 2" xfId="17511"/>
    <cellStyle name="輸入 3 3" xfId="5966"/>
    <cellStyle name="輸入 3 3 2" xfId="7690"/>
    <cellStyle name="輸入 3 3 2 2" xfId="10084"/>
    <cellStyle name="輸入 3 3 2 2 2" xfId="14928"/>
    <cellStyle name="輸入 3 3 2 2 2 2" xfId="15804"/>
    <cellStyle name="輸入 3 3 2 3" xfId="12967"/>
    <cellStyle name="輸入 3 3 2 3 2" xfId="19227"/>
    <cellStyle name="輸入 3 3 3" xfId="8462"/>
    <cellStyle name="輸入 3 3 3 2" xfId="13727"/>
    <cellStyle name="輸入 3 3 3 2 2" xfId="16507"/>
    <cellStyle name="輸入 3 3 4" xfId="11429"/>
    <cellStyle name="輸入 3 3 4 2" xfId="19845"/>
    <cellStyle name="輸入 3 4" xfId="7035"/>
    <cellStyle name="輸入 3 4 2" xfId="9859"/>
    <cellStyle name="輸入 3 4 2 2" xfId="14734"/>
    <cellStyle name="輸入 3 4 2 2 2" xfId="18657"/>
    <cellStyle name="輸入 3 4 3" xfId="12719"/>
    <cellStyle name="輸入 3 4 3 2" xfId="19837"/>
    <cellStyle name="輸入 3 5" xfId="8020"/>
    <cellStyle name="輸入 3 5 2" xfId="13287"/>
    <cellStyle name="輸入 3 5 2 2" xfId="16750"/>
    <cellStyle name="輸入 3 6" xfId="10883"/>
    <cellStyle name="輸入 3 6 2" xfId="15530"/>
    <cellStyle name="輸入 4" xfId="4003"/>
    <cellStyle name="輸入 4 2" xfId="5138"/>
    <cellStyle name="輸入 4 2 2" xfId="6114"/>
    <cellStyle name="輸入 4 2 2 2" xfId="6470"/>
    <cellStyle name="輸入 4 2 2 2 2" xfId="9446"/>
    <cellStyle name="輸入 4 2 2 2 2 2" xfId="14351"/>
    <cellStyle name="輸入 4 2 2 2 2 2 2" xfId="16145"/>
    <cellStyle name="輸入 4 2 2 2 3" xfId="12155"/>
    <cellStyle name="輸入 4 2 2 2 3 2" xfId="17024"/>
    <cellStyle name="輸入 4 2 2 3" xfId="8585"/>
    <cellStyle name="輸入 4 2 2 3 2" xfId="13850"/>
    <cellStyle name="輸入 4 2 2 3 2 2" xfId="16436"/>
    <cellStyle name="輸入 4 2 2 4" xfId="11577"/>
    <cellStyle name="輸入 4 2 2 4 2" xfId="19336"/>
    <cellStyle name="輸入 4 2 3" xfId="6467"/>
    <cellStyle name="輸入 4 2 3 2" xfId="9444"/>
    <cellStyle name="輸入 4 2 3 2 2" xfId="14349"/>
    <cellStyle name="輸入 4 2 3 2 2 2" xfId="16147"/>
    <cellStyle name="輸入 4 2 3 3" xfId="12152"/>
    <cellStyle name="輸入 4 2 3 3 2" xfId="17986"/>
    <cellStyle name="輸入 4 2 4" xfId="8113"/>
    <cellStyle name="輸入 4 2 4 2" xfId="13378"/>
    <cellStyle name="輸入 4 2 4 2 2" xfId="16694"/>
    <cellStyle name="輸入 4 2 5" xfId="10996"/>
    <cellStyle name="輸入 4 2 5 2" xfId="17512"/>
    <cellStyle name="輸入 4 3" xfId="5965"/>
    <cellStyle name="輸入 4 3 2" xfId="7717"/>
    <cellStyle name="輸入 4 3 2 2" xfId="10107"/>
    <cellStyle name="輸入 4 3 2 2 2" xfId="14949"/>
    <cellStyle name="輸入 4 3 2 2 2 2" xfId="15798"/>
    <cellStyle name="輸入 4 3 2 3" xfId="12994"/>
    <cellStyle name="輸入 4 3 2 3 2" xfId="19440"/>
    <cellStyle name="輸入 4 3 3" xfId="8461"/>
    <cellStyle name="輸入 4 3 3 2" xfId="13726"/>
    <cellStyle name="輸入 4 3 3 2 2" xfId="15512"/>
    <cellStyle name="輸入 4 3 4" xfId="11428"/>
    <cellStyle name="輸入 4 3 4 2" xfId="19540"/>
    <cellStyle name="輸入 4 4" xfId="6673"/>
    <cellStyle name="輸入 4 4 2" xfId="9622"/>
    <cellStyle name="輸入 4 4 2 2" xfId="14520"/>
    <cellStyle name="輸入 4 4 2 2 2" xfId="18447"/>
    <cellStyle name="輸入 4 4 3" xfId="12358"/>
    <cellStyle name="輸入 4 4 3 2" xfId="18192"/>
    <cellStyle name="輸入 4 5" xfId="8021"/>
    <cellStyle name="輸入 4 5 2" xfId="13288"/>
    <cellStyle name="輸入 4 5 2 2" xfId="16749"/>
    <cellStyle name="輸入 4 6" xfId="10884"/>
    <cellStyle name="輸入 4 6 2" xfId="15394"/>
    <cellStyle name="輸入 5" xfId="4004"/>
    <cellStyle name="輸入 5 2" xfId="5186"/>
    <cellStyle name="輸入 5 2 2" xfId="6162"/>
    <cellStyle name="輸入 5 2 2 2" xfId="6910"/>
    <cellStyle name="輸入 5 2 2 2 2" xfId="9770"/>
    <cellStyle name="輸入 5 2 2 2 2 2" xfId="14657"/>
    <cellStyle name="輸入 5 2 2 2 2 2 2" xfId="18896"/>
    <cellStyle name="輸入 5 2 2 2 3" xfId="12594"/>
    <cellStyle name="輸入 5 2 2 2 3 2" xfId="16852"/>
    <cellStyle name="輸入 5 2 2 3" xfId="8631"/>
    <cellStyle name="輸入 5 2 2 3 2" xfId="13896"/>
    <cellStyle name="輸入 5 2 2 3 2 2" xfId="16402"/>
    <cellStyle name="輸入 5 2 2 4" xfId="11625"/>
    <cellStyle name="輸入 5 2 2 4 2" xfId="20055"/>
    <cellStyle name="輸入 5 2 3" xfId="7708"/>
    <cellStyle name="輸入 5 2 3 2" xfId="10100"/>
    <cellStyle name="輸入 5 2 3 2 2" xfId="14942"/>
    <cellStyle name="輸入 5 2 3 2 2 2" xfId="15446"/>
    <cellStyle name="輸入 5 2 3 3" xfId="12985"/>
    <cellStyle name="輸入 5 2 3 3 2" xfId="20017"/>
    <cellStyle name="輸入 5 2 4" xfId="8159"/>
    <cellStyle name="輸入 5 2 4 2" xfId="13424"/>
    <cellStyle name="輸入 5 2 4 2 2" xfId="18250"/>
    <cellStyle name="輸入 5 2 5" xfId="11044"/>
    <cellStyle name="輸入 5 2 5 2" xfId="15396"/>
    <cellStyle name="輸入 5 3" xfId="5867"/>
    <cellStyle name="輸入 5 3 2" xfId="7692"/>
    <cellStyle name="輸入 5 3 2 2" xfId="10086"/>
    <cellStyle name="輸入 5 3 2 2 2" xfId="14930"/>
    <cellStyle name="輸入 5 3 2 2 2 2" xfId="15456"/>
    <cellStyle name="輸入 5 3 2 3" xfId="12969"/>
    <cellStyle name="輸入 5 3 2 3 2" xfId="20034"/>
    <cellStyle name="輸入 5 3 3" xfId="8385"/>
    <cellStyle name="輸入 5 3 3 2" xfId="13650"/>
    <cellStyle name="輸入 5 3 3 2 2" xfId="16551"/>
    <cellStyle name="輸入 5 3 4" xfId="11330"/>
    <cellStyle name="輸入 5 3 4 2" xfId="17265"/>
    <cellStyle name="輸入 5 4" xfId="6672"/>
    <cellStyle name="輸入 5 4 2" xfId="9621"/>
    <cellStyle name="輸入 5 4 2 2" xfId="14519"/>
    <cellStyle name="輸入 5 4 2 2 2" xfId="16040"/>
    <cellStyle name="輸入 5 4 3" xfId="12357"/>
    <cellStyle name="輸入 5 4 3 2" xfId="18504"/>
    <cellStyle name="輸入 5 5" xfId="8022"/>
    <cellStyle name="輸入 5 5 2" xfId="13289"/>
    <cellStyle name="輸入 5 5 2 2" xfId="15378"/>
    <cellStyle name="輸入 5 6" xfId="10885"/>
    <cellStyle name="輸入 5 6 2" xfId="17599"/>
    <cellStyle name="輸入 6" xfId="4005"/>
    <cellStyle name="輸入 6 2" xfId="5137"/>
    <cellStyle name="輸入 6 2 2" xfId="6113"/>
    <cellStyle name="輸入 6 2 2 2" xfId="7646"/>
    <cellStyle name="輸入 6 2 2 2 2" xfId="7806"/>
    <cellStyle name="輸入 6 2 2 2 2 2" xfId="10171"/>
    <cellStyle name="輸入 6 2 2 2 2 2 2" xfId="13045"/>
    <cellStyle name="輸入 6 2 2 2 2 2 2 2" xfId="19616"/>
    <cellStyle name="輸入 6 2 2 2 2 3" xfId="9412"/>
    <cellStyle name="輸入 6 2 2 2 2 3 2" xfId="14324"/>
    <cellStyle name="輸入 6 2 2 2 2 3 2 2" xfId="16159"/>
    <cellStyle name="輸入 6 2 2 2 2 4" xfId="12118"/>
    <cellStyle name="輸入 6 2 2 2 2 4 2" xfId="17052"/>
    <cellStyle name="輸入 6 2 2 2 3" xfId="8969"/>
    <cellStyle name="輸入 6 2 2 2 3 2" xfId="14208"/>
    <cellStyle name="輸入 6 2 2 2 3 2 2" xfId="16222"/>
    <cellStyle name="輸入 6 2 2 2 4" xfId="11971"/>
    <cellStyle name="輸入 6 2 2 2 4 2" xfId="18518"/>
    <cellStyle name="輸入 6 2 2 3" xfId="7034"/>
    <cellStyle name="輸入 6 2 2 3 2" xfId="9858"/>
    <cellStyle name="輸入 6 2 2 3 2 2" xfId="14733"/>
    <cellStyle name="輸入 6 2 2 3 2 2 2" xfId="18838"/>
    <cellStyle name="輸入 6 2 2 3 3" xfId="12718"/>
    <cellStyle name="輸入 6 2 2 3 3 2" xfId="19532"/>
    <cellStyle name="輸入 6 2 2 4" xfId="8584"/>
    <cellStyle name="輸入 6 2 2 4 2" xfId="13849"/>
    <cellStyle name="輸入 6 2 2 4 2 2" xfId="16437"/>
    <cellStyle name="輸入 6 2 2 5" xfId="11576"/>
    <cellStyle name="輸入 6 2 2 5 2" xfId="19957"/>
    <cellStyle name="輸入 6 2 3" xfId="7502"/>
    <cellStyle name="輸入 6 2 3 2" xfId="7774"/>
    <cellStyle name="輸入 6 2 3 2 2" xfId="10139"/>
    <cellStyle name="輸入 6 2 3 2 2 2" xfId="13013"/>
    <cellStyle name="輸入 6 2 3 2 2 2 2" xfId="19533"/>
    <cellStyle name="輸入 6 2 3 2 3" xfId="9258"/>
    <cellStyle name="輸入 6 2 3 2 3 2" xfId="14262"/>
    <cellStyle name="輸入 6 2 3 2 3 2 2" xfId="16197"/>
    <cellStyle name="輸入 6 2 3 2 4" xfId="12036"/>
    <cellStyle name="輸入 6 2 3 2 4 2" xfId="17105"/>
    <cellStyle name="輸入 6 2 3 3" xfId="8900"/>
    <cellStyle name="輸入 6 2 3 3 2" xfId="14139"/>
    <cellStyle name="輸入 6 2 3 3 2 2" xfId="18349"/>
    <cellStyle name="輸入 6 2 3 4" xfId="11899"/>
    <cellStyle name="輸入 6 2 3 4 2" xfId="17194"/>
    <cellStyle name="輸入 6 2 4" xfId="7669"/>
    <cellStyle name="輸入 6 2 4 2" xfId="10067"/>
    <cellStyle name="輸入 6 2 4 2 2" xfId="14911"/>
    <cellStyle name="輸入 6 2 4 2 2 2" xfId="15812"/>
    <cellStyle name="輸入 6 2 4 3" xfId="12946"/>
    <cellStyle name="輸入 6 2 4 3 2" xfId="19389"/>
    <cellStyle name="輸入 6 2 5" xfId="8112"/>
    <cellStyle name="輸入 6 2 5 2" xfId="13377"/>
    <cellStyle name="輸入 6 2 5 2 2" xfId="16695"/>
    <cellStyle name="輸入 6 2 6" xfId="10995"/>
    <cellStyle name="輸入 6 2 6 2" xfId="17513"/>
    <cellStyle name="輸入 6 3" xfId="5866"/>
    <cellStyle name="輸入 6 3 2" xfId="7618"/>
    <cellStyle name="輸入 6 3 2 2" xfId="7793"/>
    <cellStyle name="輸入 6 3 2 2 2" xfId="10158"/>
    <cellStyle name="輸入 6 3 2 2 2 2" xfId="13032"/>
    <cellStyle name="輸入 6 3 2 2 2 2 2" xfId="19254"/>
    <cellStyle name="輸入 6 3 2 2 3" xfId="9380"/>
    <cellStyle name="輸入 6 3 2 2 3 2" xfId="14300"/>
    <cellStyle name="輸入 6 3 2 2 3 2 2" xfId="16175"/>
    <cellStyle name="輸入 6 3 2 2 4" xfId="12086"/>
    <cellStyle name="輸入 6 3 2 2 4 2" xfId="17077"/>
    <cellStyle name="輸入 6 3 2 3" xfId="8942"/>
    <cellStyle name="輸入 6 3 2 3 2" xfId="14181"/>
    <cellStyle name="輸入 6 3 2 3 2 2" xfId="18668"/>
    <cellStyle name="輸入 6 3 2 4" xfId="11943"/>
    <cellStyle name="輸入 6 3 2 4 2" xfId="18207"/>
    <cellStyle name="輸入 6 3 3" xfId="6869"/>
    <cellStyle name="輸入 6 3 3 2" xfId="9743"/>
    <cellStyle name="輸入 6 3 3 2 2" xfId="14631"/>
    <cellStyle name="輸入 6 3 3 2 2 2" xfId="15964"/>
    <cellStyle name="輸入 6 3 3 3" xfId="12553"/>
    <cellStyle name="輸入 6 3 3 3 2" xfId="20014"/>
    <cellStyle name="輸入 6 3 4" xfId="8384"/>
    <cellStyle name="輸入 6 3 4 2" xfId="13649"/>
    <cellStyle name="輸入 6 3 4 2 2" xfId="15524"/>
    <cellStyle name="輸入 6 3 5" xfId="11329"/>
    <cellStyle name="輸入 6 3 5 2" xfId="17266"/>
    <cellStyle name="輸入 6 4" xfId="7399"/>
    <cellStyle name="輸入 6 4 2" xfId="7764"/>
    <cellStyle name="輸入 6 4 2 2" xfId="10129"/>
    <cellStyle name="輸入 6 4 2 2 2" xfId="13003"/>
    <cellStyle name="輸入 6 4 2 2 2 2" xfId="19435"/>
    <cellStyle name="輸入 6 4 2 3" xfId="9155"/>
    <cellStyle name="輸入 6 4 2 3 2" xfId="14243"/>
    <cellStyle name="輸入 6 4 2 3 2 2" xfId="18936"/>
    <cellStyle name="輸入 6 4 2 4" xfId="12013"/>
    <cellStyle name="輸入 6 4 2 4 2" xfId="17119"/>
    <cellStyle name="輸入 6 4 3" xfId="8877"/>
    <cellStyle name="輸入 6 4 3 2" xfId="14116"/>
    <cellStyle name="輸入 6 4 3 2 2" xfId="16267"/>
    <cellStyle name="輸入 6 4 4" xfId="11876"/>
    <cellStyle name="輸入 6 4 4 2" xfId="17208"/>
    <cellStyle name="輸入 6 5" xfId="7029"/>
    <cellStyle name="輸入 6 5 2" xfId="9854"/>
    <cellStyle name="輸入 6 5 2 2" xfId="14730"/>
    <cellStyle name="輸入 6 5 2 2 2" xfId="18340"/>
    <cellStyle name="輸入 6 5 3" xfId="12713"/>
    <cellStyle name="輸入 6 5 3 2" xfId="19765"/>
    <cellStyle name="輸入 6 6" xfId="8023"/>
    <cellStyle name="輸入 6 6 2" xfId="13290"/>
    <cellStyle name="輸入 6 6 2 2" xfId="18081"/>
    <cellStyle name="輸入 6 7" xfId="10886"/>
    <cellStyle name="輸入 6 7 2" xfId="17598"/>
    <cellStyle name="輸入 7" xfId="4006"/>
    <cellStyle name="輸入 7 2" xfId="5250"/>
    <cellStyle name="輸入 7 2 2" xfId="6226"/>
    <cellStyle name="輸入 7 2 2 2" xfId="6517"/>
    <cellStyle name="輸入 7 2 2 2 2" xfId="9483"/>
    <cellStyle name="輸入 7 2 2 2 2 2" xfId="14385"/>
    <cellStyle name="輸入 7 2 2 2 2 2 2" xfId="18148"/>
    <cellStyle name="輸入 7 2 2 2 3" xfId="12202"/>
    <cellStyle name="輸入 7 2 2 2 3 2" xfId="16987"/>
    <cellStyle name="輸入 7 2 2 3" xfId="8691"/>
    <cellStyle name="輸入 7 2 2 3 2" xfId="13956"/>
    <cellStyle name="輸入 7 2 2 3 2 2" xfId="16360"/>
    <cellStyle name="輸入 7 2 2 4" xfId="11689"/>
    <cellStyle name="輸入 7 2 2 4 2" xfId="19390"/>
    <cellStyle name="輸入 7 2 3" xfId="6455"/>
    <cellStyle name="輸入 7 2 3 2" xfId="9434"/>
    <cellStyle name="輸入 7 2 3 2 2" xfId="14339"/>
    <cellStyle name="輸入 7 2 3 2 2 2" xfId="16153"/>
    <cellStyle name="輸入 7 2 3 3" xfId="12140"/>
    <cellStyle name="輸入 7 2 3 3 2" xfId="17034"/>
    <cellStyle name="輸入 7 2 4" xfId="8219"/>
    <cellStyle name="輸入 7 2 4 2" xfId="13484"/>
    <cellStyle name="輸入 7 2 4 2 2" xfId="16639"/>
    <cellStyle name="輸入 7 2 5" xfId="11108"/>
    <cellStyle name="輸入 7 2 5 2" xfId="17424"/>
    <cellStyle name="輸入 7 3" xfId="6042"/>
    <cellStyle name="輸入 7 3 2" xfId="6800"/>
    <cellStyle name="輸入 7 3 2 2" xfId="9695"/>
    <cellStyle name="輸入 7 3 2 2 2" xfId="14591"/>
    <cellStyle name="輸入 7 3 2 2 2 2" xfId="15994"/>
    <cellStyle name="輸入 7 3 2 3" xfId="12484"/>
    <cellStyle name="輸入 7 3 2 3 2" xfId="19972"/>
    <cellStyle name="輸入 7 3 3" xfId="8530"/>
    <cellStyle name="輸入 7 3 3 2" xfId="13795"/>
    <cellStyle name="輸入 7 3 3 2 2" xfId="15506"/>
    <cellStyle name="輸入 7 3 4" xfId="11505"/>
    <cellStyle name="輸入 7 3 4 2" xfId="19398"/>
    <cellStyle name="輸入 7 4" xfId="6671"/>
    <cellStyle name="輸入 7 4 2" xfId="9620"/>
    <cellStyle name="輸入 7 4 2 2" xfId="14518"/>
    <cellStyle name="輸入 7 4 2 2 2" xfId="15461"/>
    <cellStyle name="輸入 7 4 3" xfId="12356"/>
    <cellStyle name="輸入 7 4 3 2" xfId="16906"/>
    <cellStyle name="輸入 7 5" xfId="8024"/>
    <cellStyle name="輸入 7 5 2" xfId="13291"/>
    <cellStyle name="輸入 7 5 2 2" xfId="18917"/>
    <cellStyle name="輸入 7 6" xfId="10887"/>
    <cellStyle name="輸入 7 6 2" xfId="17597"/>
    <cellStyle name="輸入 8" xfId="4678"/>
    <cellStyle name="輸入 8 2" xfId="5378"/>
    <cellStyle name="輸入 8 2 2" xfId="7687"/>
    <cellStyle name="輸入 8 2 2 2" xfId="10081"/>
    <cellStyle name="輸入 8 2 2 2 2" xfId="14925"/>
    <cellStyle name="輸入 8 2 2 2 2 2" xfId="18354"/>
    <cellStyle name="輸入 8 2 2 3" xfId="12964"/>
    <cellStyle name="輸入 8 2 2 3 2" xfId="18552"/>
    <cellStyle name="輸入 8 2 3" xfId="8293"/>
    <cellStyle name="輸入 8 2 3 2" xfId="13558"/>
    <cellStyle name="輸入 8 2 3 2 2" xfId="16603"/>
    <cellStyle name="輸入 8 2 4" xfId="11210"/>
    <cellStyle name="輸入 8 2 4 2" xfId="18272"/>
    <cellStyle name="輸入 8 3" xfId="5791"/>
    <cellStyle name="輸入 8 3 2" xfId="6868"/>
    <cellStyle name="輸入 8 3 2 2" xfId="9742"/>
    <cellStyle name="輸入 8 3 2 2 2" xfId="14630"/>
    <cellStyle name="輸入 8 3 2 2 2 2" xfId="15965"/>
    <cellStyle name="輸入 8 3 2 3" xfId="12552"/>
    <cellStyle name="輸入 8 3 2 3 2" xfId="19712"/>
    <cellStyle name="輸入 8 3 3" xfId="8328"/>
    <cellStyle name="輸入 8 3 3 2" xfId="13593"/>
    <cellStyle name="輸入 8 3 3 2 2" xfId="17768"/>
    <cellStyle name="輸入 8 3 4" xfId="11254"/>
    <cellStyle name="輸入 8 3 4 2" xfId="17312"/>
    <cellStyle name="輸入 8 4" xfId="6917"/>
    <cellStyle name="輸入 8 4 2" xfId="9777"/>
    <cellStyle name="輸入 8 4 2 2" xfId="14663"/>
    <cellStyle name="輸入 8 4 2 2 2" xfId="15942"/>
    <cellStyle name="輸入 8 4 3" xfId="12601"/>
    <cellStyle name="輸入 8 4 3 2" xfId="19512"/>
    <cellStyle name="輸入 8 5" xfId="8065"/>
    <cellStyle name="輸入 8 5 2" xfId="13330"/>
    <cellStyle name="輸入 8 5 2 2" xfId="18987"/>
    <cellStyle name="輸入 8 6" xfId="10928"/>
    <cellStyle name="輸入 8 6 2" xfId="17564"/>
    <cellStyle name="輸入 9" xfId="5141"/>
    <cellStyle name="輸入 9 2" xfId="6117"/>
    <cellStyle name="輸入 9 2 2" xfId="6963"/>
    <cellStyle name="輸入 9 2 2 2" xfId="9809"/>
    <cellStyle name="輸入 9 2 2 2 2" xfId="14689"/>
    <cellStyle name="輸入 9 2 2 2 2 2" xfId="18956"/>
    <cellStyle name="輸入 9 2 2 3" xfId="12647"/>
    <cellStyle name="輸入 9 2 2 3 2" xfId="19430"/>
    <cellStyle name="輸入 9 2 3" xfId="8588"/>
    <cellStyle name="輸入 9 2 3 2" xfId="13853"/>
    <cellStyle name="輸入 9 2 3 2 2" xfId="16428"/>
    <cellStyle name="輸入 9 2 4" xfId="11580"/>
    <cellStyle name="輸入 9 2 4 2" xfId="19907"/>
    <cellStyle name="輸入 9 3" xfId="6607"/>
    <cellStyle name="輸入 9 3 2" xfId="9559"/>
    <cellStyle name="輸入 9 3 2 2" xfId="14460"/>
    <cellStyle name="輸入 9 3 2 2 2" xfId="16079"/>
    <cellStyle name="輸入 9 3 3" xfId="12292"/>
    <cellStyle name="輸入 9 3 3 2" xfId="16937"/>
    <cellStyle name="輸入 9 4" xfId="8116"/>
    <cellStyle name="輸入 9 4 2" xfId="13381"/>
    <cellStyle name="輸入 9 4 2 2" xfId="16691"/>
    <cellStyle name="輸入 9 5" xfId="10999"/>
    <cellStyle name="輸入 9 5 2" xfId="17509"/>
    <cellStyle name="輸出" xfId="4007"/>
    <cellStyle name="輸出 10" xfId="5546"/>
    <cellStyle name="輸出 10 2" xfId="6379"/>
    <cellStyle name="輸出 10 2 2" xfId="7602"/>
    <cellStyle name="輸出 10 2 2 2" xfId="6978"/>
    <cellStyle name="輸出 10 2 2 2 2" xfId="9820"/>
    <cellStyle name="輸出 10 2 2 2 2 2" xfId="14700"/>
    <cellStyle name="輸出 10 2 2 2 2 2 2" xfId="15918"/>
    <cellStyle name="輸出 10 2 2 2 3" xfId="12662"/>
    <cellStyle name="輸出 10 2 2 2 3 2" xfId="19236"/>
    <cellStyle name="輸出 10 2 2 3" xfId="8929"/>
    <cellStyle name="輸出 10 2 2 3 2" xfId="14168"/>
    <cellStyle name="輸出 10 2 2 3 2 2" xfId="18348"/>
    <cellStyle name="輸出 10 2 2 4" xfId="11930"/>
    <cellStyle name="輸出 10 2 2 4 2" xfId="18520"/>
    <cellStyle name="輸出 10 2 3" xfId="7182"/>
    <cellStyle name="輸出 10 2 3 2" xfId="9987"/>
    <cellStyle name="輸出 10 2 3 2 2" xfId="10305"/>
    <cellStyle name="輸出 10 2 3 2 2 2" xfId="10555"/>
    <cellStyle name="輸出 10 2 3 2 2 2 2" xfId="15282"/>
    <cellStyle name="輸出 10 2 3 2 2 2 2 2" xfId="15584"/>
    <cellStyle name="輸出 10 2 3 2 2 3" xfId="15082"/>
    <cellStyle name="輸出 10 2 3 2 2 3 2" xfId="18430"/>
    <cellStyle name="輸出 10 2 3 2 3" xfId="12866"/>
    <cellStyle name="輸出 10 2 3 2 3 2" xfId="19345"/>
    <cellStyle name="輸出 10 2 3 3" xfId="9363"/>
    <cellStyle name="輸出 10 2 3 3 2" xfId="14290"/>
    <cellStyle name="輸出 10 2 3 3 2 2" xfId="16181"/>
    <cellStyle name="輸出 10 2 3 4" xfId="10196"/>
    <cellStyle name="輸出 10 2 3 4 2" xfId="10446"/>
    <cellStyle name="輸出 10 2 3 4 2 2" xfId="15173"/>
    <cellStyle name="輸出 10 2 3 4 2 2 2" xfId="15663"/>
    <cellStyle name="輸出 10 2 3 4 3" xfId="14973"/>
    <cellStyle name="輸出 10 2 3 4 3 2" xfId="18441"/>
    <cellStyle name="輸出 10 2 3 5" xfId="12072"/>
    <cellStyle name="輸出 10 2 3 5 2" xfId="17871"/>
    <cellStyle name="輸出 10 2 4" xfId="8794"/>
    <cellStyle name="輸出 10 2 4 2" xfId="13109"/>
    <cellStyle name="輸出 10 2 4 2 2" xfId="19039"/>
    <cellStyle name="輸出 10 2 5" xfId="11792"/>
    <cellStyle name="輸出 10 2 5 2" xfId="19697"/>
    <cellStyle name="輸出 10 3" xfId="8321"/>
    <cellStyle name="輸出 10 3 2" xfId="13586"/>
    <cellStyle name="輸出 10 3 2 2" xfId="16591"/>
    <cellStyle name="輸出 10 4" xfId="11247"/>
    <cellStyle name="輸出 10 4 2" xfId="18270"/>
    <cellStyle name="輸出 11" xfId="5865"/>
    <cellStyle name="輸出 11 2" xfId="6389"/>
    <cellStyle name="輸出 11 2 2" xfId="7192"/>
    <cellStyle name="輸出 11 2 2 2" xfId="9997"/>
    <cellStyle name="輸出 11 2 2 2 2" xfId="14852"/>
    <cellStyle name="輸出 11 2 2 2 2 2" xfId="15841"/>
    <cellStyle name="輸出 11 2 2 3" xfId="10315"/>
    <cellStyle name="輸出 11 2 2 3 2" xfId="10565"/>
    <cellStyle name="輸出 11 2 2 3 2 2" xfId="15292"/>
    <cellStyle name="輸出 11 2 2 3 2 2 2" xfId="15579"/>
    <cellStyle name="輸出 11 2 2 3 3" xfId="15092"/>
    <cellStyle name="輸出 11 2 2 3 3 2" xfId="18117"/>
    <cellStyle name="輸出 11 2 2 4" xfId="12876"/>
    <cellStyle name="輸出 11 2 2 4 2" xfId="19605"/>
    <cellStyle name="輸出 11 2 3" xfId="8804"/>
    <cellStyle name="輸出 11 2 3 2" xfId="14052"/>
    <cellStyle name="輸出 11 2 3 2 2" xfId="16302"/>
    <cellStyle name="輸出 11 2 4" xfId="11802"/>
    <cellStyle name="輸出 11 2 4 2" xfId="19112"/>
    <cellStyle name="輸出 11 3" xfId="8383"/>
    <cellStyle name="輸出 11 3 2" xfId="13648"/>
    <cellStyle name="輸出 11 3 2 2" xfId="16553"/>
    <cellStyle name="輸出 11 4" xfId="11328"/>
    <cellStyle name="輸出 11 4 2" xfId="17267"/>
    <cellStyle name="輸出 12" xfId="6309"/>
    <cellStyle name="輸出 12 2" xfId="7112"/>
    <cellStyle name="輸出 12 2 2" xfId="9917"/>
    <cellStyle name="輸出 12 2 2 2" xfId="14790"/>
    <cellStyle name="輸出 12 2 2 2 2" xfId="18651"/>
    <cellStyle name="輸出 12 2 3" xfId="10235"/>
    <cellStyle name="輸出 12 2 3 2" xfId="10485"/>
    <cellStyle name="輸出 12 2 3 2 2" xfId="15212"/>
    <cellStyle name="輸出 12 2 3 2 2 2" xfId="17849"/>
    <cellStyle name="輸出 12 2 3 3" xfId="15012"/>
    <cellStyle name="輸出 12 2 3 3 2" xfId="15759"/>
    <cellStyle name="輸出 12 2 4" xfId="12796"/>
    <cellStyle name="輸出 12 2 4 2" xfId="19065"/>
    <cellStyle name="輸出 12 3" xfId="8724"/>
    <cellStyle name="輸出 12 3 2" xfId="13989"/>
    <cellStyle name="輸出 12 3 2 2" xfId="16339"/>
    <cellStyle name="輸出 12 4" xfId="11722"/>
    <cellStyle name="輸出 12 4 2" xfId="18550"/>
    <cellStyle name="輸出 13" xfId="8025"/>
    <cellStyle name="輸出 13 2" xfId="13292"/>
    <cellStyle name="輸出 13 2 2" xfId="18736"/>
    <cellStyle name="輸出 14" xfId="10888"/>
    <cellStyle name="輸出 14 2" xfId="17596"/>
    <cellStyle name="輸出 2" xfId="4008"/>
    <cellStyle name="輸出 2 2" xfId="5184"/>
    <cellStyle name="輸出 2 2 2" xfId="6160"/>
    <cellStyle name="輸出 2 2 2 2" xfId="6443"/>
    <cellStyle name="輸出 2 2 2 2 2" xfId="7246"/>
    <cellStyle name="輸出 2 2 2 2 2 2" xfId="10051"/>
    <cellStyle name="輸出 2 2 2 2 2 2 2" xfId="14895"/>
    <cellStyle name="輸出 2 2 2 2 2 2 2 2" xfId="18787"/>
    <cellStyle name="輸出 2 2 2 2 2 3" xfId="10369"/>
    <cellStyle name="輸出 2 2 2 2 2 3 2" xfId="10619"/>
    <cellStyle name="輸出 2 2 2 2 2 3 2 2" xfId="15346"/>
    <cellStyle name="輸出 2 2 2 2 2 3 2 2 2" xfId="20086"/>
    <cellStyle name="輸出 2 2 2 2 2 3 3" xfId="15146"/>
    <cellStyle name="輸出 2 2 2 2 2 3 3 2" xfId="15679"/>
    <cellStyle name="輸出 2 2 2 2 2 4" xfId="12930"/>
    <cellStyle name="輸出 2 2 2 2 2 4 2" xfId="20026"/>
    <cellStyle name="輸出 2 2 2 2 3" xfId="8858"/>
    <cellStyle name="輸出 2 2 2 2 3 2" xfId="14097"/>
    <cellStyle name="輸出 2 2 2 2 3 2 2" xfId="16275"/>
    <cellStyle name="輸出 2 2 2 2 4" xfId="11856"/>
    <cellStyle name="輸出 2 2 2 2 4 2" xfId="17220"/>
    <cellStyle name="輸出 2 2 2 3" xfId="8629"/>
    <cellStyle name="輸出 2 2 2 3 2" xfId="13894"/>
    <cellStyle name="輸出 2 2 2 3 2 2" xfId="16404"/>
    <cellStyle name="輸出 2 2 2 4" xfId="11623"/>
    <cellStyle name="輸出 2 2 2 4 2" xfId="19183"/>
    <cellStyle name="輸出 2 2 3" xfId="6354"/>
    <cellStyle name="輸出 2 2 3 2" xfId="7157"/>
    <cellStyle name="輸出 2 2 3 2 2" xfId="9962"/>
    <cellStyle name="輸出 2 2 3 2 2 2" xfId="14824"/>
    <cellStyle name="輸出 2 2 3 2 2 2 2" xfId="15854"/>
    <cellStyle name="輸出 2 2 3 2 3" xfId="10280"/>
    <cellStyle name="輸出 2 2 3 2 3 2" xfId="10530"/>
    <cellStyle name="輸出 2 2 3 2 3 2 2" xfId="15257"/>
    <cellStyle name="輸出 2 2 3 2 3 2 2 2" xfId="15604"/>
    <cellStyle name="輸出 2 2 3 2 3 3" xfId="15057"/>
    <cellStyle name="輸出 2 2 3 2 3 3 2" xfId="15733"/>
    <cellStyle name="輸出 2 2 3 2 4" xfId="12841"/>
    <cellStyle name="輸出 2 2 3 2 4 2" xfId="19650"/>
    <cellStyle name="輸出 2 2 3 3" xfId="8769"/>
    <cellStyle name="輸出 2 2 3 3 2" xfId="14024"/>
    <cellStyle name="輸出 2 2 3 3 2 2" xfId="18865"/>
    <cellStyle name="輸出 2 2 3 4" xfId="11767"/>
    <cellStyle name="輸出 2 2 3 4 2" xfId="19682"/>
    <cellStyle name="輸出 2 2 4" xfId="8157"/>
    <cellStyle name="輸出 2 2 4 2" xfId="13422"/>
    <cellStyle name="輸出 2 2 4 2 2" xfId="18949"/>
    <cellStyle name="輸出 2 2 5" xfId="11042"/>
    <cellStyle name="輸出 2 2 5 2" xfId="17481"/>
    <cellStyle name="輸出 2 3" xfId="5961"/>
    <cellStyle name="輸出 2 3 2" xfId="6408"/>
    <cellStyle name="輸出 2 3 2 2" xfId="7211"/>
    <cellStyle name="輸出 2 3 2 2 2" xfId="10016"/>
    <cellStyle name="輸出 2 3 2 2 2 2" xfId="14868"/>
    <cellStyle name="輸出 2 3 2 2 2 2 2" xfId="15834"/>
    <cellStyle name="輸出 2 3 2 2 3" xfId="10334"/>
    <cellStyle name="輸出 2 3 2 2 3 2" xfId="10584"/>
    <cellStyle name="輸出 2 3 2 2 3 2 2" xfId="15311"/>
    <cellStyle name="輸出 2 3 2 2 3 2 2 2" xfId="15565"/>
    <cellStyle name="輸出 2 3 2 2 3 3" xfId="15111"/>
    <cellStyle name="輸出 2 3 2 2 3 3 2" xfId="18427"/>
    <cellStyle name="輸出 2 3 2 2 4" xfId="12895"/>
    <cellStyle name="輸出 2 3 2 2 4 2" xfId="19883"/>
    <cellStyle name="輸出 2 3 2 3" xfId="8823"/>
    <cellStyle name="輸出 2 3 2 3 2" xfId="14069"/>
    <cellStyle name="輸出 2 3 2 3 2 2" xfId="16291"/>
    <cellStyle name="輸出 2 3 2 4" xfId="11821"/>
    <cellStyle name="輸出 2 3 2 4 2" xfId="15365"/>
    <cellStyle name="輸出 2 3 3" xfId="8457"/>
    <cellStyle name="輸出 2 3 3 2" xfId="13722"/>
    <cellStyle name="輸出 2 3 3 2 2" xfId="16512"/>
    <cellStyle name="輸出 2 3 4" xfId="11424"/>
    <cellStyle name="輸出 2 3 4 2" xfId="19970"/>
    <cellStyle name="輸出 2 4" xfId="6310"/>
    <cellStyle name="輸出 2 4 2" xfId="7113"/>
    <cellStyle name="輸出 2 4 2 2" xfId="9918"/>
    <cellStyle name="輸出 2 4 2 2 2" xfId="14791"/>
    <cellStyle name="輸出 2 4 2 2 2 2" xfId="15870"/>
    <cellStyle name="輸出 2 4 2 3" xfId="10236"/>
    <cellStyle name="輸出 2 4 2 3 2" xfId="10486"/>
    <cellStyle name="輸出 2 4 2 3 2 2" xfId="15213"/>
    <cellStyle name="輸出 2 4 2 3 2 2 2" xfId="15639"/>
    <cellStyle name="輸出 2 4 2 3 3" xfId="15013"/>
    <cellStyle name="輸出 2 4 2 3 3 2" xfId="18437"/>
    <cellStyle name="輸出 2 4 2 4" xfId="12797"/>
    <cellStyle name="輸出 2 4 2 4 2" xfId="18310"/>
    <cellStyle name="輸出 2 4 3" xfId="8725"/>
    <cellStyle name="輸出 2 4 3 2" xfId="13990"/>
    <cellStyle name="輸出 2 4 3 2 2" xfId="16338"/>
    <cellStyle name="輸出 2 4 4" xfId="11723"/>
    <cellStyle name="輸出 2 4 4 2" xfId="19547"/>
    <cellStyle name="輸出 2 5" xfId="8026"/>
    <cellStyle name="輸出 2 5 2" xfId="13293"/>
    <cellStyle name="輸出 2 5 2 2" xfId="17997"/>
    <cellStyle name="輸出 2 6" xfId="10889"/>
    <cellStyle name="輸出 2 6 2" xfId="17595"/>
    <cellStyle name="輸出 3" xfId="4009"/>
    <cellStyle name="輸出 3 2" xfId="5136"/>
    <cellStyle name="輸出 3 2 2" xfId="6112"/>
    <cellStyle name="輸出 3 2 2 2" xfId="6435"/>
    <cellStyle name="輸出 3 2 2 2 2" xfId="7238"/>
    <cellStyle name="輸出 3 2 2 2 2 2" xfId="10043"/>
    <cellStyle name="輸出 3 2 2 2 2 2 2" xfId="14891"/>
    <cellStyle name="輸出 3 2 2 2 2 2 2 2" xfId="15821"/>
    <cellStyle name="輸出 3 2 2 2 2 3" xfId="10361"/>
    <cellStyle name="輸出 3 2 2 2 2 3 2" xfId="10611"/>
    <cellStyle name="輸出 3 2 2 2 2 3 2 2" xfId="15338"/>
    <cellStyle name="輸出 3 2 2 2 2 3 2 2 2" xfId="15543"/>
    <cellStyle name="輸出 3 2 2 2 2 3 3" xfId="15138"/>
    <cellStyle name="輸出 3 2 2 2 2 3 3 2" xfId="15683"/>
    <cellStyle name="輸出 3 2 2 2 2 4" xfId="12922"/>
    <cellStyle name="輸出 3 2 2 2 2 4 2" xfId="19660"/>
    <cellStyle name="輸出 3 2 2 2 3" xfId="8850"/>
    <cellStyle name="輸出 3 2 2 2 3 2" xfId="14092"/>
    <cellStyle name="輸出 3 2 2 2 3 2 2" xfId="16278"/>
    <cellStyle name="輸出 3 2 2 2 4" xfId="11848"/>
    <cellStyle name="輸出 3 2 2 2 4 2" xfId="17866"/>
    <cellStyle name="輸出 3 2 2 3" xfId="8583"/>
    <cellStyle name="輸出 3 2 2 3 2" xfId="13848"/>
    <cellStyle name="輸出 3 2 2 3 2 2" xfId="16438"/>
    <cellStyle name="輸出 3 2 2 4" xfId="11575"/>
    <cellStyle name="輸出 3 2 2 4 2" xfId="19655"/>
    <cellStyle name="輸出 3 2 3" xfId="6346"/>
    <cellStyle name="輸出 3 2 3 2" xfId="7149"/>
    <cellStyle name="輸出 3 2 3 2 2" xfId="9954"/>
    <cellStyle name="輸出 3 2 3 2 2 2" xfId="14820"/>
    <cellStyle name="輸出 3 2 3 2 2 2 2" xfId="15856"/>
    <cellStyle name="輸出 3 2 3 2 3" xfId="10272"/>
    <cellStyle name="輸出 3 2 3 2 3 2" xfId="10522"/>
    <cellStyle name="輸出 3 2 3 2 3 2 2" xfId="15249"/>
    <cellStyle name="輸出 3 2 3 2 3 2 2 2" xfId="17998"/>
    <cellStyle name="輸出 3 2 3 2 3 3" xfId="15049"/>
    <cellStyle name="輸出 3 2 3 2 3 3 2" xfId="15737"/>
    <cellStyle name="輸出 3 2 3 2 4" xfId="12833"/>
    <cellStyle name="輸出 3 2 3 2 4 2" xfId="19678"/>
    <cellStyle name="輸出 3 2 3 3" xfId="8761"/>
    <cellStyle name="輸出 3 2 3 3 2" xfId="14019"/>
    <cellStyle name="輸出 3 2 3 3 2 2" xfId="18974"/>
    <cellStyle name="輸出 3 2 3 4" xfId="11759"/>
    <cellStyle name="輸出 3 2 3 4 2" xfId="19178"/>
    <cellStyle name="輸出 3 2 4" xfId="8111"/>
    <cellStyle name="輸出 3 2 4 2" xfId="13376"/>
    <cellStyle name="輸出 3 2 4 2 2" xfId="16696"/>
    <cellStyle name="輸出 3 2 5" xfId="10994"/>
    <cellStyle name="輸出 3 2 5 2" xfId="17514"/>
    <cellStyle name="輸出 3 3" xfId="6060"/>
    <cellStyle name="輸出 3 3 2" xfId="6422"/>
    <cellStyle name="輸出 3 3 2 2" xfId="7225"/>
    <cellStyle name="輸出 3 3 2 2 2" xfId="10030"/>
    <cellStyle name="輸出 3 3 2 2 2 2" xfId="14881"/>
    <cellStyle name="輸出 3 3 2 2 2 2 2" xfId="15827"/>
    <cellStyle name="輸出 3 3 2 2 3" xfId="10348"/>
    <cellStyle name="輸出 3 3 2 2 3 2" xfId="10598"/>
    <cellStyle name="輸出 3 3 2 2 3 2 2" xfId="15325"/>
    <cellStyle name="輸出 3 3 2 2 3 2 2 2" xfId="15375"/>
    <cellStyle name="輸出 3 3 2 2 3 3" xfId="15125"/>
    <cellStyle name="輸出 3 3 2 2 3 3 2" xfId="15692"/>
    <cellStyle name="輸出 3 3 2 2 4" xfId="12909"/>
    <cellStyle name="輸出 3 3 2 2 4 2" xfId="19614"/>
    <cellStyle name="輸出 3 3 2 3" xfId="8837"/>
    <cellStyle name="輸出 3 3 2 3 2" xfId="14082"/>
    <cellStyle name="輸出 3 3 2 3 2 2" xfId="16284"/>
    <cellStyle name="輸出 3 3 2 4" xfId="11835"/>
    <cellStyle name="輸出 3 3 2 4 2" xfId="17233"/>
    <cellStyle name="輸出 3 3 3" xfId="8543"/>
    <cellStyle name="輸出 3 3 3 2" xfId="13808"/>
    <cellStyle name="輸出 3 3 3 2 2" xfId="16462"/>
    <cellStyle name="輸出 3 3 4" xfId="11523"/>
    <cellStyle name="輸出 3 3 4 2" xfId="18531"/>
    <cellStyle name="輸出 3 4" xfId="6311"/>
    <cellStyle name="輸出 3 4 2" xfId="7114"/>
    <cellStyle name="輸出 3 4 2 2" xfId="9919"/>
    <cellStyle name="輸出 3 4 2 2 2" xfId="14792"/>
    <cellStyle name="輸出 3 4 2 2 2 2" xfId="18831"/>
    <cellStyle name="輸出 3 4 2 3" xfId="10237"/>
    <cellStyle name="輸出 3 4 2 3 2" xfId="10487"/>
    <cellStyle name="輸出 3 4 2 3 2 2" xfId="15214"/>
    <cellStyle name="輸出 3 4 2 3 2 2 2" xfId="15638"/>
    <cellStyle name="輸出 3 4 2 3 3" xfId="15014"/>
    <cellStyle name="輸出 3 4 2 3 3 2" xfId="18125"/>
    <cellStyle name="輸出 3 4 2 4" xfId="12798"/>
    <cellStyle name="輸出 3 4 2 4 2" xfId="16842"/>
    <cellStyle name="輸出 3 4 3" xfId="8726"/>
    <cellStyle name="輸出 3 4 3 2" xfId="13991"/>
    <cellStyle name="輸出 3 4 3 2 2" xfId="16337"/>
    <cellStyle name="輸出 3 4 4" xfId="11724"/>
    <cellStyle name="輸出 3 4 4 2" xfId="19852"/>
    <cellStyle name="輸出 3 5" xfId="8027"/>
    <cellStyle name="輸出 3 5 2" xfId="13294"/>
    <cellStyle name="輸出 3 5 2 2" xfId="16748"/>
    <cellStyle name="輸出 3 6" xfId="10890"/>
    <cellStyle name="輸出 3 6 2" xfId="17594"/>
    <cellStyle name="輸出 4" xfId="4010"/>
    <cellStyle name="輸出 4 2" xfId="5135"/>
    <cellStyle name="輸出 4 2 2" xfId="6111"/>
    <cellStyle name="輸出 4 2 2 2" xfId="6434"/>
    <cellStyle name="輸出 4 2 2 2 2" xfId="7237"/>
    <cellStyle name="輸出 4 2 2 2 2 2" xfId="10042"/>
    <cellStyle name="輸出 4 2 2 2 2 2 2" xfId="14890"/>
    <cellStyle name="輸出 4 2 2 2 2 2 2 2" xfId="15822"/>
    <cellStyle name="輸出 4 2 2 2 2 3" xfId="10360"/>
    <cellStyle name="輸出 4 2 2 2 2 3 2" xfId="10610"/>
    <cellStyle name="輸出 4 2 2 2 2 3 2 2" xfId="15337"/>
    <cellStyle name="輸出 4 2 2 2 2 3 2 2 2" xfId="15544"/>
    <cellStyle name="輸出 4 2 2 2 2 3 3" xfId="15137"/>
    <cellStyle name="輸出 4 2 2 2 2 3 3 2" xfId="15684"/>
    <cellStyle name="輸出 4 2 2 2 2 4" xfId="12921"/>
    <cellStyle name="輸出 4 2 2 2 2 4 2" xfId="19162"/>
    <cellStyle name="輸出 4 2 2 2 3" xfId="8849"/>
    <cellStyle name="輸出 4 2 2 2 3 2" xfId="14091"/>
    <cellStyle name="輸出 4 2 2 2 3 2 2" xfId="18678"/>
    <cellStyle name="輸出 4 2 2 2 4" xfId="11847"/>
    <cellStyle name="輸出 4 2 2 2 4 2" xfId="17223"/>
    <cellStyle name="輸出 4 2 2 3" xfId="8582"/>
    <cellStyle name="輸出 4 2 2 3 2" xfId="13847"/>
    <cellStyle name="輸出 4 2 2 3 2 2" xfId="16439"/>
    <cellStyle name="輸出 4 2 2 4" xfId="11574"/>
    <cellStyle name="輸出 4 2 2 4 2" xfId="19200"/>
    <cellStyle name="輸出 4 2 3" xfId="6345"/>
    <cellStyle name="輸出 4 2 3 2" xfId="7148"/>
    <cellStyle name="輸出 4 2 3 2 2" xfId="9953"/>
    <cellStyle name="輸出 4 2 3 2 2 2" xfId="14819"/>
    <cellStyle name="輸出 4 2 3 2 2 2 2" xfId="18648"/>
    <cellStyle name="輸出 4 2 3 2 3" xfId="10271"/>
    <cellStyle name="輸出 4 2 3 2 3 2" xfId="10521"/>
    <cellStyle name="輸出 4 2 3 2 3 2 2" xfId="15248"/>
    <cellStyle name="輸出 4 2 3 2 3 2 2 2" xfId="18737"/>
    <cellStyle name="輸出 4 2 3 2 3 3" xfId="15048"/>
    <cellStyle name="輸出 4 2 3 2 3 3 2" xfId="15738"/>
    <cellStyle name="輸出 4 2 3 2 4" xfId="12832"/>
    <cellStyle name="輸出 4 2 3 2 4 2" xfId="19278"/>
    <cellStyle name="輸出 4 2 3 3" xfId="8760"/>
    <cellStyle name="輸出 4 2 3 3 2" xfId="14018"/>
    <cellStyle name="輸出 4 2 3 3 2 2" xfId="16318"/>
    <cellStyle name="輸出 4 2 3 4" xfId="11758"/>
    <cellStyle name="輸出 4 2 3 4 2" xfId="19799"/>
    <cellStyle name="輸出 4 2 4" xfId="8110"/>
    <cellStyle name="輸出 4 2 4 2" xfId="13375"/>
    <cellStyle name="輸出 4 2 4 2 2" xfId="18706"/>
    <cellStyle name="輸出 4 2 5" xfId="10993"/>
    <cellStyle name="輸出 4 2 5 2" xfId="17515"/>
    <cellStyle name="輸出 4 3" xfId="6002"/>
    <cellStyle name="輸出 4 3 2" xfId="6414"/>
    <cellStyle name="輸出 4 3 2 2" xfId="7217"/>
    <cellStyle name="輸出 4 3 2 2 2" xfId="10022"/>
    <cellStyle name="輸出 4 3 2 2 2 2" xfId="14873"/>
    <cellStyle name="輸出 4 3 2 2 2 2 2" xfId="15831"/>
    <cellStyle name="輸出 4 3 2 2 3" xfId="10340"/>
    <cellStyle name="輸出 4 3 2 2 3 2" xfId="10590"/>
    <cellStyle name="輸出 4 3 2 2 3 2 2" xfId="15317"/>
    <cellStyle name="輸出 4 3 2 2 3 2 2 2" xfId="15559"/>
    <cellStyle name="輸出 4 3 2 2 3 3" xfId="15117"/>
    <cellStyle name="輸出 4 3 2 2 3 3 2" xfId="15696"/>
    <cellStyle name="輸出 4 3 2 2 4" xfId="12901"/>
    <cellStyle name="輸出 4 3 2 2 4 2" xfId="18545"/>
    <cellStyle name="輸出 4 3 2 3" xfId="8829"/>
    <cellStyle name="輸出 4 3 2 3 2" xfId="14074"/>
    <cellStyle name="輸出 4 3 2 3 2 2" xfId="18058"/>
    <cellStyle name="輸出 4 3 2 4" xfId="11827"/>
    <cellStyle name="輸出 4 3 2 4 2" xfId="17241"/>
    <cellStyle name="輸出 4 3 3" xfId="8497"/>
    <cellStyle name="輸出 4 3 3 2" xfId="13762"/>
    <cellStyle name="輸出 4 3 3 2 2" xfId="16487"/>
    <cellStyle name="輸出 4 3 4" xfId="11465"/>
    <cellStyle name="輸出 4 3 4 2" xfId="20030"/>
    <cellStyle name="輸出 4 4" xfId="6312"/>
    <cellStyle name="輸出 4 4 2" xfId="7115"/>
    <cellStyle name="輸出 4 4 2 2" xfId="9920"/>
    <cellStyle name="輸出 4 4 2 2 2" xfId="14793"/>
    <cellStyle name="輸出 4 4 2 2 2 2" xfId="18650"/>
    <cellStyle name="輸出 4 4 2 3" xfId="10238"/>
    <cellStyle name="輸出 4 4 2 3 2" xfId="10488"/>
    <cellStyle name="輸出 4 4 2 3 2 2" xfId="15215"/>
    <cellStyle name="輸出 4 4 2 3 2 2 2" xfId="15637"/>
    <cellStyle name="輸出 4 4 2 3 3" xfId="15015"/>
    <cellStyle name="輸出 4 4 2 3 3 2" xfId="17829"/>
    <cellStyle name="輸出 4 4 2 4" xfId="12799"/>
    <cellStyle name="輸出 4 4 2 4 2" xfId="19485"/>
    <cellStyle name="輸出 4 4 3" xfId="8727"/>
    <cellStyle name="輸出 4 4 3 2" xfId="13992"/>
    <cellStyle name="輸出 4 4 3 2 2" xfId="16336"/>
    <cellStyle name="輸出 4 4 4" xfId="11725"/>
    <cellStyle name="輸出 4 4 4 2" xfId="19232"/>
    <cellStyle name="輸出 4 5" xfId="8028"/>
    <cellStyle name="輸出 4 5 2" xfId="13295"/>
    <cellStyle name="輸出 4 5 2 2" xfId="16747"/>
    <cellStyle name="輸出 4 6" xfId="10891"/>
    <cellStyle name="輸出 4 6 2" xfId="17593"/>
    <cellStyle name="輸出 5" xfId="4011"/>
    <cellStyle name="輸出 5 2" xfId="5134"/>
    <cellStyle name="輸出 5 2 2" xfId="6110"/>
    <cellStyle name="輸出 5 2 2 2" xfId="6433"/>
    <cellStyle name="輸出 5 2 2 2 2" xfId="7236"/>
    <cellStyle name="輸出 5 2 2 2 2 2" xfId="10041"/>
    <cellStyle name="輸出 5 2 2 2 2 2 2" xfId="14889"/>
    <cellStyle name="輸出 5 2 2 2 2 2 2 2" xfId="18228"/>
    <cellStyle name="輸出 5 2 2 2 2 3" xfId="10359"/>
    <cellStyle name="輸出 5 2 2 2 2 3 2" xfId="10609"/>
    <cellStyle name="輸出 5 2 2 2 2 3 2 2" xfId="15336"/>
    <cellStyle name="輸出 5 2 2 2 2 3 2 2 2" xfId="15545"/>
    <cellStyle name="輸出 5 2 2 2 2 3 3" xfId="15136"/>
    <cellStyle name="輸出 5 2 2 2 2 3 3 2" xfId="15685"/>
    <cellStyle name="輸出 5 2 2 2 2 4" xfId="12920"/>
    <cellStyle name="輸出 5 2 2 2 2 4 2" xfId="19783"/>
    <cellStyle name="輸出 5 2 2 2 3" xfId="8848"/>
    <cellStyle name="輸出 5 2 2 2 3 2" xfId="14090"/>
    <cellStyle name="輸出 5 2 2 2 3 2 2" xfId="18859"/>
    <cellStyle name="輸出 5 2 2 2 4" xfId="11846"/>
    <cellStyle name="輸出 5 2 2 2 4 2" xfId="17865"/>
    <cellStyle name="輸出 5 2 2 3" xfId="8581"/>
    <cellStyle name="輸出 5 2 2 3 2" xfId="13846"/>
    <cellStyle name="輸出 5 2 2 3 2 2" xfId="17792"/>
    <cellStyle name="輸出 5 2 2 4" xfId="11573"/>
    <cellStyle name="輸出 5 2 2 4 2" xfId="19820"/>
    <cellStyle name="輸出 5 2 3" xfId="6344"/>
    <cellStyle name="輸出 5 2 3 2" xfId="7147"/>
    <cellStyle name="輸出 5 2 3 2 2" xfId="9952"/>
    <cellStyle name="輸出 5 2 3 2 2 2" xfId="14818"/>
    <cellStyle name="輸出 5 2 3 2 2 2 2" xfId="18829"/>
    <cellStyle name="輸出 5 2 3 2 3" xfId="10270"/>
    <cellStyle name="輸出 5 2 3 2 3 2" xfId="10520"/>
    <cellStyle name="輸出 5 2 3 2 3 2 2" xfId="15247"/>
    <cellStyle name="輸出 5 2 3 2 3 2 2 2" xfId="18918"/>
    <cellStyle name="輸出 5 2 3 2 3 3" xfId="15047"/>
    <cellStyle name="輸出 5 2 3 2 3 3 2" xfId="15739"/>
    <cellStyle name="輸出 5 2 3 2 4" xfId="12831"/>
    <cellStyle name="輸出 5 2 3 2 4 2" xfId="19899"/>
    <cellStyle name="輸出 5 2 3 3" xfId="8759"/>
    <cellStyle name="輸出 5 2 3 3 2" xfId="14017"/>
    <cellStyle name="輸出 5 2 3 3 2 2" xfId="16319"/>
    <cellStyle name="輸出 5 2 3 4" xfId="11757"/>
    <cellStyle name="輸出 5 2 3 4 2" xfId="19494"/>
    <cellStyle name="輸出 5 2 4" xfId="8109"/>
    <cellStyle name="輸出 5 2 4 2" xfId="13374"/>
    <cellStyle name="輸出 5 2 4 2 2" xfId="18887"/>
    <cellStyle name="輸出 5 2 5" xfId="10992"/>
    <cellStyle name="輸出 5 2 5 2" xfId="17516"/>
    <cellStyle name="輸出 5 3" xfId="5964"/>
    <cellStyle name="輸出 5 3 2" xfId="6410"/>
    <cellStyle name="輸出 5 3 2 2" xfId="7213"/>
    <cellStyle name="輸出 5 3 2 2 2" xfId="10018"/>
    <cellStyle name="輸出 5 3 2 2 2 2" xfId="14869"/>
    <cellStyle name="輸出 5 3 2 2 2 2 2" xfId="15403"/>
    <cellStyle name="輸出 5 3 2 2 3" xfId="10336"/>
    <cellStyle name="輸出 5 3 2 2 3 2" xfId="10586"/>
    <cellStyle name="輸出 5 3 2 2 3 2 2" xfId="15313"/>
    <cellStyle name="輸出 5 3 2 2 3 2 2 2" xfId="15563"/>
    <cellStyle name="輸出 5 3 2 2 3 3" xfId="15113"/>
    <cellStyle name="輸出 5 3 2 2 3 3 2" xfId="17839"/>
    <cellStyle name="輸出 5 3 2 2 4" xfId="12897"/>
    <cellStyle name="輸出 5 3 2 2 4 2" xfId="19641"/>
    <cellStyle name="輸出 5 3 2 3" xfId="8825"/>
    <cellStyle name="輸出 5 3 2 3 2" xfId="14070"/>
    <cellStyle name="輸出 5 3 2 3 2 2" xfId="16290"/>
    <cellStyle name="輸出 5 3 2 4" xfId="11823"/>
    <cellStyle name="輸出 5 3 2 4 2" xfId="17245"/>
    <cellStyle name="輸出 5 3 3" xfId="8460"/>
    <cellStyle name="輸出 5 3 3 2" xfId="13725"/>
    <cellStyle name="輸出 5 3 3 2 2" xfId="16509"/>
    <cellStyle name="輸出 5 3 4" xfId="11427"/>
    <cellStyle name="輸出 5 3 4 2" xfId="18530"/>
    <cellStyle name="輸出 5 4" xfId="6313"/>
    <cellStyle name="輸出 5 4 2" xfId="7116"/>
    <cellStyle name="輸出 5 4 2 2" xfId="9921"/>
    <cellStyle name="輸出 5 4 2 2 2" xfId="14794"/>
    <cellStyle name="輸出 5 4 2 2 2 2" xfId="15869"/>
    <cellStyle name="輸出 5 4 2 3" xfId="10239"/>
    <cellStyle name="輸出 5 4 2 3 2" xfId="10489"/>
    <cellStyle name="輸出 5 4 2 3 2 2" xfId="15216"/>
    <cellStyle name="輸出 5 4 2 3 2 2 2" xfId="15636"/>
    <cellStyle name="輸出 5 4 2 3 3" xfId="15016"/>
    <cellStyle name="輸出 5 4 2 3 3 2" xfId="15758"/>
    <cellStyle name="輸出 5 4 2 4" xfId="12800"/>
    <cellStyle name="輸出 5 4 2 4 2" xfId="19790"/>
    <cellStyle name="輸出 5 4 3" xfId="8728"/>
    <cellStyle name="輸出 5 4 3 2" xfId="13993"/>
    <cellStyle name="輸出 5 4 3 2 2" xfId="16335"/>
    <cellStyle name="輸出 5 4 4" xfId="11726"/>
    <cellStyle name="輸出 5 4 4 2" xfId="19726"/>
    <cellStyle name="輸出 5 5" xfId="8029"/>
    <cellStyle name="輸出 5 5 2" xfId="13296"/>
    <cellStyle name="輸出 5 5 2 2" xfId="16746"/>
    <cellStyle name="輸出 5 6" xfId="10892"/>
    <cellStyle name="輸出 5 6 2" xfId="17592"/>
    <cellStyle name="輸出 6" xfId="4012"/>
    <cellStyle name="輸出 6 2" xfId="5133"/>
    <cellStyle name="輸出 6 2 2" xfId="6109"/>
    <cellStyle name="輸出 6 2 2 2" xfId="6432"/>
    <cellStyle name="輸出 6 2 2 2 2" xfId="7645"/>
    <cellStyle name="輸出 6 2 2 2 2 2" xfId="7696"/>
    <cellStyle name="輸出 6 2 2 2 2 2 2" xfId="10088"/>
    <cellStyle name="輸出 6 2 2 2 2 2 2 2" xfId="14931"/>
    <cellStyle name="輸出 6 2 2 2 2 2 2 2 2" xfId="15455"/>
    <cellStyle name="輸出 6 2 2 2 2 2 3" xfId="12973"/>
    <cellStyle name="輸出 6 2 2 2 2 2 3 2" xfId="16837"/>
    <cellStyle name="輸出 6 2 2 2 2 3" xfId="8968"/>
    <cellStyle name="輸出 6 2 2 2 2 3 2" xfId="14207"/>
    <cellStyle name="輸出 6 2 2 2 2 3 2 2" xfId="18666"/>
    <cellStyle name="輸出 6 2 2 2 2 4" xfId="11970"/>
    <cellStyle name="輸出 6 2 2 2 2 4 2" xfId="17149"/>
    <cellStyle name="輸出 6 2 2 2 3" xfId="7235"/>
    <cellStyle name="輸出 6 2 2 2 3 2" xfId="10040"/>
    <cellStyle name="輸出 6 2 2 2 3 2 2" xfId="10358"/>
    <cellStyle name="輸出 6 2 2 2 3 2 2 2" xfId="10608"/>
    <cellStyle name="輸出 6 2 2 2 3 2 2 2 2" xfId="15335"/>
    <cellStyle name="輸出 6 2 2 2 3 2 2 2 2 2" xfId="15546"/>
    <cellStyle name="輸出 6 2 2 2 3 2 2 3" xfId="15135"/>
    <cellStyle name="輸出 6 2 2 2 3 2 2 3 2" xfId="15686"/>
    <cellStyle name="輸出 6 2 2 2 3 2 3" xfId="12919"/>
    <cellStyle name="輸出 6 2 2 2 3 2 3 2" xfId="19478"/>
    <cellStyle name="輸出 6 2 2 2 3 3" xfId="9411"/>
    <cellStyle name="輸出 6 2 2 2 3 3 2" xfId="14323"/>
    <cellStyle name="輸出 6 2 2 2 3 3 2 2" xfId="16160"/>
    <cellStyle name="輸出 6 2 2 2 3 4" xfId="10207"/>
    <cellStyle name="輸出 6 2 2 2 3 4 2" xfId="10457"/>
    <cellStyle name="輸出 6 2 2 2 3 4 2 2" xfId="15184"/>
    <cellStyle name="輸出 6 2 2 2 3 4 2 2 2" xfId="15656"/>
    <cellStyle name="輸出 6 2 2 2 3 4 3" xfId="14984"/>
    <cellStyle name="輸出 6 2 2 2 3 4 3 2" xfId="18128"/>
    <cellStyle name="輸出 6 2 2 2 3 5" xfId="12117"/>
    <cellStyle name="輸出 6 2 2 2 3 5 2" xfId="17053"/>
    <cellStyle name="輸出 6 2 2 2 4" xfId="8847"/>
    <cellStyle name="輸出 6 2 2 2 4 2" xfId="13119"/>
    <cellStyle name="輸出 6 2 2 2 4 2 2" xfId="16831"/>
    <cellStyle name="輸出 6 2 2 2 5" xfId="11845"/>
    <cellStyle name="輸出 6 2 2 2 5 2" xfId="17224"/>
    <cellStyle name="輸出 6 2 2 3" xfId="8580"/>
    <cellStyle name="輸出 6 2 2 3 2" xfId="13845"/>
    <cellStyle name="輸出 6 2 2 3 2 2" xfId="18163"/>
    <cellStyle name="輸出 6 2 2 4" xfId="11572"/>
    <cellStyle name="輸出 6 2 2 4 2" xfId="19515"/>
    <cellStyle name="輸出 6 2 3" xfId="6343"/>
    <cellStyle name="輸出 6 2 3 2" xfId="7501"/>
    <cellStyle name="輸出 6 2 3 2 2" xfId="7065"/>
    <cellStyle name="輸出 6 2 3 2 2 2" xfId="9880"/>
    <cellStyle name="輸出 6 2 3 2 2 2 2" xfId="14753"/>
    <cellStyle name="輸出 6 2 3 2 2 2 2 2" xfId="15889"/>
    <cellStyle name="輸出 6 2 3 2 2 3" xfId="12749"/>
    <cellStyle name="輸出 6 2 3 2 2 3 2" xfId="18309"/>
    <cellStyle name="輸出 6 2 3 2 3" xfId="8899"/>
    <cellStyle name="輸出 6 2 3 2 3 2" xfId="14138"/>
    <cellStyle name="輸出 6 2 3 2 3 2 2" xfId="18781"/>
    <cellStyle name="輸出 6 2 3 2 4" xfId="11898"/>
    <cellStyle name="輸出 6 2 3 2 4 2" xfId="17195"/>
    <cellStyle name="輸出 6 2 3 3" xfId="7146"/>
    <cellStyle name="輸出 6 2 3 3 2" xfId="9951"/>
    <cellStyle name="輸出 6 2 3 3 2 2" xfId="10269"/>
    <cellStyle name="輸出 6 2 3 3 2 2 2" xfId="10519"/>
    <cellStyle name="輸出 6 2 3 3 2 2 2 2" xfId="15246"/>
    <cellStyle name="輸出 6 2 3 3 2 2 2 2 2" xfId="18082"/>
    <cellStyle name="輸出 6 2 3 3 2 2 3" xfId="15046"/>
    <cellStyle name="輸出 6 2 3 3 2 2 3 2" xfId="15740"/>
    <cellStyle name="輸出 6 2 3 3 2 3" xfId="12830"/>
    <cellStyle name="輸出 6 2 3 3 2 3 2" xfId="19594"/>
    <cellStyle name="輸出 6 2 3 3 3" xfId="9257"/>
    <cellStyle name="輸出 6 2 3 3 3 2" xfId="14261"/>
    <cellStyle name="輸出 6 2 3 3 3 2 2" xfId="16198"/>
    <cellStyle name="輸出 6 2 3 3 4" xfId="10189"/>
    <cellStyle name="輸出 6 2 3 3 4 2" xfId="10439"/>
    <cellStyle name="輸出 6 2 3 3 4 2 2" xfId="15166"/>
    <cellStyle name="輸出 6 2 3 3 4 2 2 2" xfId="15666"/>
    <cellStyle name="輸出 6 2 3 3 4 3" xfId="14966"/>
    <cellStyle name="輸出 6 2 3 3 4 3 2" xfId="15789"/>
    <cellStyle name="輸出 6 2 3 3 5" xfId="12035"/>
    <cellStyle name="輸出 6 2 3 3 5 2" xfId="17106"/>
    <cellStyle name="輸出 6 2 3 4" xfId="8758"/>
    <cellStyle name="輸出 6 2 3 4 2" xfId="13103"/>
    <cellStyle name="輸出 6 2 3 4 2 2" xfId="19531"/>
    <cellStyle name="輸出 6 2 3 5" xfId="11756"/>
    <cellStyle name="輸出 6 2 3 5 2" xfId="17249"/>
    <cellStyle name="輸出 6 2 4" xfId="8108"/>
    <cellStyle name="輸出 6 2 4 2" xfId="13373"/>
    <cellStyle name="輸出 6 2 4 2 2" xfId="16697"/>
    <cellStyle name="輸出 6 2 5" xfId="10991"/>
    <cellStyle name="輸出 6 2 5 2" xfId="17517"/>
    <cellStyle name="輸出 6 3" xfId="5963"/>
    <cellStyle name="輸出 6 3 2" xfId="6409"/>
    <cellStyle name="輸出 6 3 2 2" xfId="7628"/>
    <cellStyle name="輸出 6 3 2 2 2" xfId="6464"/>
    <cellStyle name="輸出 6 3 2 2 2 2" xfId="9442"/>
    <cellStyle name="輸出 6 3 2 2 2 2 2" xfId="14347"/>
    <cellStyle name="輸出 6 3 2 2 2 2 2 2" xfId="16149"/>
    <cellStyle name="輸出 6 3 2 2 2 3" xfId="12149"/>
    <cellStyle name="輸出 6 3 2 2 2 3 2" xfId="18072"/>
    <cellStyle name="輸出 6 3 2 2 3" xfId="8951"/>
    <cellStyle name="輸出 6 3 2 2 3 2" xfId="14190"/>
    <cellStyle name="輸出 6 3 2 2 3 2 2" xfId="18235"/>
    <cellStyle name="輸出 6 3 2 2 4" xfId="11953"/>
    <cellStyle name="輸出 6 3 2 2 4 2" xfId="17163"/>
    <cellStyle name="輸出 6 3 2 3" xfId="7212"/>
    <cellStyle name="輸出 6 3 2 3 2" xfId="10017"/>
    <cellStyle name="輸出 6 3 2 3 2 2" xfId="10335"/>
    <cellStyle name="輸出 6 3 2 3 2 2 2" xfId="10585"/>
    <cellStyle name="輸出 6 3 2 3 2 2 2 2" xfId="15312"/>
    <cellStyle name="輸出 6 3 2 3 2 2 2 2 2" xfId="15564"/>
    <cellStyle name="輸出 6 3 2 3 2 2 3" xfId="15112"/>
    <cellStyle name="輸出 6 3 2 3 2 2 3 2" xfId="18115"/>
    <cellStyle name="輸出 6 3 2 3 2 3" xfId="12896"/>
    <cellStyle name="輸出 6 3 2 3 2 3 2" xfId="19262"/>
    <cellStyle name="輸出 6 3 2 3 3" xfId="9391"/>
    <cellStyle name="輸出 6 3 2 3 3 2" xfId="14309"/>
    <cellStyle name="輸出 6 3 2 3 3 2 2" xfId="17800"/>
    <cellStyle name="輸出 6 3 2 3 4" xfId="10204"/>
    <cellStyle name="輸出 6 3 2 3 4 2" xfId="10454"/>
    <cellStyle name="輸出 6 3 2 3 4 2 2" xfId="15181"/>
    <cellStyle name="輸出 6 3 2 3 4 2 2 2" xfId="18108"/>
    <cellStyle name="輸出 6 3 2 3 4 3" xfId="14981"/>
    <cellStyle name="輸出 6 3 2 3 4 3 2" xfId="15443"/>
    <cellStyle name="輸出 6 3 2 3 5" xfId="12097"/>
    <cellStyle name="輸出 6 3 2 3 5 2" xfId="18338"/>
    <cellStyle name="輸出 6 3 2 4" xfId="8824"/>
    <cellStyle name="輸出 6 3 2 4 2" xfId="13116"/>
    <cellStyle name="輸出 6 3 2 4 2 2" xfId="19073"/>
    <cellStyle name="輸出 6 3 2 5" xfId="11822"/>
    <cellStyle name="輸出 6 3 2 5 2" xfId="17246"/>
    <cellStyle name="輸出 6 3 3" xfId="8459"/>
    <cellStyle name="輸出 6 3 3 2" xfId="13724"/>
    <cellStyle name="輸出 6 3 3 2 2" xfId="16510"/>
    <cellStyle name="輸出 6 3 4" xfId="11426"/>
    <cellStyle name="輸出 6 3 4 2" xfId="19019"/>
    <cellStyle name="輸出 6 4" xfId="6314"/>
    <cellStyle name="輸出 6 4 2" xfId="7400"/>
    <cellStyle name="輸出 6 4 2 2" xfId="7070"/>
    <cellStyle name="輸出 6 4 2 2 2" xfId="9883"/>
    <cellStyle name="輸出 6 4 2 2 2 2" xfId="14756"/>
    <cellStyle name="輸出 6 4 2 2 2 2 2" xfId="18655"/>
    <cellStyle name="輸出 6 4 2 2 3" xfId="12754"/>
    <cellStyle name="輸出 6 4 2 2 3 2" xfId="19711"/>
    <cellStyle name="輸出 6 4 2 3" xfId="8878"/>
    <cellStyle name="輸出 6 4 2 3 2" xfId="14117"/>
    <cellStyle name="輸出 6 4 2 3 2 2" xfId="16266"/>
    <cellStyle name="輸出 6 4 2 4" xfId="11877"/>
    <cellStyle name="輸出 6 4 2 4 2" xfId="17207"/>
    <cellStyle name="輸出 6 4 3" xfId="7117"/>
    <cellStyle name="輸出 6 4 3 2" xfId="9922"/>
    <cellStyle name="輸出 6 4 3 2 2" xfId="10240"/>
    <cellStyle name="輸出 6 4 3 2 2 2" xfId="10490"/>
    <cellStyle name="輸出 6 4 3 2 2 2 2" xfId="15217"/>
    <cellStyle name="輸出 6 4 3 2 2 2 2 2" xfId="15635"/>
    <cellStyle name="輸出 6 4 3 2 2 3" xfId="15017"/>
    <cellStyle name="輸出 6 4 3 2 2 3 2" xfId="15757"/>
    <cellStyle name="輸出 6 4 3 2 3" xfId="12801"/>
    <cellStyle name="輸出 6 4 3 2 3 2" xfId="19169"/>
    <cellStyle name="輸出 6 4 3 3" xfId="9156"/>
    <cellStyle name="輸出 6 4 3 3 2" xfId="14244"/>
    <cellStyle name="輸出 6 4 3 3 2 2" xfId="18755"/>
    <cellStyle name="輸出 6 4 3 4" xfId="10182"/>
    <cellStyle name="輸出 6 4 3 4 2" xfId="10432"/>
    <cellStyle name="輸出 6 4 3 4 2 2" xfId="15159"/>
    <cellStyle name="輸出 6 4 3 4 2 2 2" xfId="15664"/>
    <cellStyle name="輸出 6 4 3 4 3" xfId="14959"/>
    <cellStyle name="輸出 6 4 3 4 3 2" xfId="15792"/>
    <cellStyle name="輸出 6 4 3 5" xfId="12014"/>
    <cellStyle name="輸出 6 4 3 5 2" xfId="17118"/>
    <cellStyle name="輸出 6 4 4" xfId="8729"/>
    <cellStyle name="輸出 6 4 4 2" xfId="13097"/>
    <cellStyle name="輸出 6 4 4 2 2" xfId="19256"/>
    <cellStyle name="輸出 6 4 5" xfId="11727"/>
    <cellStyle name="輸出 6 4 5 2" xfId="20028"/>
    <cellStyle name="輸出 6 5" xfId="8030"/>
    <cellStyle name="輸出 6 5 2" xfId="13297"/>
    <cellStyle name="輸出 6 5 2 2" xfId="16745"/>
    <cellStyle name="輸出 6 6" xfId="10893"/>
    <cellStyle name="輸出 6 6 2" xfId="17591"/>
    <cellStyle name="輸出 7" xfId="4013"/>
    <cellStyle name="輸出 7 2" xfId="5251"/>
    <cellStyle name="輸出 7 2 2" xfId="6227"/>
    <cellStyle name="輸出 7 2 2 2" xfId="6450"/>
    <cellStyle name="輸出 7 2 2 2 2" xfId="7253"/>
    <cellStyle name="輸出 7 2 2 2 2 2" xfId="10058"/>
    <cellStyle name="輸出 7 2 2 2 2 2 2" xfId="14902"/>
    <cellStyle name="輸出 7 2 2 2 2 2 2 2" xfId="15817"/>
    <cellStyle name="輸出 7 2 2 2 2 3" xfId="10376"/>
    <cellStyle name="輸出 7 2 2 2 2 3 2" xfId="10626"/>
    <cellStyle name="輸出 7 2 2 2 2 3 2 2" xfId="15353"/>
    <cellStyle name="輸出 7 2 2 2 2 3 2 2 2" xfId="20093"/>
    <cellStyle name="輸出 7 2 2 2 2 3 3" xfId="15153"/>
    <cellStyle name="輸出 7 2 2 2 2 3 3 2" xfId="17843"/>
    <cellStyle name="輸出 7 2 2 2 2 4" xfId="12937"/>
    <cellStyle name="輸出 7 2 2 2 2 4 2" xfId="19690"/>
    <cellStyle name="輸出 7 2 2 2 3" xfId="8865"/>
    <cellStyle name="輸出 7 2 2 2 3 2" xfId="14104"/>
    <cellStyle name="輸出 7 2 2 2 3 2 2" xfId="16272"/>
    <cellStyle name="輸出 7 2 2 2 4" xfId="11863"/>
    <cellStyle name="輸出 7 2 2 2 4 2" xfId="18211"/>
    <cellStyle name="輸出 7 2 2 3" xfId="8692"/>
    <cellStyle name="輸出 7 2 2 3 2" xfId="13957"/>
    <cellStyle name="輸出 7 2 2 3 2 2" xfId="16359"/>
    <cellStyle name="輸出 7 2 2 4" xfId="11690"/>
    <cellStyle name="輸出 7 2 2 4 2" xfId="19060"/>
    <cellStyle name="輸出 7 2 3" xfId="6361"/>
    <cellStyle name="輸出 7 2 3 2" xfId="7164"/>
    <cellStyle name="輸出 7 2 3 2 2" xfId="9969"/>
    <cellStyle name="輸出 7 2 3 2 2 2" xfId="14831"/>
    <cellStyle name="輸出 7 2 3 2 2 2 2" xfId="18230"/>
    <cellStyle name="輸出 7 2 3 2 3" xfId="10287"/>
    <cellStyle name="輸出 7 2 3 2 3 2" xfId="10537"/>
    <cellStyle name="輸出 7 2 3 2 3 2 2" xfId="15264"/>
    <cellStyle name="輸出 7 2 3 2 3 2 2 2" xfId="15597"/>
    <cellStyle name="輸出 7 2 3 2 3 3" xfId="15064"/>
    <cellStyle name="輸出 7 2 3 2 3 3 2" xfId="17834"/>
    <cellStyle name="輸出 7 2 3 2 4" xfId="12848"/>
    <cellStyle name="輸出 7 2 3 2 4 2" xfId="19663"/>
    <cellStyle name="輸出 7 2 3 3" xfId="8776"/>
    <cellStyle name="輸出 7 2 3 3 2" xfId="14031"/>
    <cellStyle name="輸出 7 2 3 3 2 2" xfId="16311"/>
    <cellStyle name="輸出 7 2 3 4" xfId="11774"/>
    <cellStyle name="輸出 7 2 3 4 2" xfId="19208"/>
    <cellStyle name="輸出 7 2 4" xfId="8220"/>
    <cellStyle name="輸出 7 2 4 2" xfId="13485"/>
    <cellStyle name="輸出 7 2 4 2 2" xfId="18241"/>
    <cellStyle name="輸出 7 2 5" xfId="11109"/>
    <cellStyle name="輸出 7 2 5 2" xfId="17423"/>
    <cellStyle name="輸出 7 3" xfId="5934"/>
    <cellStyle name="輸出 7 3 2" xfId="6401"/>
    <cellStyle name="輸出 7 3 2 2" xfId="7204"/>
    <cellStyle name="輸出 7 3 2 2 2" xfId="10009"/>
    <cellStyle name="輸出 7 3 2 2 2 2" xfId="14864"/>
    <cellStyle name="輸出 7 3 2 2 2 2 2" xfId="15833"/>
    <cellStyle name="輸出 7 3 2 2 3" xfId="10327"/>
    <cellStyle name="輸出 7 3 2 2 3 2" xfId="10577"/>
    <cellStyle name="輸出 7 3 2 2 3 2 2" xfId="15304"/>
    <cellStyle name="輸出 7 3 2 2 3 2 2 2" xfId="15567"/>
    <cellStyle name="輸出 7 3 2 2 3 3" xfId="15104"/>
    <cellStyle name="輸出 7 3 2 2 3 3 2" xfId="15705"/>
    <cellStyle name="輸出 7 3 2 2 4" xfId="12888"/>
    <cellStyle name="輸出 7 3 2 2 4 2" xfId="19787"/>
    <cellStyle name="輸出 7 3 2 3" xfId="8816"/>
    <cellStyle name="輸出 7 3 2 3 2" xfId="14064"/>
    <cellStyle name="輸出 7 3 2 3 2 2" xfId="18681"/>
    <cellStyle name="輸出 7 3 2 4" xfId="11814"/>
    <cellStyle name="輸出 7 3 2 4 2" xfId="19730"/>
    <cellStyle name="輸出 7 3 3" xfId="8436"/>
    <cellStyle name="輸出 7 3 3 2" xfId="13701"/>
    <cellStyle name="輸出 7 3 3 2 2" xfId="16525"/>
    <cellStyle name="輸出 7 3 4" xfId="11397"/>
    <cellStyle name="輸出 7 3 4 2" xfId="19665"/>
    <cellStyle name="輸出 7 4" xfId="6315"/>
    <cellStyle name="輸出 7 4 2" xfId="7118"/>
    <cellStyle name="輸出 7 4 2 2" xfId="9923"/>
    <cellStyle name="輸出 7 4 2 2 2" xfId="14795"/>
    <cellStyle name="輸出 7 4 2 2 2 2" xfId="15868"/>
    <cellStyle name="輸出 7 4 2 3" xfId="10241"/>
    <cellStyle name="輸出 7 4 2 3 2" xfId="10491"/>
    <cellStyle name="輸出 7 4 2 3 2 2" xfId="15218"/>
    <cellStyle name="輸出 7 4 2 3 2 2 2" xfId="15422"/>
    <cellStyle name="輸出 7 4 2 3 3" xfId="15018"/>
    <cellStyle name="輸出 7 4 2 3 3 2" xfId="15756"/>
    <cellStyle name="輸出 7 4 2 4" xfId="12802"/>
    <cellStyle name="輸出 7 4 2 4 2" xfId="19700"/>
    <cellStyle name="輸出 7 4 3" xfId="8730"/>
    <cellStyle name="輸出 7 4 3 2" xfId="13994"/>
    <cellStyle name="輸出 7 4 3 2 2" xfId="16334"/>
    <cellStyle name="輸出 7 4 4" xfId="11728"/>
    <cellStyle name="輸出 7 4 4 2" xfId="19407"/>
    <cellStyle name="輸出 7 5" xfId="8031"/>
    <cellStyle name="輸出 7 5 2" xfId="13298"/>
    <cellStyle name="輸出 7 5 2 2" xfId="16744"/>
    <cellStyle name="輸出 7 6" xfId="10894"/>
    <cellStyle name="輸出 7 6 2" xfId="17590"/>
    <cellStyle name="輸出 8" xfId="4739"/>
    <cellStyle name="輸出 8 2" xfId="5384"/>
    <cellStyle name="輸出 8 2 2" xfId="6375"/>
    <cellStyle name="輸出 8 2 2 2" xfId="7178"/>
    <cellStyle name="輸出 8 2 2 2 2" xfId="9983"/>
    <cellStyle name="輸出 8 2 2 2 2 2" xfId="14844"/>
    <cellStyle name="輸出 8 2 2 2 2 2 2" xfId="15845"/>
    <cellStyle name="輸出 8 2 2 2 3" xfId="10301"/>
    <cellStyle name="輸出 8 2 2 2 3 2" xfId="10551"/>
    <cellStyle name="輸出 8 2 2 2 3 2 2" xfId="15278"/>
    <cellStyle name="輸出 8 2 2 2 3 2 2 2" xfId="15588"/>
    <cellStyle name="輸出 8 2 2 2 3 3" xfId="15078"/>
    <cellStyle name="輸出 8 2 2 2 3 3 2" xfId="15720"/>
    <cellStyle name="輸出 8 2 2 2 4" xfId="12862"/>
    <cellStyle name="輸出 8 2 2 2 4 2" xfId="19894"/>
    <cellStyle name="輸出 8 2 2 3" xfId="8790"/>
    <cellStyle name="輸出 8 2 2 3 2" xfId="14044"/>
    <cellStyle name="輸出 8 2 2 3 2 2" xfId="16304"/>
    <cellStyle name="輸出 8 2 2 4" xfId="11788"/>
    <cellStyle name="輸出 8 2 2 4 2" xfId="17248"/>
    <cellStyle name="輸出 8 2 3" xfId="8298"/>
    <cellStyle name="輸出 8 2 3 2" xfId="13563"/>
    <cellStyle name="輸出 8 2 3 2 2" xfId="18686"/>
    <cellStyle name="輸出 8 2 4" xfId="11216"/>
    <cellStyle name="輸出 8 2 4 2" xfId="17341"/>
    <cellStyle name="輸出 8 3" xfId="6050"/>
    <cellStyle name="輸出 8 3 2" xfId="6419"/>
    <cellStyle name="輸出 8 3 2 2" xfId="7222"/>
    <cellStyle name="輸出 8 3 2 2 2" xfId="10027"/>
    <cellStyle name="輸出 8 3 2 2 2 2" xfId="14878"/>
    <cellStyle name="輸出 8 3 2 2 2 2 2" xfId="15828"/>
    <cellStyle name="輸出 8 3 2 2 3" xfId="10345"/>
    <cellStyle name="輸出 8 3 2 2 3 2" xfId="10595"/>
    <cellStyle name="輸出 8 3 2 2 3 2 2" xfId="15322"/>
    <cellStyle name="輸出 8 3 2 2 3 2 2 2" xfId="15554"/>
    <cellStyle name="輸出 8 3 2 2 3 3" xfId="15122"/>
    <cellStyle name="輸出 8 3 2 2 3 3 2" xfId="18114"/>
    <cellStyle name="輸出 8 3 2 2 4" xfId="12906"/>
    <cellStyle name="輸出 8 3 2 2 4 2" xfId="19993"/>
    <cellStyle name="輸出 8 3 2 3" xfId="8834"/>
    <cellStyle name="輸出 8 3 2 3 2" xfId="14079"/>
    <cellStyle name="輸出 8 3 2 3 2 2" xfId="16287"/>
    <cellStyle name="輸出 8 3 2 4" xfId="11832"/>
    <cellStyle name="輸出 8 3 2 4 2" xfId="17236"/>
    <cellStyle name="輸出 8 3 3" xfId="8537"/>
    <cellStyle name="輸出 8 3 3 2" xfId="13802"/>
    <cellStyle name="輸出 8 3 3 2 2" xfId="15501"/>
    <cellStyle name="輸出 8 3 4" xfId="11513"/>
    <cellStyle name="輸出 8 3 4 2" xfId="20044"/>
    <cellStyle name="輸出 8 4" xfId="6332"/>
    <cellStyle name="輸出 8 4 2" xfId="7135"/>
    <cellStyle name="輸出 8 4 2 2" xfId="9940"/>
    <cellStyle name="輸出 8 4 2 2 2" xfId="14809"/>
    <cellStyle name="輸出 8 4 2 2 2 2" xfId="18356"/>
    <cellStyle name="輸出 8 4 2 3" xfId="10258"/>
    <cellStyle name="輸出 8 4 2 3 2" xfId="10508"/>
    <cellStyle name="輸出 8 4 2 3 2 2" xfId="15235"/>
    <cellStyle name="輸出 8 4 2 3 2 2 2" xfId="15621"/>
    <cellStyle name="輸出 8 4 2 3 3" xfId="15035"/>
    <cellStyle name="輸出 8 4 2 3 3 2" xfId="15747"/>
    <cellStyle name="輸出 8 4 2 4" xfId="12819"/>
    <cellStyle name="輸出 8 4 2 4 2" xfId="19404"/>
    <cellStyle name="輸出 8 4 3" xfId="8747"/>
    <cellStyle name="輸出 8 4 3 2" xfId="14008"/>
    <cellStyle name="輸出 8 4 3 2 2" xfId="18363"/>
    <cellStyle name="輸出 8 4 4" xfId="11745"/>
    <cellStyle name="輸出 8 4 4 2" xfId="19091"/>
    <cellStyle name="輸出 8 5" xfId="8070"/>
    <cellStyle name="輸出 8 5 2" xfId="13335"/>
    <cellStyle name="輸出 8 5 2 2" xfId="18890"/>
    <cellStyle name="輸出 8 6" xfId="10934"/>
    <cellStyle name="輸出 8 6 2" xfId="18332"/>
    <cellStyle name="輸出 9" xfId="5185"/>
    <cellStyle name="輸出 9 2" xfId="6161"/>
    <cellStyle name="輸出 9 2 2" xfId="6444"/>
    <cellStyle name="輸出 9 2 2 2" xfId="7247"/>
    <cellStyle name="輸出 9 2 2 2 2" xfId="10052"/>
    <cellStyle name="輸出 9 2 2 2 2 2" xfId="14896"/>
    <cellStyle name="輸出 9 2 2 2 2 2 2" xfId="18355"/>
    <cellStyle name="輸出 9 2 2 2 3" xfId="10370"/>
    <cellStyle name="輸出 9 2 2 2 3 2" xfId="10620"/>
    <cellStyle name="輸出 9 2 2 2 3 2 2" xfId="15347"/>
    <cellStyle name="輸出 9 2 2 2 3 2 2 2" xfId="20087"/>
    <cellStyle name="輸出 9 2 2 2 3 3" xfId="15147"/>
    <cellStyle name="輸出 9 2 2 2 3 3 2" xfId="15678"/>
    <cellStyle name="輸出 9 2 2 2 4" xfId="12931"/>
    <cellStyle name="輸出 9 2 2 2 4 2" xfId="19405"/>
    <cellStyle name="輸出 9 2 2 3" xfId="8859"/>
    <cellStyle name="輸出 9 2 2 3 2" xfId="14098"/>
    <cellStyle name="輸出 9 2 2 3 2 2" xfId="18943"/>
    <cellStyle name="輸出 9 2 2 4" xfId="11857"/>
    <cellStyle name="輸出 9 2 2 4 2" xfId="17878"/>
    <cellStyle name="輸出 9 2 3" xfId="8630"/>
    <cellStyle name="輸出 9 2 3 2" xfId="13895"/>
    <cellStyle name="輸出 9 2 3 2 2" xfId="16403"/>
    <cellStyle name="輸出 9 2 4" xfId="11624"/>
    <cellStyle name="輸出 9 2 4 2" xfId="19753"/>
    <cellStyle name="輸出 9 3" xfId="6355"/>
    <cellStyle name="輸出 9 3 2" xfId="7158"/>
    <cellStyle name="輸出 9 3 2 2" xfId="9963"/>
    <cellStyle name="輸出 9 3 2 2 2" xfId="14825"/>
    <cellStyle name="輸出 9 3 2 2 2 2" xfId="15853"/>
    <cellStyle name="輸出 9 3 2 3" xfId="10281"/>
    <cellStyle name="輸出 9 3 2 3 2" xfId="10531"/>
    <cellStyle name="輸出 9 3 2 3 2 2" xfId="15258"/>
    <cellStyle name="輸出 9 3 2 3 2 2 2" xfId="15603"/>
    <cellStyle name="輸出 9 3 2 3 3" xfId="15058"/>
    <cellStyle name="輸出 9 3 2 3 3 2" xfId="15732"/>
    <cellStyle name="輸出 9 3 2 4" xfId="12842"/>
    <cellStyle name="輸出 9 3 2 4 2" xfId="19952"/>
    <cellStyle name="輸出 9 3 3" xfId="8770"/>
    <cellStyle name="輸出 9 3 3 2" xfId="14025"/>
    <cellStyle name="輸出 9 3 3 2 2" xfId="18684"/>
    <cellStyle name="輸出 9 3 4" xfId="11768"/>
    <cellStyle name="輸出 9 3 4 2" xfId="19984"/>
    <cellStyle name="輸出 9 4" xfId="8158"/>
    <cellStyle name="輸出 9 4 2" xfId="13423"/>
    <cellStyle name="輸出 9 4 2 2" xfId="18768"/>
    <cellStyle name="輸出 9 5" xfId="11043"/>
    <cellStyle name="輸出 9 5 2" xfId="15535"/>
    <cellStyle name="输入" xfId="114"/>
    <cellStyle name="输入 10" xfId="4015"/>
    <cellStyle name="输入 10 2" xfId="5252"/>
    <cellStyle name="输入 10 2 2" xfId="6228"/>
    <cellStyle name="输入 10 2 2 2" xfId="6570"/>
    <cellStyle name="输入 10 2 2 2 2" xfId="9529"/>
    <cellStyle name="输入 10 2 2 2 2 2" xfId="14430"/>
    <cellStyle name="输入 10 2 2 2 2 2 2" xfId="16097"/>
    <cellStyle name="输入 10 2 2 2 3" xfId="12255"/>
    <cellStyle name="输入 10 2 2 2 3 2" xfId="16956"/>
    <cellStyle name="输入 10 2 2 3" xfId="8693"/>
    <cellStyle name="输入 10 2 2 3 2" xfId="13958"/>
    <cellStyle name="输入 10 2 2 3 2 2" xfId="16358"/>
    <cellStyle name="输入 10 2 2 4" xfId="11691"/>
    <cellStyle name="输入 10 2 2 4 2" xfId="19575"/>
    <cellStyle name="输入 10 2 3" xfId="7668"/>
    <cellStyle name="输入 10 2 3 2" xfId="10066"/>
    <cellStyle name="输入 10 2 3 2 2" xfId="14910"/>
    <cellStyle name="输入 10 2 3 2 2 2" xfId="15813"/>
    <cellStyle name="输入 10 2 3 3" xfId="12945"/>
    <cellStyle name="输入 10 2 3 3 2" xfId="20010"/>
    <cellStyle name="输入 10 2 4" xfId="8221"/>
    <cellStyle name="输入 10 2 4 2" xfId="13486"/>
    <cellStyle name="输入 10 2 4 2 2" xfId="16638"/>
    <cellStyle name="输入 10 2 5" xfId="11110"/>
    <cellStyle name="输入 10 2 5 2" xfId="17422"/>
    <cellStyle name="输入 10 3" xfId="5933"/>
    <cellStyle name="输入 10 3 2" xfId="6638"/>
    <cellStyle name="输入 10 3 2 2" xfId="9587"/>
    <cellStyle name="输入 10 3 2 2 2" xfId="14487"/>
    <cellStyle name="输入 10 3 2 2 2 2" xfId="16065"/>
    <cellStyle name="输入 10 3 2 3" xfId="12323"/>
    <cellStyle name="输入 10 3 2 3 2" xfId="16922"/>
    <cellStyle name="输入 10 3 3" xfId="8435"/>
    <cellStyle name="输入 10 3 3 2" xfId="13700"/>
    <cellStyle name="输入 10 3 3 2 2" xfId="17778"/>
    <cellStyle name="输入 10 3 4" xfId="11396"/>
    <cellStyle name="输入 10 3 4 2" xfId="19237"/>
    <cellStyle name="输入 10 4" xfId="6619"/>
    <cellStyle name="输入 10 4 2" xfId="9568"/>
    <cellStyle name="输入 10 4 2 2" xfId="14468"/>
    <cellStyle name="输入 10 4 2 2 2" xfId="16075"/>
    <cellStyle name="输入 10 4 3" xfId="12304"/>
    <cellStyle name="输入 10 4 3 2" xfId="16932"/>
    <cellStyle name="输入 10 5" xfId="8033"/>
    <cellStyle name="输入 10 5 2" xfId="13300"/>
    <cellStyle name="输入 10 5 2 2" xfId="16742"/>
    <cellStyle name="输入 10 6" xfId="10896"/>
    <cellStyle name="输入 10 6 2" xfId="18627"/>
    <cellStyle name="输入 11" xfId="5183"/>
    <cellStyle name="输入 11 2" xfId="6159"/>
    <cellStyle name="输入 11 2 2" xfId="7655"/>
    <cellStyle name="输入 11 2 2 2" xfId="7810"/>
    <cellStyle name="输入 11 2 2 2 2" xfId="10175"/>
    <cellStyle name="输入 11 2 2 2 2 2" xfId="13049"/>
    <cellStyle name="输入 11 2 2 2 2 2 2" xfId="20071"/>
    <cellStyle name="输入 11 2 2 2 3" xfId="9423"/>
    <cellStyle name="输入 11 2 2 2 3 2" xfId="14332"/>
    <cellStyle name="输入 11 2 2 2 3 2 2" xfId="15483"/>
    <cellStyle name="输入 11 2 2 2 4" xfId="12129"/>
    <cellStyle name="输入 11 2 2 2 4 2" xfId="17041"/>
    <cellStyle name="输入 11 2 2 3" xfId="8978"/>
    <cellStyle name="输入 11 2 2 3 2" xfId="14217"/>
    <cellStyle name="输入 11 2 2 3 2 2" xfId="16218"/>
    <cellStyle name="输入 11 2 2 4" xfId="11980"/>
    <cellStyle name="输入 11 2 2 4 2" xfId="17145"/>
    <cellStyle name="输入 11 2 3" xfId="6631"/>
    <cellStyle name="输入 11 2 3 2" xfId="9580"/>
    <cellStyle name="输入 11 2 3 2 2" xfId="14480"/>
    <cellStyle name="输入 11 2 3 2 2 2" xfId="16069"/>
    <cellStyle name="输入 11 2 3 3" xfId="12316"/>
    <cellStyle name="输入 11 2 3 3 2" xfId="16927"/>
    <cellStyle name="输入 11 2 4" xfId="8628"/>
    <cellStyle name="输入 11 2 4 2" xfId="13893"/>
    <cellStyle name="输入 11 2 4 2 2" xfId="16405"/>
    <cellStyle name="输入 11 2 5" xfId="11622"/>
    <cellStyle name="输入 11 2 5 2" xfId="19804"/>
    <cellStyle name="输入 11 3" xfId="7511"/>
    <cellStyle name="输入 11 3 2" xfId="7778"/>
    <cellStyle name="输入 11 3 2 2" xfId="10143"/>
    <cellStyle name="输入 11 3 2 2 2" xfId="13017"/>
    <cellStyle name="输入 11 3 2 2 2 2" xfId="19988"/>
    <cellStyle name="输入 11 3 2 3" xfId="9269"/>
    <cellStyle name="输入 11 3 2 3 2" xfId="14270"/>
    <cellStyle name="输入 11 3 2 3 2 2" xfId="16193"/>
    <cellStyle name="输入 11 3 2 4" xfId="12047"/>
    <cellStyle name="输入 11 3 2 4 2" xfId="17101"/>
    <cellStyle name="输入 11 3 3" xfId="8909"/>
    <cellStyle name="输入 11 3 3 2" xfId="14148"/>
    <cellStyle name="输入 11 3 3 2 2" xfId="18853"/>
    <cellStyle name="输入 11 3 4" xfId="11908"/>
    <cellStyle name="输入 11 3 4 2" xfId="17902"/>
    <cellStyle name="输入 11 4" xfId="6937"/>
    <cellStyle name="输入 11 4 2" xfId="9790"/>
    <cellStyle name="输入 11 4 2 2" xfId="14675"/>
    <cellStyle name="输入 11 4 2 2 2" xfId="15372"/>
    <cellStyle name="输入 11 4 3" xfId="12621"/>
    <cellStyle name="输入 11 4 3 2" xfId="19418"/>
    <cellStyle name="输入 11 5" xfId="8156"/>
    <cellStyle name="输入 11 5 2" xfId="13421"/>
    <cellStyle name="输入 11 5 2 2" xfId="16669"/>
    <cellStyle name="输入 11 6" xfId="11041"/>
    <cellStyle name="输入 11 6 2" xfId="17482"/>
    <cellStyle name="输入 12" xfId="5547"/>
    <cellStyle name="输入 12 2" xfId="7603"/>
    <cellStyle name="输入 12 2 2" xfId="7789"/>
    <cellStyle name="输入 12 2 2 2" xfId="10154"/>
    <cellStyle name="输入 12 2 2 2 2" xfId="13028"/>
    <cellStyle name="输入 12 2 2 2 2 2" xfId="19387"/>
    <cellStyle name="输入 12 2 2 3" xfId="9364"/>
    <cellStyle name="输入 12 2 2 3 2" xfId="14291"/>
    <cellStyle name="输入 12 2 2 3 2 2" xfId="16180"/>
    <cellStyle name="输入 12 2 2 4" xfId="12073"/>
    <cellStyle name="输入 12 2 2 4 2" xfId="17083"/>
    <cellStyle name="输入 12 2 3" xfId="8930"/>
    <cellStyle name="输入 12 2 3 2" xfId="14169"/>
    <cellStyle name="输入 12 2 3 2 2" xfId="16242"/>
    <cellStyle name="输入 12 2 4" xfId="11931"/>
    <cellStyle name="输入 12 2 4 2" xfId="18208"/>
    <cellStyle name="输入 12 3" xfId="6573"/>
    <cellStyle name="输入 12 3 2" xfId="9532"/>
    <cellStyle name="输入 12 3 2 2" xfId="14433"/>
    <cellStyle name="输入 12 3 2 2 2" xfId="18455"/>
    <cellStyle name="输入 12 3 3" xfId="12258"/>
    <cellStyle name="输入 12 3 3 2" xfId="17857"/>
    <cellStyle name="输入 12 4" xfId="8322"/>
    <cellStyle name="输入 12 4 2" xfId="13587"/>
    <cellStyle name="输入 12 4 2 2" xfId="16590"/>
    <cellStyle name="输入 12 5" xfId="11248"/>
    <cellStyle name="输入 12 5 2" xfId="17318"/>
    <cellStyle name="输入 13" xfId="5962"/>
    <cellStyle name="输入 13 2" xfId="7627"/>
    <cellStyle name="输入 13 2 2" xfId="7796"/>
    <cellStyle name="输入 13 2 2 2" xfId="10161"/>
    <cellStyle name="输入 13 2 2 2 2" xfId="13035"/>
    <cellStyle name="输入 13 2 2 2 2 2" xfId="19401"/>
    <cellStyle name="输入 13 2 2 3" xfId="9390"/>
    <cellStyle name="输入 13 2 2 3 2" xfId="14308"/>
    <cellStyle name="输入 13 2 2 3 2 2" xfId="18155"/>
    <cellStyle name="输入 13 2 2 4" xfId="12096"/>
    <cellStyle name="输入 13 2 2 4 2" xfId="17068"/>
    <cellStyle name="输入 13 2 3" xfId="8950"/>
    <cellStyle name="输入 13 2 3 2" xfId="14189"/>
    <cellStyle name="输入 13 2 3 2 2" xfId="16231"/>
    <cellStyle name="输入 13 2 4" xfId="11952"/>
    <cellStyle name="输入 13 2 4 2" xfId="17164"/>
    <cellStyle name="输入 13 3" xfId="6547"/>
    <cellStyle name="输入 13 3 2" xfId="9508"/>
    <cellStyle name="输入 13 3 2 2" xfId="14409"/>
    <cellStyle name="输入 13 3 2 2 2" xfId="16110"/>
    <cellStyle name="输入 13 3 3" xfId="12232"/>
    <cellStyle name="输入 13 3 3 2" xfId="16966"/>
    <cellStyle name="输入 13 4" xfId="8458"/>
    <cellStyle name="输入 13 4 2" xfId="13723"/>
    <cellStyle name="输入 13 4 2 2" xfId="16511"/>
    <cellStyle name="输入 13 5" xfId="11425"/>
    <cellStyle name="输入 13 5 2" xfId="19349"/>
    <cellStyle name="输入 14" xfId="4014"/>
    <cellStyle name="输入 14 2" xfId="6713"/>
    <cellStyle name="输入 14 2 2" xfId="9649"/>
    <cellStyle name="输入 14 2 2 2" xfId="14546"/>
    <cellStyle name="输入 14 2 2 2 2" xfId="16030"/>
    <cellStyle name="输入 14 2 3" xfId="12397"/>
    <cellStyle name="输入 14 2 3 2" xfId="16887"/>
    <cellStyle name="输入 14 3" xfId="8032"/>
    <cellStyle name="输入 14 3 2" xfId="13299"/>
    <cellStyle name="输入 14 3 2 2" xfId="16743"/>
    <cellStyle name="输入 14 4" xfId="10895"/>
    <cellStyle name="输入 14 4 2" xfId="17589"/>
    <cellStyle name="输入 15" xfId="7817"/>
    <cellStyle name="输入 15 2" xfId="13056"/>
    <cellStyle name="输入 15 2 2" xfId="19781"/>
    <cellStyle name="输入 16" xfId="10634"/>
    <cellStyle name="输入 16 2" xfId="18311"/>
    <cellStyle name="输入 2" xfId="386"/>
    <cellStyle name="输入 2 10" xfId="10639"/>
    <cellStyle name="输入 2 10 2" xfId="19193"/>
    <cellStyle name="输入 2 2" xfId="396"/>
    <cellStyle name="输入 2 2 2" xfId="418"/>
    <cellStyle name="输入 2 2 2 2" xfId="5397"/>
    <cellStyle name="输入 2 2 2 2 2" xfId="7666"/>
    <cellStyle name="输入 2 2 2 2 2 2" xfId="10064"/>
    <cellStyle name="输入 2 2 2 2 2 2 2" xfId="14908"/>
    <cellStyle name="输入 2 2 2 2 2 2 2 2" xfId="18819"/>
    <cellStyle name="输入 2 2 2 2 2 3" xfId="12943"/>
    <cellStyle name="输入 2 2 2 2 2 3 2" xfId="19299"/>
    <cellStyle name="输入 2 2 2 2 3" xfId="8304"/>
    <cellStyle name="输入 2 2 2 2 3 2" xfId="13569"/>
    <cellStyle name="输入 2 2 2 2 3 2 2" xfId="18223"/>
    <cellStyle name="输入 2 2 2 2 4" xfId="11229"/>
    <cellStyle name="输入 2 2 2 2 4 2" xfId="17332"/>
    <cellStyle name="输入 2 2 2 3" xfId="5880"/>
    <cellStyle name="输入 2 2 2 3 2" xfId="7702"/>
    <cellStyle name="输入 2 2 2 3 2 2" xfId="10094"/>
    <cellStyle name="输入 2 2 2 3 2 2 2" xfId="14936"/>
    <cellStyle name="输入 2 2 2 3 2 2 2 2" xfId="15802"/>
    <cellStyle name="输入 2 2 2 3 2 3" xfId="12979"/>
    <cellStyle name="输入 2 2 2 3 2 3 2" xfId="19347"/>
    <cellStyle name="输入 2 2 2 3 3" xfId="8396"/>
    <cellStyle name="输入 2 2 2 3 3 2" xfId="13661"/>
    <cellStyle name="输入 2 2 2 3 3 2 2" xfId="17774"/>
    <cellStyle name="输入 2 2 2 3 4" xfId="11343"/>
    <cellStyle name="输入 2 2 2 3 4 2" xfId="19884"/>
    <cellStyle name="输入 2 2 2 4" xfId="5068"/>
    <cellStyle name="输入 2 2 2 4 2" xfId="7087"/>
    <cellStyle name="输入 2 2 2 4 2 2" xfId="9892"/>
    <cellStyle name="输入 2 2 2 4 2 2 2" xfId="14765"/>
    <cellStyle name="输入 2 2 2 4 2 2 2 2" xfId="15883"/>
    <cellStyle name="输入 2 2 2 4 2 3" xfId="12771"/>
    <cellStyle name="输入 2 2 2 4 2 3 2" xfId="19408"/>
    <cellStyle name="输入 2 2 2 4 3" xfId="8076"/>
    <cellStyle name="输入 2 2 2 4 3 2" xfId="13341"/>
    <cellStyle name="输入 2 2 2 4 3 2 2" xfId="16713"/>
    <cellStyle name="输入 2 2 2 4 4" xfId="10947"/>
    <cellStyle name="输入 2 2 2 4 4 2" xfId="17549"/>
    <cellStyle name="输入 2 2 2 5" xfId="7024"/>
    <cellStyle name="输入 2 2 2 5 2" xfId="9850"/>
    <cellStyle name="输入 2 2 2 5 2 2" xfId="14726"/>
    <cellStyle name="输入 2 2 2 5 2 2 2" xfId="15904"/>
    <cellStyle name="输入 2 2 2 5 3" xfId="12708"/>
    <cellStyle name="输入 2 2 2 5 3 2" xfId="19379"/>
    <cellStyle name="输入 2 2 2 6" xfId="7852"/>
    <cellStyle name="输入 2 2 2 6 2" xfId="13091"/>
    <cellStyle name="输入 2 2 2 6 2 2" xfId="19653"/>
    <cellStyle name="输入 2 2 2 7" xfId="10669"/>
    <cellStyle name="输入 2 2 2 7 2" xfId="18257"/>
    <cellStyle name="输入 2 2 3" xfId="5132"/>
    <cellStyle name="输入 2 2 3 2" xfId="6108"/>
    <cellStyle name="输入 2 2 3 2 2" xfId="6634"/>
    <cellStyle name="输入 2 2 3 2 2 2" xfId="9583"/>
    <cellStyle name="输入 2 2 3 2 2 2 2" xfId="14483"/>
    <cellStyle name="输入 2 2 3 2 2 2 2 2" xfId="17815"/>
    <cellStyle name="输入 2 2 3 2 2 3" xfId="12319"/>
    <cellStyle name="输入 2 2 3 2 2 3 2" xfId="16924"/>
    <cellStyle name="输入 2 2 3 2 3" xfId="8579"/>
    <cellStyle name="输入 2 2 3 2 3 2" xfId="13844"/>
    <cellStyle name="输入 2 2 3 2 3 2 2" xfId="18475"/>
    <cellStyle name="输入 2 2 3 2 4" xfId="11571"/>
    <cellStyle name="输入 2 2 3 2 4 2" xfId="18555"/>
    <cellStyle name="输入 2 2 3 3" xfId="6666"/>
    <cellStyle name="输入 2 2 3 3 2" xfId="9615"/>
    <cellStyle name="输入 2 2 3 3 2 2" xfId="14514"/>
    <cellStyle name="输入 2 2 3 3 2 2 2" xfId="16050"/>
    <cellStyle name="输入 2 2 3 3 3" xfId="12351"/>
    <cellStyle name="输入 2 2 3 3 3 2" xfId="17860"/>
    <cellStyle name="输入 2 2 3 4" xfId="8107"/>
    <cellStyle name="输入 2 2 3 4 2" xfId="13372"/>
    <cellStyle name="输入 2 2 3 4 2 2" xfId="18045"/>
    <cellStyle name="输入 2 2 3 5" xfId="10990"/>
    <cellStyle name="输入 2 2 3 5 2" xfId="17518"/>
    <cellStyle name="输入 2 2 4" xfId="5863"/>
    <cellStyle name="输入 2 2 4 2" xfId="6562"/>
    <cellStyle name="输入 2 2 4 2 2" xfId="9521"/>
    <cellStyle name="输入 2 2 4 2 2 2" xfId="14422"/>
    <cellStyle name="输入 2 2 4 2 2 2 2" xfId="16096"/>
    <cellStyle name="输入 2 2 4 2 3" xfId="12247"/>
    <cellStyle name="输入 2 2 4 2 3 2" xfId="17913"/>
    <cellStyle name="输入 2 2 4 3" xfId="8381"/>
    <cellStyle name="输入 2 2 4 3 2" xfId="13646"/>
    <cellStyle name="输入 2 2 4 3 2 2" xfId="16555"/>
    <cellStyle name="输入 2 2 4 4" xfId="11326"/>
    <cellStyle name="输入 2 2 4 4 2" xfId="17269"/>
    <cellStyle name="输入 2 2 5" xfId="4017"/>
    <cellStyle name="输入 2 2 5 2" xfId="6471"/>
    <cellStyle name="输入 2 2 5 2 2" xfId="9447"/>
    <cellStyle name="输入 2 2 5 2 2 2" xfId="14352"/>
    <cellStyle name="输入 2 2 5 2 2 2 2" xfId="15481"/>
    <cellStyle name="输入 2 2 5 2 3" xfId="12156"/>
    <cellStyle name="输入 2 2 5 2 3 2" xfId="17023"/>
    <cellStyle name="输入 2 2 5 3" xfId="8035"/>
    <cellStyle name="输入 2 2 5 3 2" xfId="13302"/>
    <cellStyle name="输入 2 2 5 3 2 2" xfId="16740"/>
    <cellStyle name="输入 2 2 5 4" xfId="10898"/>
    <cellStyle name="输入 2 2 5 4 2" xfId="18334"/>
    <cellStyle name="输入 2 2 6" xfId="7072"/>
    <cellStyle name="输入 2 2 6 2" xfId="9885"/>
    <cellStyle name="输入 2 2 6 2 2" xfId="14758"/>
    <cellStyle name="输入 2 2 6 2 2 2" xfId="15886"/>
    <cellStyle name="输入 2 2 6 3" xfId="12756"/>
    <cellStyle name="输入 2 2 6 3 2" xfId="19392"/>
    <cellStyle name="输入 2 2 7" xfId="7833"/>
    <cellStyle name="输入 2 2 7 2" xfId="13072"/>
    <cellStyle name="输入 2 2 7 2 2" xfId="19215"/>
    <cellStyle name="输入 2 2 8" xfId="10650"/>
    <cellStyle name="输入 2 2 8 2" xfId="18570"/>
    <cellStyle name="输入 2 3" xfId="408"/>
    <cellStyle name="输入 2 3 2" xfId="5131"/>
    <cellStyle name="输入 2 3 2 2" xfId="6107"/>
    <cellStyle name="输入 2 3 2 2 2" xfId="6799"/>
    <cellStyle name="输入 2 3 2 2 2 2" xfId="9694"/>
    <cellStyle name="输入 2 3 2 2 2 2 2" xfId="14590"/>
    <cellStyle name="输入 2 3 2 2 2 2 2 2" xfId="15995"/>
    <cellStyle name="输入 2 3 2 2 2 3" xfId="12483"/>
    <cellStyle name="输入 2 3 2 2 2 3 2" xfId="19670"/>
    <cellStyle name="输入 2 3 2 2 3" xfId="8578"/>
    <cellStyle name="输入 2 3 2 2 3 2" xfId="13843"/>
    <cellStyle name="输入 2 3 2 2 3 2 2" xfId="16434"/>
    <cellStyle name="输入 2 3 2 2 4" xfId="11570"/>
    <cellStyle name="输入 2 3 2 2 4 2" xfId="19012"/>
    <cellStyle name="输入 2 3 2 3" xfId="7012"/>
    <cellStyle name="输入 2 3 2 3 2" xfId="9843"/>
    <cellStyle name="输入 2 3 2 3 2 2" xfId="14719"/>
    <cellStyle name="输入 2 3 2 3 2 2 2" xfId="15909"/>
    <cellStyle name="输入 2 3 2 3 3" xfId="12696"/>
    <cellStyle name="输入 2 3 2 3 3 2" xfId="19219"/>
    <cellStyle name="输入 2 3 2 4" xfId="8106"/>
    <cellStyle name="输入 2 3 2 4 2" xfId="13371"/>
    <cellStyle name="输入 2 3 2 4 2 2" xfId="18372"/>
    <cellStyle name="输入 2 3 2 5" xfId="10989"/>
    <cellStyle name="输入 2 3 2 5 2" xfId="18282"/>
    <cellStyle name="输入 2 3 3" xfId="5862"/>
    <cellStyle name="输入 2 3 3 2" xfId="6906"/>
    <cellStyle name="输入 2 3 3 2 2" xfId="9766"/>
    <cellStyle name="输入 2 3 3 2 2 2" xfId="14653"/>
    <cellStyle name="输入 2 3 3 2 2 2 2" xfId="15947"/>
    <cellStyle name="输入 2 3 3 2 3" xfId="12590"/>
    <cellStyle name="输入 2 3 3 2 3 2" xfId="16856"/>
    <cellStyle name="输入 2 3 3 3" xfId="8380"/>
    <cellStyle name="输入 2 3 3 3 2" xfId="13645"/>
    <cellStyle name="输入 2 3 3 3 2 2" xfId="16556"/>
    <cellStyle name="输入 2 3 3 4" xfId="11325"/>
    <cellStyle name="输入 2 3 3 4 2" xfId="17270"/>
    <cellStyle name="输入 2 3 4" xfId="4018"/>
    <cellStyle name="输入 2 3 4 2" xfId="7039"/>
    <cellStyle name="输入 2 3 4 2 2" xfId="9863"/>
    <cellStyle name="输入 2 3 4 2 2 2" xfId="14738"/>
    <cellStyle name="输入 2 3 4 2 2 2 2" xfId="15898"/>
    <cellStyle name="输入 2 3 4 2 3" xfId="12723"/>
    <cellStyle name="输入 2 3 4 2 3 2" xfId="19368"/>
    <cellStyle name="输入 2 3 4 3" xfId="8036"/>
    <cellStyle name="输入 2 3 4 3 2" xfId="13303"/>
    <cellStyle name="输入 2 3 4 3 2 2" xfId="16739"/>
    <cellStyle name="输入 2 3 4 4" xfId="10899"/>
    <cellStyle name="输入 2 3 4 4 2" xfId="18287"/>
    <cellStyle name="输入 2 3 5" xfId="6879"/>
    <cellStyle name="输入 2 3 5 2" xfId="9750"/>
    <cellStyle name="输入 2 3 5 2 2" xfId="14638"/>
    <cellStyle name="输入 2 3 5 2 2 2" xfId="18735"/>
    <cellStyle name="输入 2 3 5 3" xfId="12563"/>
    <cellStyle name="输入 2 3 5 3 2" xfId="18544"/>
    <cellStyle name="输入 2 3 6" xfId="7842"/>
    <cellStyle name="输入 2 3 6 2" xfId="13081"/>
    <cellStyle name="输入 2 3 6 2 2" xfId="20012"/>
    <cellStyle name="输入 2 3 7" xfId="10659"/>
    <cellStyle name="输入 2 3 7 2" xfId="19903"/>
    <cellStyle name="输入 2 4" xfId="4019"/>
    <cellStyle name="输入 2 4 2" xfId="5253"/>
    <cellStyle name="输入 2 4 2 2" xfId="6229"/>
    <cellStyle name="输入 2 4 2 2 2" xfId="6506"/>
    <cellStyle name="输入 2 4 2 2 2 2" xfId="9472"/>
    <cellStyle name="输入 2 4 2 2 2 2 2" xfId="14374"/>
    <cellStyle name="输入 2 4 2 2 2 2 2 2" xfId="18461"/>
    <cellStyle name="输入 2 4 2 2 2 3" xfId="12191"/>
    <cellStyle name="输入 2 4 2 2 2 3 2" xfId="16998"/>
    <cellStyle name="输入 2 4 2 2 3" xfId="8694"/>
    <cellStyle name="输入 2 4 2 2 3 2" xfId="13959"/>
    <cellStyle name="输入 2 4 2 2 3 2 2" xfId="16357"/>
    <cellStyle name="输入 2 4 2 2 4" xfId="11692"/>
    <cellStyle name="输入 2 4 2 2 4 2" xfId="19880"/>
    <cellStyle name="输入 2 4 2 3" xfId="6964"/>
    <cellStyle name="输入 2 4 2 3 2" xfId="9810"/>
    <cellStyle name="输入 2 4 2 3 2 2" xfId="14690"/>
    <cellStyle name="输入 2 4 2 3 2 2 2" xfId="18775"/>
    <cellStyle name="输入 2 4 2 3 3" xfId="12648"/>
    <cellStyle name="输入 2 4 2 3 3 2" xfId="19100"/>
    <cellStyle name="输入 2 4 2 4" xfId="8222"/>
    <cellStyle name="输入 2 4 2 4 2" xfId="13487"/>
    <cellStyle name="输入 2 4 2 4 2 2" xfId="16637"/>
    <cellStyle name="输入 2 4 2 5" xfId="11111"/>
    <cellStyle name="输入 2 4 2 5 2" xfId="17421"/>
    <cellStyle name="输入 2 4 3" xfId="5932"/>
    <cellStyle name="输入 2 4 3 2" xfId="7689"/>
    <cellStyle name="输入 2 4 3 2 2" xfId="10083"/>
    <cellStyle name="输入 2 4 3 2 2 2" xfId="14927"/>
    <cellStyle name="输入 2 4 3 2 2 2 2" xfId="15401"/>
    <cellStyle name="输入 2 4 3 2 3" xfId="12966"/>
    <cellStyle name="输入 2 4 3 2 3 2" xfId="19847"/>
    <cellStyle name="输入 2 4 3 3" xfId="8434"/>
    <cellStyle name="输入 2 4 3 3 2" xfId="13699"/>
    <cellStyle name="输入 2 4 3 3 2 2" xfId="18177"/>
    <cellStyle name="输入 2 4 3 4" xfId="11395"/>
    <cellStyle name="输入 2 4 3 4 2" xfId="19857"/>
    <cellStyle name="输入 2 4 4" xfId="6532"/>
    <cellStyle name="输入 2 4 4 2" xfId="9498"/>
    <cellStyle name="输入 2 4 4 2 2" xfId="14399"/>
    <cellStyle name="输入 2 4 4 2 2 2" xfId="16117"/>
    <cellStyle name="输入 2 4 4 3" xfId="12217"/>
    <cellStyle name="输入 2 4 4 3 2" xfId="16977"/>
    <cellStyle name="输入 2 4 5" xfId="8037"/>
    <cellStyle name="输入 2 4 5 2" xfId="13304"/>
    <cellStyle name="输入 2 4 5 2 2" xfId="16738"/>
    <cellStyle name="输入 2 4 6" xfId="10900"/>
    <cellStyle name="输入 2 4 6 2" xfId="17588"/>
    <cellStyle name="输入 2 5" xfId="5039"/>
    <cellStyle name="输入 2 5 2" xfId="5395"/>
    <cellStyle name="输入 2 5 2 2" xfId="7525"/>
    <cellStyle name="输入 2 5 2 2 2" xfId="7785"/>
    <cellStyle name="输入 2 5 2 2 2 2" xfId="10150"/>
    <cellStyle name="输入 2 5 2 2 2 2 2" xfId="13024"/>
    <cellStyle name="输入 2 5 2 2 2 2 2 2" xfId="19782"/>
    <cellStyle name="输入 2 5 2 2 2 3" xfId="9286"/>
    <cellStyle name="输入 2 5 2 2 2 3 2" xfId="14283"/>
    <cellStyle name="输入 2 5 2 2 2 3 2 2" xfId="16184"/>
    <cellStyle name="输入 2 5 2 2 2 4" xfId="12064"/>
    <cellStyle name="输入 2 5 2 2 2 4 2" xfId="17086"/>
    <cellStyle name="输入 2 5 2 2 3" xfId="8922"/>
    <cellStyle name="输入 2 5 2 2 3 2" xfId="14161"/>
    <cellStyle name="输入 2 5 2 2 3 2 2" xfId="18236"/>
    <cellStyle name="输入 2 5 2 2 4" xfId="11922"/>
    <cellStyle name="输入 2 5 2 2 4 2" xfId="17178"/>
    <cellStyle name="输入 2 5 2 3" xfId="6751"/>
    <cellStyle name="输入 2 5 2 3 2" xfId="9668"/>
    <cellStyle name="输入 2 5 2 3 2 2" xfId="14565"/>
    <cellStyle name="输入 2 5 2 3 2 2 2" xfId="16015"/>
    <cellStyle name="输入 2 5 2 3 3" xfId="12435"/>
    <cellStyle name="输入 2 5 2 3 3 2" xfId="19244"/>
    <cellStyle name="输入 2 5 2 4" xfId="8302"/>
    <cellStyle name="输入 2 5 2 4 2" xfId="13567"/>
    <cellStyle name="输入 2 5 2 4 2 2" xfId="18939"/>
    <cellStyle name="输入 2 5 2 5" xfId="11227"/>
    <cellStyle name="输入 2 5 2 5 2" xfId="18318"/>
    <cellStyle name="输入 2 5 3" xfId="5826"/>
    <cellStyle name="输入 2 5 3 2" xfId="7613"/>
    <cellStyle name="输入 2 5 3 2 2" xfId="7791"/>
    <cellStyle name="输入 2 5 3 2 2 2" xfId="10156"/>
    <cellStyle name="输入 2 5 3 2 2 2 2" xfId="13030"/>
    <cellStyle name="输入 2 5 3 2 2 2 2 2" xfId="19569"/>
    <cellStyle name="输入 2 5 3 2 2 3" xfId="9374"/>
    <cellStyle name="输入 2 5 3 2 2 3 2" xfId="14296"/>
    <cellStyle name="输入 2 5 3 2 2 3 2 2" xfId="16170"/>
    <cellStyle name="输入 2 5 3 2 2 4" xfId="12080"/>
    <cellStyle name="输入 2 5 3 2 2 4 2" xfId="18201"/>
    <cellStyle name="输入 2 5 3 2 3" xfId="8937"/>
    <cellStyle name="输入 2 5 3 2 3 2" xfId="14176"/>
    <cellStyle name="输入 2 5 3 2 3 2 2" xfId="16237"/>
    <cellStyle name="输入 2 5 3 2 4" xfId="11938"/>
    <cellStyle name="输入 2 5 3 2 4 2" xfId="17171"/>
    <cellStyle name="输入 2 5 3 3" xfId="6640"/>
    <cellStyle name="输入 2 5 3 3 2" xfId="9589"/>
    <cellStyle name="输入 2 5 3 3 2 2" xfId="14489"/>
    <cellStyle name="输入 2 5 3 3 2 2 2" xfId="16058"/>
    <cellStyle name="输入 2 5 3 3 3" xfId="12325"/>
    <cellStyle name="输入 2 5 3 3 3 2" xfId="16921"/>
    <cellStyle name="输入 2 5 3 4" xfId="8361"/>
    <cellStyle name="输入 2 5 3 4 2" xfId="13626"/>
    <cellStyle name="输入 2 5 3 4 2 2" xfId="16567"/>
    <cellStyle name="输入 2 5 3 5" xfId="11289"/>
    <cellStyle name="输入 2 5 3 5 2" xfId="17293"/>
    <cellStyle name="输入 2 5 4" xfId="7478"/>
    <cellStyle name="输入 2 5 4 2" xfId="7771"/>
    <cellStyle name="输入 2 5 4 2 2" xfId="10136"/>
    <cellStyle name="输入 2 5 4 2 2 2" xfId="13010"/>
    <cellStyle name="输入 2 5 4 2 2 2 2" xfId="19360"/>
    <cellStyle name="输入 2 5 4 2 3" xfId="9234"/>
    <cellStyle name="输入 2 5 4 2 3 2" xfId="14256"/>
    <cellStyle name="输入 2 5 4 2 3 2 2" xfId="16200"/>
    <cellStyle name="输入 2 5 4 2 4" xfId="12027"/>
    <cellStyle name="输入 2 5 4 2 4 2" xfId="17906"/>
    <cellStyle name="输入 2 5 4 3" xfId="8891"/>
    <cellStyle name="输入 2 5 4 3 2" xfId="14130"/>
    <cellStyle name="输入 2 5 4 3 2 2" xfId="16260"/>
    <cellStyle name="输入 2 5 4 4" xfId="11890"/>
    <cellStyle name="输入 2 5 4 4 2" xfId="17934"/>
    <cellStyle name="输入 2 5 5" xfId="6668"/>
    <cellStyle name="输入 2 5 5 2" xfId="9617"/>
    <cellStyle name="输入 2 5 5 2 2" xfId="14516"/>
    <cellStyle name="输入 2 5 5 2 2 2" xfId="16048"/>
    <cellStyle name="输入 2 5 5 3" xfId="12353"/>
    <cellStyle name="输入 2 5 5 3 2" xfId="17955"/>
    <cellStyle name="输入 2 5 6" xfId="8074"/>
    <cellStyle name="输入 2 5 6 2" xfId="13339"/>
    <cellStyle name="输入 2 5 6 2 2" xfId="16715"/>
    <cellStyle name="输入 2 5 7" xfId="10945"/>
    <cellStyle name="输入 2 5 7 2" xfId="17551"/>
    <cellStyle name="输入 2 6" xfId="5182"/>
    <cellStyle name="输入 2 6 2" xfId="6158"/>
    <cellStyle name="输入 2 6 2 2" xfId="6529"/>
    <cellStyle name="输入 2 6 2 2 2" xfId="9495"/>
    <cellStyle name="输入 2 6 2 2 2 2" xfId="12214"/>
    <cellStyle name="输入 2 6 2 2 2 2 2" xfId="16980"/>
    <cellStyle name="输入 2 6 2 2 3" xfId="8995"/>
    <cellStyle name="输入 2 6 2 2 3 2" xfId="14224"/>
    <cellStyle name="输入 2 6 2 2 3 2 2" xfId="18959"/>
    <cellStyle name="输入 2 6 2 2 4" xfId="11988"/>
    <cellStyle name="输入 2 6 2 2 4 2" xfId="17142"/>
    <cellStyle name="输入 2 6 2 3" xfId="9422"/>
    <cellStyle name="输入 2 6 2 3 2" xfId="12128"/>
    <cellStyle name="输入 2 6 2 3 2 2" xfId="17042"/>
    <cellStyle name="输入 2 6 2 4" xfId="8627"/>
    <cellStyle name="输入 2 6 2 4 2" xfId="13892"/>
    <cellStyle name="输入 2 6 2 4 2 2" xfId="16406"/>
    <cellStyle name="输入 2 6 2 5" xfId="11621"/>
    <cellStyle name="输入 2 6 2 5 2" xfId="19499"/>
    <cellStyle name="输入 2 6 3" xfId="6662"/>
    <cellStyle name="输入 2 6 3 2" xfId="9611"/>
    <cellStyle name="输入 2 6 3 2 2" xfId="12347"/>
    <cellStyle name="输入 2 6 3 2 2 2" xfId="16912"/>
    <cellStyle name="输入 2 6 3 3" xfId="9011"/>
    <cellStyle name="输入 2 6 3 3 2" xfId="14235"/>
    <cellStyle name="输入 2 6 3 3 2 2" xfId="18844"/>
    <cellStyle name="输入 2 6 3 4" xfId="12002"/>
    <cellStyle name="输入 2 6 3 4 2" xfId="17130"/>
    <cellStyle name="输入 2 6 4" xfId="9268"/>
    <cellStyle name="输入 2 6 4 2" xfId="12046"/>
    <cellStyle name="输入 2 6 4 2 2" xfId="17102"/>
    <cellStyle name="输入 2 6 5" xfId="8155"/>
    <cellStyle name="输入 2 6 5 2" xfId="13420"/>
    <cellStyle name="输入 2 6 5 2 2" xfId="16670"/>
    <cellStyle name="输入 2 6 6" xfId="11040"/>
    <cellStyle name="输入 2 6 6 2" xfId="17483"/>
    <cellStyle name="输入 2 7" xfId="5864"/>
    <cellStyle name="输入 2 7 2" xfId="6500"/>
    <cellStyle name="输入 2 7 2 2" xfId="9466"/>
    <cellStyle name="输入 2 7 2 2 2" xfId="12185"/>
    <cellStyle name="输入 2 7 2 2 2 2" xfId="16999"/>
    <cellStyle name="输入 2 7 2 3" xfId="8996"/>
    <cellStyle name="输入 2 7 2 3 2" xfId="14225"/>
    <cellStyle name="输入 2 7 2 3 2 2" xfId="18778"/>
    <cellStyle name="输入 2 7 2 4" xfId="11989"/>
    <cellStyle name="输入 2 7 2 4 2" xfId="17904"/>
    <cellStyle name="输入 2 7 3" xfId="9379"/>
    <cellStyle name="输入 2 7 3 2" xfId="12085"/>
    <cellStyle name="输入 2 7 3 2 2" xfId="17918"/>
    <cellStyle name="输入 2 7 4" xfId="8382"/>
    <cellStyle name="输入 2 7 4 2" xfId="13647"/>
    <cellStyle name="输入 2 7 4 2 2" xfId="16554"/>
    <cellStyle name="输入 2 7 5" xfId="11327"/>
    <cellStyle name="输入 2 7 5 2" xfId="17268"/>
    <cellStyle name="输入 2 8" xfId="4016"/>
    <cellStyle name="输入 2 8 2" xfId="6594"/>
    <cellStyle name="输入 2 8 2 2" xfId="9548"/>
    <cellStyle name="输入 2 8 2 2 2" xfId="14449"/>
    <cellStyle name="输入 2 8 2 2 2 2" xfId="16086"/>
    <cellStyle name="输入 2 8 2 3" xfId="12279"/>
    <cellStyle name="输入 2 8 2 3 2" xfId="17758"/>
    <cellStyle name="输入 2 8 3" xfId="8034"/>
    <cellStyle name="输入 2 8 3 2" xfId="13301"/>
    <cellStyle name="输入 2 8 3 2 2" xfId="16741"/>
    <cellStyle name="输入 2 8 4" xfId="10897"/>
    <cellStyle name="输入 2 8 4 2" xfId="18604"/>
    <cellStyle name="输入 2 9" xfId="7822"/>
    <cellStyle name="输入 2 9 2" xfId="13061"/>
    <cellStyle name="输入 2 9 2 2" xfId="19020"/>
    <cellStyle name="输入 3" xfId="392"/>
    <cellStyle name="输入 3 2" xfId="414"/>
    <cellStyle name="输入 3 2 2" xfId="5181"/>
    <cellStyle name="输入 3 2 2 2" xfId="6157"/>
    <cellStyle name="输入 3 2 2 2 2" xfId="6555"/>
    <cellStyle name="输入 3 2 2 2 2 2" xfId="9515"/>
    <cellStyle name="输入 3 2 2 2 2 2 2" xfId="14416"/>
    <cellStyle name="输入 3 2 2 2 2 2 2 2" xfId="16107"/>
    <cellStyle name="输入 3 2 2 2 2 3" xfId="12240"/>
    <cellStyle name="输入 3 2 2 2 2 3 2" xfId="17911"/>
    <cellStyle name="输入 3 2 2 2 3" xfId="8626"/>
    <cellStyle name="输入 3 2 2 2 3 2" xfId="13891"/>
    <cellStyle name="输入 3 2 2 2 3 2 2" xfId="16407"/>
    <cellStyle name="输入 3 2 2 2 4" xfId="11620"/>
    <cellStyle name="输入 3 2 2 2 4 2" xfId="17254"/>
    <cellStyle name="输入 3 2 2 3" xfId="6606"/>
    <cellStyle name="输入 3 2 2 3 2" xfId="9558"/>
    <cellStyle name="输入 3 2 2 3 2 2" xfId="14459"/>
    <cellStyle name="输入 3 2 2 3 2 2 2" xfId="16080"/>
    <cellStyle name="输入 3 2 2 3 3" xfId="12291"/>
    <cellStyle name="输入 3 2 2 3 3 2" xfId="17944"/>
    <cellStyle name="输入 3 2 2 4" xfId="8154"/>
    <cellStyle name="输入 3 2 2 4 2" xfId="13419"/>
    <cellStyle name="输入 3 2 2 4 2 2" xfId="16671"/>
    <cellStyle name="输入 3 2 2 5" xfId="11039"/>
    <cellStyle name="输入 3 2 2 5 2" xfId="17863"/>
    <cellStyle name="输入 3 2 3" xfId="6059"/>
    <cellStyle name="输入 3 2 3 2" xfId="6991"/>
    <cellStyle name="输入 3 2 3 2 2" xfId="9831"/>
    <cellStyle name="输入 3 2 3 2 2 2" xfId="14708"/>
    <cellStyle name="输入 3 2 3 2 2 2 2" xfId="18659"/>
    <cellStyle name="输入 3 2 3 2 3" xfId="12675"/>
    <cellStyle name="输入 3 2 3 2 3 2" xfId="18950"/>
    <cellStyle name="输入 3 2 3 3" xfId="8542"/>
    <cellStyle name="输入 3 2 3 3 2" xfId="13807"/>
    <cellStyle name="输入 3 2 3 3 2 2" xfId="17788"/>
    <cellStyle name="输入 3 2 3 4" xfId="11522"/>
    <cellStyle name="输入 3 2 3 4 2" xfId="18994"/>
    <cellStyle name="输入 3 2 4" xfId="4021"/>
    <cellStyle name="输入 3 2 4 2" xfId="7078"/>
    <cellStyle name="输入 3 2 4 2 2" xfId="9887"/>
    <cellStyle name="输入 3 2 4 2 2 2" xfId="14760"/>
    <cellStyle name="输入 3 2 4 2 2 2 2" xfId="18835"/>
    <cellStyle name="输入 3 2 4 2 3" xfId="12762"/>
    <cellStyle name="输入 3 2 4 2 3 2" xfId="19951"/>
    <cellStyle name="输入 3 2 4 3" xfId="8039"/>
    <cellStyle name="输入 3 2 4 3 2" xfId="13306"/>
    <cellStyle name="输入 3 2 4 3 2 2" xfId="16736"/>
    <cellStyle name="输入 3 2 4 4" xfId="10902"/>
    <cellStyle name="输入 3 2 4 4 2" xfId="17586"/>
    <cellStyle name="输入 3 2 5" xfId="6496"/>
    <cellStyle name="输入 3 2 5 2" xfId="9462"/>
    <cellStyle name="输入 3 2 5 2 2" xfId="14365"/>
    <cellStyle name="输入 3 2 5 2 2 2" xfId="18150"/>
    <cellStyle name="输入 3 2 5 3" xfId="12181"/>
    <cellStyle name="输入 3 2 5 3 2" xfId="17003"/>
    <cellStyle name="输入 3 2 6" xfId="7848"/>
    <cellStyle name="输入 3 2 6 2" xfId="13087"/>
    <cellStyle name="输入 3 2 6 2 2" xfId="15366"/>
    <cellStyle name="输入 3 2 7" xfId="10665"/>
    <cellStyle name="输入 3 2 7 2" xfId="19607"/>
    <cellStyle name="输入 3 3" xfId="5130"/>
    <cellStyle name="输入 3 3 2" xfId="6106"/>
    <cellStyle name="输入 3 3 2 2" xfId="6511"/>
    <cellStyle name="输入 3 3 2 2 2" xfId="9477"/>
    <cellStyle name="输入 3 3 2 2 2 2" xfId="14379"/>
    <cellStyle name="输入 3 3 2 2 2 2 2" xfId="16129"/>
    <cellStyle name="输入 3 3 2 2 3" xfId="12196"/>
    <cellStyle name="输入 3 3 2 2 3 2" xfId="16993"/>
    <cellStyle name="输入 3 3 2 3" xfId="8577"/>
    <cellStyle name="输入 3 3 2 3 2" xfId="13842"/>
    <cellStyle name="输入 3 3 2 3 2 2" xfId="15497"/>
    <cellStyle name="输入 3 3 2 4" xfId="11569"/>
    <cellStyle name="输入 3 3 2 4 2" xfId="19342"/>
    <cellStyle name="输入 3 3 3" xfId="6721"/>
    <cellStyle name="输入 3 3 3 2" xfId="9657"/>
    <cellStyle name="输入 3 3 3 2 2" xfId="14554"/>
    <cellStyle name="输入 3 3 3 2 2 2" xfId="16022"/>
    <cellStyle name="输入 3 3 3 3" xfId="12405"/>
    <cellStyle name="输入 3 3 3 3 2" xfId="16884"/>
    <cellStyle name="输入 3 3 4" xfId="8105"/>
    <cellStyle name="输入 3 3 4 2" xfId="13370"/>
    <cellStyle name="输入 3 3 4 2 2" xfId="18803"/>
    <cellStyle name="输入 3 3 5" xfId="10988"/>
    <cellStyle name="输入 3 3 5 2" xfId="18329"/>
    <cellStyle name="输入 3 4" xfId="5957"/>
    <cellStyle name="输入 3 4 2" xfId="6509"/>
    <cellStyle name="输入 3 4 2 2" xfId="9475"/>
    <cellStyle name="输入 3 4 2 2 2" xfId="14377"/>
    <cellStyle name="输入 3 4 2 2 2 2" xfId="16131"/>
    <cellStyle name="输入 3 4 2 3" xfId="12194"/>
    <cellStyle name="输入 3 4 2 3 2" xfId="16995"/>
    <cellStyle name="输入 3 4 3" xfId="8453"/>
    <cellStyle name="输入 3 4 3 2" xfId="13718"/>
    <cellStyle name="输入 3 4 3 2 2" xfId="18487"/>
    <cellStyle name="输入 3 4 4" xfId="11420"/>
    <cellStyle name="输入 3 4 4 2" xfId="19562"/>
    <cellStyle name="输入 3 5" xfId="4020"/>
    <cellStyle name="输入 3 5 2" xfId="6674"/>
    <cellStyle name="输入 3 5 2 2" xfId="9623"/>
    <cellStyle name="输入 3 5 2 2 2" xfId="14521"/>
    <cellStyle name="输入 3 5 2 2 2 2" xfId="18135"/>
    <cellStyle name="输入 3 5 2 3" xfId="12359"/>
    <cellStyle name="输入 3 5 2 3 2" xfId="17915"/>
    <cellStyle name="输入 3 5 3" xfId="8038"/>
    <cellStyle name="输入 3 5 3 2" xfId="13305"/>
    <cellStyle name="输入 3 5 3 2 2" xfId="16737"/>
    <cellStyle name="输入 3 5 4" xfId="10901"/>
    <cellStyle name="输入 3 5 4 2" xfId="17587"/>
    <cellStyle name="输入 3 6" xfId="6711"/>
    <cellStyle name="输入 3 6 2" xfId="9647"/>
    <cellStyle name="输入 3 6 2 2" xfId="14544"/>
    <cellStyle name="输入 3 6 2 2 2" xfId="16032"/>
    <cellStyle name="输入 3 6 3" xfId="12395"/>
    <cellStyle name="输入 3 6 3 2" xfId="17961"/>
    <cellStyle name="输入 3 7" xfId="7831"/>
    <cellStyle name="输入 3 7 2" xfId="13070"/>
    <cellStyle name="输入 3 7 2 2" xfId="19530"/>
    <cellStyle name="输入 3 8" xfId="10648"/>
    <cellStyle name="输入 3 8 2" xfId="19908"/>
    <cellStyle name="输入 4" xfId="403"/>
    <cellStyle name="输入 4 2" xfId="5180"/>
    <cellStyle name="输入 4 2 2" xfId="6156"/>
    <cellStyle name="输入 4 2 2 2" xfId="7654"/>
    <cellStyle name="输入 4 2 2 2 2" xfId="7809"/>
    <cellStyle name="输入 4 2 2 2 2 2" xfId="10174"/>
    <cellStyle name="输入 4 2 2 2 2 2 2" xfId="13048"/>
    <cellStyle name="输入 4 2 2 2 2 2 2 2" xfId="19769"/>
    <cellStyle name="输入 4 2 2 2 2 3" xfId="9421"/>
    <cellStyle name="输入 4 2 2 2 2 3 2" xfId="14331"/>
    <cellStyle name="输入 4 2 2 2 2 3 2 2" xfId="15484"/>
    <cellStyle name="输入 4 2 2 2 2 4" xfId="12127"/>
    <cellStyle name="输入 4 2 2 2 2 4 2" xfId="17043"/>
    <cellStyle name="输入 4 2 2 2 3" xfId="8977"/>
    <cellStyle name="输入 4 2 2 2 3 2" xfId="14216"/>
    <cellStyle name="输入 4 2 2 2 3 2 2" xfId="18221"/>
    <cellStyle name="输入 4 2 2 2 4" xfId="11979"/>
    <cellStyle name="输入 4 2 2 2 4 2" xfId="17146"/>
    <cellStyle name="输入 4 2 2 3" xfId="6974"/>
    <cellStyle name="输入 4 2 2 3 2" xfId="9817"/>
    <cellStyle name="输入 4 2 2 3 2 2" xfId="14697"/>
    <cellStyle name="输入 4 2 2 3 2 2 2" xfId="15921"/>
    <cellStyle name="输入 4 2 2 3 3" xfId="12658"/>
    <cellStyle name="输入 4 2 2 3 3 2" xfId="18807"/>
    <cellStyle name="输入 4 2 2 4" xfId="8625"/>
    <cellStyle name="输入 4 2 2 4 2" xfId="13890"/>
    <cellStyle name="输入 4 2 2 4 2 2" xfId="16408"/>
    <cellStyle name="输入 4 2 2 5" xfId="11619"/>
    <cellStyle name="输入 4 2 2 5 2" xfId="17255"/>
    <cellStyle name="输入 4 2 3" xfId="7510"/>
    <cellStyle name="输入 4 2 3 2" xfId="7777"/>
    <cellStyle name="输入 4 2 3 2 2" xfId="10142"/>
    <cellStyle name="输入 4 2 3 2 2 2" xfId="13016"/>
    <cellStyle name="输入 4 2 3 2 2 2 2" xfId="19686"/>
    <cellStyle name="输入 4 2 3 2 3" xfId="9267"/>
    <cellStyle name="输入 4 2 3 2 3 2" xfId="14269"/>
    <cellStyle name="输入 4 2 3 2 3 2 2" xfId="17796"/>
    <cellStyle name="输入 4 2 3 2 4" xfId="12045"/>
    <cellStyle name="输入 4 2 3 2 4 2" xfId="17930"/>
    <cellStyle name="输入 4 2 3 3" xfId="8908"/>
    <cellStyle name="输入 4 2 3 3 2" xfId="14147"/>
    <cellStyle name="输入 4 2 3 3 2 2" xfId="16251"/>
    <cellStyle name="输入 4 2 3 4" xfId="11907"/>
    <cellStyle name="输入 4 2 3 4 2" xfId="17192"/>
    <cellStyle name="输入 4 2 4" xfId="7003"/>
    <cellStyle name="输入 4 2 4 2" xfId="9837"/>
    <cellStyle name="输入 4 2 4 2 2" xfId="14713"/>
    <cellStyle name="输入 4 2 4 2 2 2" xfId="15911"/>
    <cellStyle name="输入 4 2 4 3" xfId="12687"/>
    <cellStyle name="输入 4 2 4 3 2" xfId="19898"/>
    <cellStyle name="输入 4 2 5" xfId="8153"/>
    <cellStyle name="输入 4 2 5 2" xfId="13418"/>
    <cellStyle name="输入 4 2 5 2 2" xfId="18701"/>
    <cellStyle name="输入 4 2 6" xfId="11038"/>
    <cellStyle name="输入 4 2 6 2" xfId="17480"/>
    <cellStyle name="输入 4 3" xfId="6003"/>
    <cellStyle name="输入 4 3 2" xfId="7633"/>
    <cellStyle name="输入 4 3 2 2" xfId="7799"/>
    <cellStyle name="输入 4 3 2 2 2" xfId="10164"/>
    <cellStyle name="输入 4 3 2 2 2 2" xfId="13038"/>
    <cellStyle name="输入 4 3 2 2 2 2 2" xfId="19529"/>
    <cellStyle name="输入 4 3 2 2 3" xfId="9399"/>
    <cellStyle name="输入 4 3 2 2 3 2" xfId="14313"/>
    <cellStyle name="输入 4 3 2 2 3 2 2" xfId="16166"/>
    <cellStyle name="输入 4 3 2 2 4" xfId="12105"/>
    <cellStyle name="输入 4 3 2 2 4 2" xfId="17065"/>
    <cellStyle name="输入 4 3 2 3" xfId="8956"/>
    <cellStyle name="输入 4 3 2 3 2" xfId="14195"/>
    <cellStyle name="输入 4 3 2 3 2 2" xfId="18960"/>
    <cellStyle name="输入 4 3 2 4" xfId="11958"/>
    <cellStyle name="输入 4 3 2 4 2" xfId="17158"/>
    <cellStyle name="输入 4 3 3" xfId="6725"/>
    <cellStyle name="输入 4 3 3 2" xfId="9659"/>
    <cellStyle name="输入 4 3 3 2 2" xfId="14556"/>
    <cellStyle name="输入 4 3 3 2 2 2" xfId="18044"/>
    <cellStyle name="输入 4 3 3 3" xfId="12409"/>
    <cellStyle name="输入 4 3 3 3 2" xfId="16882"/>
    <cellStyle name="输入 4 3 4" xfId="8498"/>
    <cellStyle name="输入 4 3 4 2" xfId="13763"/>
    <cellStyle name="输入 4 3 4 2 2" xfId="16486"/>
    <cellStyle name="输入 4 3 5" xfId="11466"/>
    <cellStyle name="输入 4 3 5 2" xfId="19409"/>
    <cellStyle name="输入 4 4" xfId="4022"/>
    <cellStyle name="输入 4 4 2" xfId="7401"/>
    <cellStyle name="输入 4 4 2 2" xfId="7765"/>
    <cellStyle name="输入 4 4 2 2 2" xfId="10130"/>
    <cellStyle name="输入 4 4 2 2 2 2" xfId="14955"/>
    <cellStyle name="输入 4 4 2 2 2 2 2" xfId="17823"/>
    <cellStyle name="输入 4 4 2 2 3" xfId="13004"/>
    <cellStyle name="输入 4 4 2 2 3 2" xfId="19105"/>
    <cellStyle name="输入 4 4 2 3" xfId="8879"/>
    <cellStyle name="输入 4 4 2 3 2" xfId="14118"/>
    <cellStyle name="输入 4 4 2 3 2 2" xfId="16265"/>
    <cellStyle name="输入 4 4 2 4" xfId="11878"/>
    <cellStyle name="输入 4 4 2 4 2" xfId="17206"/>
    <cellStyle name="输入 4 4 3" xfId="6670"/>
    <cellStyle name="输入 4 4 3 2" xfId="9619"/>
    <cellStyle name="输入 4 4 3 2 2" xfId="12355"/>
    <cellStyle name="输入 4 4 3 2 2 2" xfId="17956"/>
    <cellStyle name="输入 4 4 3 3" xfId="9157"/>
    <cellStyle name="输入 4 4 3 3 2" xfId="14245"/>
    <cellStyle name="输入 4 4 3 3 2 2" xfId="18220"/>
    <cellStyle name="输入 4 4 3 4" xfId="12015"/>
    <cellStyle name="输入 4 4 3 4 2" xfId="17117"/>
    <cellStyle name="输入 4 4 4" xfId="8040"/>
    <cellStyle name="输入 4 4 4 2" xfId="13095"/>
    <cellStyle name="输入 4 4 4 2 2" xfId="19571"/>
    <cellStyle name="输入 4 4 5" xfId="10903"/>
    <cellStyle name="输入 4 4 5 2" xfId="17585"/>
    <cellStyle name="输入 4 5" xfId="6708"/>
    <cellStyle name="输入 4 5 2" xfId="9644"/>
    <cellStyle name="输入 4 5 2 2" xfId="14541"/>
    <cellStyle name="输入 4 5 2 2 2" xfId="18133"/>
    <cellStyle name="输入 4 5 3" xfId="12392"/>
    <cellStyle name="输入 4 5 3 2" xfId="16890"/>
    <cellStyle name="输入 4 6" xfId="7837"/>
    <cellStyle name="输入 4 6 2" xfId="13076"/>
    <cellStyle name="输入 4 6 2 2" xfId="19108"/>
    <cellStyle name="输入 4 7" xfId="10654"/>
    <cellStyle name="输入 4 7 2" xfId="19508"/>
    <cellStyle name="输入 5" xfId="4023"/>
    <cellStyle name="输入 5 2" xfId="5129"/>
    <cellStyle name="输入 5 2 2" xfId="6105"/>
    <cellStyle name="输入 5 2 2 2" xfId="7644"/>
    <cellStyle name="输入 5 2 2 2 2" xfId="7805"/>
    <cellStyle name="输入 5 2 2 2 2 2" xfId="10170"/>
    <cellStyle name="输入 5 2 2 2 2 2 2" xfId="13044"/>
    <cellStyle name="输入 5 2 2 2 2 2 2 2" xfId="19040"/>
    <cellStyle name="输入 5 2 2 2 2 3" xfId="9410"/>
    <cellStyle name="输入 5 2 2 2 2 3 2" xfId="14322"/>
    <cellStyle name="输入 5 2 2 2 2 3 2 2" xfId="16161"/>
    <cellStyle name="输入 5 2 2 2 2 4" xfId="12116"/>
    <cellStyle name="输入 5 2 2 2 2 4 2" xfId="17054"/>
    <cellStyle name="输入 5 2 2 2 3" xfId="8967"/>
    <cellStyle name="输入 5 2 2 2 3 2" xfId="14206"/>
    <cellStyle name="输入 5 2 2 2 3 2 2" xfId="18847"/>
    <cellStyle name="输入 5 2 2 2 4" xfId="11969"/>
    <cellStyle name="输入 5 2 2 2 4 2" xfId="17868"/>
    <cellStyle name="输入 5 2 2 3" xfId="7671"/>
    <cellStyle name="输入 5 2 2 3 2" xfId="10069"/>
    <cellStyle name="输入 5 2 2 3 2 2" xfId="14913"/>
    <cellStyle name="输入 5 2 2 3 2 2 2" xfId="18933"/>
    <cellStyle name="输入 5 2 2 3 3" xfId="12948"/>
    <cellStyle name="输入 5 2 2 3 3 2" xfId="18582"/>
    <cellStyle name="输入 5 2 2 4" xfId="8576"/>
    <cellStyle name="输入 5 2 2 4 2" xfId="13841"/>
    <cellStyle name="输入 5 2 2 4 2 2" xfId="16441"/>
    <cellStyle name="输入 5 2 2 5" xfId="11568"/>
    <cellStyle name="输入 5 2 2 5 2" xfId="19963"/>
    <cellStyle name="输入 5 2 3" xfId="7500"/>
    <cellStyle name="输入 5 2 3 2" xfId="7773"/>
    <cellStyle name="输入 5 2 3 2 2" xfId="10138"/>
    <cellStyle name="输入 5 2 3 2 2 2" xfId="13012"/>
    <cellStyle name="输入 5 2 3 2 2 2 2" xfId="18543"/>
    <cellStyle name="输入 5 2 3 2 3" xfId="9256"/>
    <cellStyle name="输入 5 2 3 2 3 2" xfId="14260"/>
    <cellStyle name="输入 5 2 3 2 3 2 2" xfId="17795"/>
    <cellStyle name="输入 5 2 3 2 4" xfId="12034"/>
    <cellStyle name="输入 5 2 3 2 4 2" xfId="17107"/>
    <cellStyle name="输入 5 2 3 3" xfId="8898"/>
    <cellStyle name="输入 5 2 3 3 2" xfId="14137"/>
    <cellStyle name="输入 5 2 3 3 2 2" xfId="18962"/>
    <cellStyle name="输入 5 2 3 4" xfId="11897"/>
    <cellStyle name="输入 5 2 3 4 2" xfId="17196"/>
    <cellStyle name="输入 5 2 4" xfId="6755"/>
    <cellStyle name="输入 5 2 4 2" xfId="9672"/>
    <cellStyle name="输入 5 2 4 2 2" xfId="14569"/>
    <cellStyle name="输入 5 2 4 2 2 2" xfId="16011"/>
    <cellStyle name="输入 5 2 4 3" xfId="12439"/>
    <cellStyle name="输入 5 2 4 3 2" xfId="19064"/>
    <cellStyle name="输入 5 2 5" xfId="8104"/>
    <cellStyle name="输入 5 2 5 2" xfId="13369"/>
    <cellStyle name="输入 5 2 5 2 2" xfId="18984"/>
    <cellStyle name="输入 5 2 6" xfId="10987"/>
    <cellStyle name="输入 5 2 6 2" xfId="18598"/>
    <cellStyle name="输入 5 3" xfId="5960"/>
    <cellStyle name="输入 5 3 2" xfId="7626"/>
    <cellStyle name="输入 5 3 2 2" xfId="7795"/>
    <cellStyle name="输入 5 3 2 2 2" xfId="10160"/>
    <cellStyle name="输入 5 3 2 2 2 2" xfId="13034"/>
    <cellStyle name="输入 5 3 2 2 2 2 2" xfId="20022"/>
    <cellStyle name="输入 5 3 2 2 3" xfId="9389"/>
    <cellStyle name="输入 5 3 2 2 3 2" xfId="14307"/>
    <cellStyle name="输入 5 3 2 2 3 2 2" xfId="18467"/>
    <cellStyle name="输入 5 3 2 2 4" xfId="12095"/>
    <cellStyle name="输入 5 3 2 2 4 2" xfId="17069"/>
    <cellStyle name="输入 5 3 2 3" xfId="8949"/>
    <cellStyle name="输入 5 3 2 3 2" xfId="14188"/>
    <cellStyle name="输入 5 3 2 3 2 2" xfId="16232"/>
    <cellStyle name="输入 5 3 2 4" xfId="11951"/>
    <cellStyle name="输入 5 3 2 4 2" xfId="17165"/>
    <cellStyle name="输入 5 3 3" xfId="6841"/>
    <cellStyle name="输入 5 3 3 2" xfId="9722"/>
    <cellStyle name="输入 5 3 3 2 2" xfId="14613"/>
    <cellStyle name="输入 5 3 3 2 2 2" xfId="15977"/>
    <cellStyle name="输入 5 3 3 3" xfId="12525"/>
    <cellStyle name="输入 5 3 3 3 2" xfId="19873"/>
    <cellStyle name="输入 5 3 4" xfId="8456"/>
    <cellStyle name="输入 5 3 4 2" xfId="13721"/>
    <cellStyle name="输入 5 3 4 2 2" xfId="16513"/>
    <cellStyle name="输入 5 3 5" xfId="11423"/>
    <cellStyle name="输入 5 3 5 2" xfId="19668"/>
    <cellStyle name="输入 5 4" xfId="7402"/>
    <cellStyle name="输入 5 4 2" xfId="7766"/>
    <cellStyle name="输入 5 4 2 2" xfId="10131"/>
    <cellStyle name="输入 5 4 2 2 2" xfId="13005"/>
    <cellStyle name="输入 5 4 2 2 2 2" xfId="19576"/>
    <cellStyle name="输入 5 4 2 3" xfId="9158"/>
    <cellStyle name="输入 5 4 2 3 2" xfId="14246"/>
    <cellStyle name="输入 5 4 2 3 2 2" xfId="16204"/>
    <cellStyle name="输入 5 4 2 4" xfId="12016"/>
    <cellStyle name="输入 5 4 2 4 2" xfId="17116"/>
    <cellStyle name="输入 5 4 3" xfId="8880"/>
    <cellStyle name="输入 5 4 3 2" xfId="14119"/>
    <cellStyle name="输入 5 4 3 2 2" xfId="18856"/>
    <cellStyle name="输入 5 4 4" xfId="11879"/>
    <cellStyle name="输入 5 4 4 2" xfId="17205"/>
    <cellStyle name="输入 5 5" xfId="6757"/>
    <cellStyle name="输入 5 5 2" xfId="9674"/>
    <cellStyle name="输入 5 5 2 2" xfId="14571"/>
    <cellStyle name="输入 5 5 2 2 2" xfId="16009"/>
    <cellStyle name="输入 5 5 3" xfId="12441"/>
    <cellStyle name="输入 5 5 3 2" xfId="18414"/>
    <cellStyle name="输入 5 6" xfId="8041"/>
    <cellStyle name="输入 5 6 2" xfId="13307"/>
    <cellStyle name="输入 5 6 2 2" xfId="16735"/>
    <cellStyle name="输入 5 7" xfId="10904"/>
    <cellStyle name="输入 5 7 2" xfId="17584"/>
    <cellStyle name="输入 6" xfId="4024"/>
    <cellStyle name="输入 6 2" xfId="5128"/>
    <cellStyle name="输入 6 2 2" xfId="6104"/>
    <cellStyle name="输入 6 2 2 2" xfId="6635"/>
    <cellStyle name="输入 6 2 2 2 2" xfId="9584"/>
    <cellStyle name="输入 6 2 2 2 2 2" xfId="14484"/>
    <cellStyle name="输入 6 2 2 2 2 2 2" xfId="16068"/>
    <cellStyle name="输入 6 2 2 2 3" xfId="12320"/>
    <cellStyle name="输入 6 2 2 2 3 2" xfId="17859"/>
    <cellStyle name="输入 6 2 2 3" xfId="8575"/>
    <cellStyle name="输入 6 2 2 3 2" xfId="13840"/>
    <cellStyle name="输入 6 2 2 3 2 2" xfId="16442"/>
    <cellStyle name="输入 6 2 2 4" xfId="11567"/>
    <cellStyle name="输入 6 2 2 4 2" xfId="19661"/>
    <cellStyle name="输入 6 2 3" xfId="6525"/>
    <cellStyle name="输入 6 2 3 2" xfId="9491"/>
    <cellStyle name="输入 6 2 3 2 2" xfId="14393"/>
    <cellStyle name="输入 6 2 3 2 2 2" xfId="16114"/>
    <cellStyle name="输入 6 2 3 3" xfId="12210"/>
    <cellStyle name="输入 6 2 3 3 2" xfId="18006"/>
    <cellStyle name="输入 6 2 4" xfId="8103"/>
    <cellStyle name="输入 6 2 4 2" xfId="13368"/>
    <cellStyle name="输入 6 2 4 2 2" xfId="16698"/>
    <cellStyle name="输入 6 2 5" xfId="10986"/>
    <cellStyle name="输入 6 2 5 2" xfId="18621"/>
    <cellStyle name="输入 6 3" xfId="5959"/>
    <cellStyle name="输入 6 3 2" xfId="7068"/>
    <cellStyle name="输入 6 3 2 2" xfId="9882"/>
    <cellStyle name="输入 6 3 2 2 2" xfId="14755"/>
    <cellStyle name="输入 6 3 2 2 2 2" xfId="18836"/>
    <cellStyle name="输入 6 3 2 3" xfId="12752"/>
    <cellStyle name="输入 6 3 2 3 2" xfId="19792"/>
    <cellStyle name="输入 6 3 3" xfId="8455"/>
    <cellStyle name="输入 6 3 3 2" xfId="13720"/>
    <cellStyle name="输入 6 3 3 2 2" xfId="17780"/>
    <cellStyle name="输入 6 3 4" xfId="11422"/>
    <cellStyle name="输入 6 3 4 2" xfId="19247"/>
    <cellStyle name="输入 6 4" xfId="6482"/>
    <cellStyle name="输入 6 4 2" xfId="9454"/>
    <cellStyle name="输入 6 4 2 2" xfId="14358"/>
    <cellStyle name="输入 6 4 2 2 2" xfId="16142"/>
    <cellStyle name="输入 6 4 3" xfId="12167"/>
    <cellStyle name="输入 6 4 3 2" xfId="15360"/>
    <cellStyle name="输入 6 5" xfId="8042"/>
    <cellStyle name="输入 6 5 2" xfId="13308"/>
    <cellStyle name="输入 6 5 2 2" xfId="16734"/>
    <cellStyle name="输入 6 6" xfId="10905"/>
    <cellStyle name="输入 6 6 2" xfId="17583"/>
    <cellStyle name="输入 7" xfId="4025"/>
    <cellStyle name="输入 7 2" xfId="5127"/>
    <cellStyle name="输入 7 2 2" xfId="6103"/>
    <cellStyle name="输入 7 2 2 2" xfId="6752"/>
    <cellStyle name="输入 7 2 2 2 2" xfId="9669"/>
    <cellStyle name="输入 7 2 2 2 2 2" xfId="14566"/>
    <cellStyle name="输入 7 2 2 2 2 2 2" xfId="16014"/>
    <cellStyle name="输入 7 2 2 2 3" xfId="12436"/>
    <cellStyle name="输入 7 2 2 2 3 2" xfId="19713"/>
    <cellStyle name="输入 7 2 2 3" xfId="8574"/>
    <cellStyle name="输入 7 2 2 3 2" xfId="13839"/>
    <cellStyle name="输入 7 2 2 3 2 2" xfId="16443"/>
    <cellStyle name="输入 7 2 2 4" xfId="11566"/>
    <cellStyle name="输入 7 2 2 4 2" xfId="19272"/>
    <cellStyle name="输入 7 2 3" xfId="6466"/>
    <cellStyle name="输入 7 2 3 2" xfId="9443"/>
    <cellStyle name="输入 7 2 3 2 2" xfId="14348"/>
    <cellStyle name="输入 7 2 3 2 2 2" xfId="16148"/>
    <cellStyle name="输入 7 2 3 3" xfId="12151"/>
    <cellStyle name="输入 7 2 3 3 2" xfId="18725"/>
    <cellStyle name="输入 7 2 4" xfId="8102"/>
    <cellStyle name="输入 7 2 4 2" xfId="13367"/>
    <cellStyle name="输入 7 2 4 2 2" xfId="16699"/>
    <cellStyle name="输入 7 2 5" xfId="10985"/>
    <cellStyle name="输入 7 2 5 2" xfId="17519"/>
    <cellStyle name="输入 7 3" xfId="5958"/>
    <cellStyle name="输入 7 3 2" xfId="6488"/>
    <cellStyle name="输入 7 3 2 2" xfId="9456"/>
    <cellStyle name="输入 7 3 2 2 2" xfId="14360"/>
    <cellStyle name="输入 7 3 2 2 2 2" xfId="16140"/>
    <cellStyle name="输入 7 3 2 3" xfId="12173"/>
    <cellStyle name="输入 7 3 2 3 2" xfId="17011"/>
    <cellStyle name="输入 7 3 3" xfId="8454"/>
    <cellStyle name="输入 7 3 3 2" xfId="13719"/>
    <cellStyle name="输入 7 3 3 2 2" xfId="18175"/>
    <cellStyle name="输入 7 3 4" xfId="11421"/>
    <cellStyle name="输入 7 3 4 2" xfId="19867"/>
    <cellStyle name="输入 7 4" xfId="6927"/>
    <cellStyle name="输入 7 4 2" xfId="9782"/>
    <cellStyle name="输入 7 4 2 2" xfId="14668"/>
    <cellStyle name="输入 7 4 2 2 2" xfId="15937"/>
    <cellStyle name="输入 7 4 3" xfId="12611"/>
    <cellStyle name="输入 7 4 3 2" xfId="19768"/>
    <cellStyle name="输入 7 5" xfId="8043"/>
    <cellStyle name="输入 7 5 2" xfId="13309"/>
    <cellStyle name="输入 7 5 2 2" xfId="15374"/>
    <cellStyle name="输入 7 6" xfId="10906"/>
    <cellStyle name="输入 7 6 2" xfId="17582"/>
    <cellStyle name="输入 8" xfId="4026"/>
    <cellStyle name="输入 8 2" xfId="5126"/>
    <cellStyle name="输入 8 2 2" xfId="6102"/>
    <cellStyle name="输入 8 2 2 2" xfId="7643"/>
    <cellStyle name="输入 8 2 2 2 2" xfId="7804"/>
    <cellStyle name="输入 8 2 2 2 2 2" xfId="10169"/>
    <cellStyle name="输入 8 2 2 2 2 2 2" xfId="13043"/>
    <cellStyle name="输入 8 2 2 2 2 2 2 2" xfId="19370"/>
    <cellStyle name="输入 8 2 2 2 2 3" xfId="9409"/>
    <cellStyle name="输入 8 2 2 2 2 3 2" xfId="14321"/>
    <cellStyle name="输入 8 2 2 2 2 3 2 2" xfId="16162"/>
    <cellStyle name="输入 8 2 2 2 2 4" xfId="12115"/>
    <cellStyle name="输入 8 2 2 2 2 4 2" xfId="17055"/>
    <cellStyle name="输入 8 2 2 2 3" xfId="8966"/>
    <cellStyle name="输入 8 2 2 2 3 2" xfId="14205"/>
    <cellStyle name="输入 8 2 2 2 3 2 2" xfId="16223"/>
    <cellStyle name="输入 8 2 2 2 4" xfId="11968"/>
    <cellStyle name="输入 8 2 2 2 4 2" xfId="17150"/>
    <cellStyle name="输入 8 2 2 3" xfId="6490"/>
    <cellStyle name="输入 8 2 2 3 2" xfId="9457"/>
    <cellStyle name="输入 8 2 2 3 2 2" xfId="14361"/>
    <cellStyle name="输入 8 2 2 3 2 2 2" xfId="16139"/>
    <cellStyle name="输入 8 2 2 3 3" xfId="12175"/>
    <cellStyle name="输入 8 2 2 3 3 2" xfId="17009"/>
    <cellStyle name="输入 8 2 2 4" xfId="8573"/>
    <cellStyle name="输入 8 2 2 4 2" xfId="13838"/>
    <cellStyle name="输入 8 2 2 4 2 2" xfId="16444"/>
    <cellStyle name="输入 8 2 2 5" xfId="11565"/>
    <cellStyle name="输入 8 2 2 5 2" xfId="19893"/>
    <cellStyle name="输入 8 2 3" xfId="7499"/>
    <cellStyle name="输入 8 2 3 2" xfId="7772"/>
    <cellStyle name="输入 8 2 3 2 2" xfId="10137"/>
    <cellStyle name="输入 8 2 3 2 2 2" xfId="13011"/>
    <cellStyle name="输入 8 2 3 2 2 2 2" xfId="19030"/>
    <cellStyle name="输入 8 2 3 2 3" xfId="9255"/>
    <cellStyle name="输入 8 2 3 2 3 2" xfId="14259"/>
    <cellStyle name="输入 8 2 3 2 3 2 2" xfId="18160"/>
    <cellStyle name="输入 8 2 3 2 4" xfId="12033"/>
    <cellStyle name="输入 8 2 3 2 4 2" xfId="17108"/>
    <cellStyle name="输入 8 2 3 3" xfId="8897"/>
    <cellStyle name="输入 8 2 3 3 2" xfId="14136"/>
    <cellStyle name="输入 8 2 3 3 2 2" xfId="16255"/>
    <cellStyle name="输入 8 2 3 4" xfId="11896"/>
    <cellStyle name="输入 8 2 3 4 2" xfId="17197"/>
    <cellStyle name="输入 8 2 4" xfId="6915"/>
    <cellStyle name="输入 8 2 4 2" xfId="9775"/>
    <cellStyle name="输入 8 2 4 2 2" xfId="14661"/>
    <cellStyle name="输入 8 2 4 2 2 2" xfId="15944"/>
    <cellStyle name="输入 8 2 4 3" xfId="12599"/>
    <cellStyle name="输入 8 2 4 3 2" xfId="16847"/>
    <cellStyle name="输入 8 2 5" xfId="8101"/>
    <cellStyle name="输入 8 2 5 2" xfId="13366"/>
    <cellStyle name="输入 8 2 5 2 2" xfId="16700"/>
    <cellStyle name="输入 8 2 6" xfId="10984"/>
    <cellStyle name="输入 8 2 6 2" xfId="17520"/>
    <cellStyle name="输入 8 3" xfId="5861"/>
    <cellStyle name="输入 8 3 2" xfId="7617"/>
    <cellStyle name="输入 8 3 2 2" xfId="7792"/>
    <cellStyle name="输入 8 3 2 2 2" xfId="10157"/>
    <cellStyle name="输入 8 3 2 2 2 2" xfId="13031"/>
    <cellStyle name="输入 8 3 2 2 2 2 2" xfId="19874"/>
    <cellStyle name="输入 8 3 2 2 3" xfId="9378"/>
    <cellStyle name="输入 8 3 2 2 3 2" xfId="14299"/>
    <cellStyle name="输入 8 3 2 2 3 2 2" xfId="17799"/>
    <cellStyle name="输入 8 3 2 2 4" xfId="12084"/>
    <cellStyle name="输入 8 3 2 2 4 2" xfId="17078"/>
    <cellStyle name="输入 8 3 2 3" xfId="8941"/>
    <cellStyle name="输入 8 3 2 3 2" xfId="14180"/>
    <cellStyle name="输入 8 3 2 3 2 2" xfId="18849"/>
    <cellStyle name="输入 8 3 2 4" xfId="11942"/>
    <cellStyle name="输入 8 3 2 4 2" xfId="18519"/>
    <cellStyle name="输入 8 3 3" xfId="6922"/>
    <cellStyle name="输入 8 3 3 2" xfId="9780"/>
    <cellStyle name="输入 8 3 3 2 2" xfId="14666"/>
    <cellStyle name="输入 8 3 3 2 2 2" xfId="15939"/>
    <cellStyle name="输入 8 3 3 3" xfId="12606"/>
    <cellStyle name="输入 8 3 3 3 2" xfId="19339"/>
    <cellStyle name="输入 8 3 4" xfId="8379"/>
    <cellStyle name="输入 8 3 4 2" xfId="13644"/>
    <cellStyle name="输入 8 3 4 2 2" xfId="16557"/>
    <cellStyle name="输入 8 3 5" xfId="11324"/>
    <cellStyle name="输入 8 3 5 2" xfId="17271"/>
    <cellStyle name="输入 8 4" xfId="7403"/>
    <cellStyle name="输入 8 4 2" xfId="7767"/>
    <cellStyle name="输入 8 4 2 2" xfId="10132"/>
    <cellStyle name="输入 8 4 2 2 2" xfId="13006"/>
    <cellStyle name="输入 8 4 2 2 2 2" xfId="19881"/>
    <cellStyle name="输入 8 4 2 3" xfId="9159"/>
    <cellStyle name="输入 8 4 2 3 2" xfId="14247"/>
    <cellStyle name="输入 8 4 2 3 2 2" xfId="16203"/>
    <cellStyle name="输入 8 4 2 4" xfId="12017"/>
    <cellStyle name="输入 8 4 2 4 2" xfId="17115"/>
    <cellStyle name="输入 8 4 3" xfId="8881"/>
    <cellStyle name="输入 8 4 3 2" xfId="14120"/>
    <cellStyle name="输入 8 4 3 2 2" xfId="18675"/>
    <cellStyle name="输入 8 4 4" xfId="11880"/>
    <cellStyle name="输入 8 4 4 2" xfId="17204"/>
    <cellStyle name="输入 8 5" xfId="6610"/>
    <cellStyle name="输入 8 5 2" xfId="9562"/>
    <cellStyle name="输入 8 5 2 2" xfId="14463"/>
    <cellStyle name="输入 8 5 2 2 2" xfId="18452"/>
    <cellStyle name="输入 8 5 3" xfId="12295"/>
    <cellStyle name="输入 8 5 3 2" xfId="18508"/>
    <cellStyle name="输入 8 6" xfId="8044"/>
    <cellStyle name="输入 8 6 2" xfId="13310"/>
    <cellStyle name="输入 8 6 2 2" xfId="18083"/>
    <cellStyle name="输入 8 7" xfId="10907"/>
    <cellStyle name="输入 8 7 2" xfId="17581"/>
    <cellStyle name="输入 9" xfId="4027"/>
    <cellStyle name="输入 9 2" xfId="5125"/>
    <cellStyle name="输入 9 2 2" xfId="6101"/>
    <cellStyle name="输入 9 2 2 2" xfId="6556"/>
    <cellStyle name="输入 9 2 2 2 2" xfId="9516"/>
    <cellStyle name="输入 9 2 2 2 2 2" xfId="14417"/>
    <cellStyle name="输入 9 2 2 2 2 2 2" xfId="16106"/>
    <cellStyle name="输入 9 2 2 2 3" xfId="12241"/>
    <cellStyle name="输入 9 2 2 2 3 2" xfId="16963"/>
    <cellStyle name="输入 9 2 2 3" xfId="8572"/>
    <cellStyle name="输入 9 2 2 3 2" xfId="13837"/>
    <cellStyle name="输入 9 2 2 3 2 2" xfId="16445"/>
    <cellStyle name="输入 9 2 2 4" xfId="11564"/>
    <cellStyle name="输入 9 2 2 4 2" xfId="19588"/>
    <cellStyle name="输入 9 2 3" xfId="6667"/>
    <cellStyle name="输入 9 2 3 2" xfId="9616"/>
    <cellStyle name="输入 9 2 3 2 2" xfId="14515"/>
    <cellStyle name="输入 9 2 3 2 2 2" xfId="16049"/>
    <cellStyle name="输入 9 2 3 3" xfId="12352"/>
    <cellStyle name="输入 9 2 3 3 2" xfId="16908"/>
    <cellStyle name="输入 9 2 4" xfId="8100"/>
    <cellStyle name="输入 9 2 4 2" xfId="13365"/>
    <cellStyle name="输入 9 2 4 2 2" xfId="16701"/>
    <cellStyle name="输入 9 2 5" xfId="10983"/>
    <cellStyle name="输入 9 2 5 2" xfId="17521"/>
    <cellStyle name="输入 9 3" xfId="5860"/>
    <cellStyle name="输入 9 3 2" xfId="6510"/>
    <cellStyle name="输入 9 3 2 2" xfId="9476"/>
    <cellStyle name="输入 9 3 2 2 2" xfId="14378"/>
    <cellStyle name="输入 9 3 2 2 2 2" xfId="16130"/>
    <cellStyle name="输入 9 3 2 3" xfId="12195"/>
    <cellStyle name="输入 9 3 2 3 2" xfId="16994"/>
    <cellStyle name="输入 9 3 3" xfId="8378"/>
    <cellStyle name="输入 9 3 3 2" xfId="13643"/>
    <cellStyle name="输入 9 3 3 2 2" xfId="17773"/>
    <cellStyle name="输入 9 3 4" xfId="11323"/>
    <cellStyle name="输入 9 3 4 2" xfId="17272"/>
    <cellStyle name="输入 9 4" xfId="6715"/>
    <cellStyle name="输入 9 4 2" xfId="9651"/>
    <cellStyle name="输入 9 4 2 2" xfId="14548"/>
    <cellStyle name="输入 9 4 2 2 2" xfId="15458"/>
    <cellStyle name="输入 9 4 3" xfId="12399"/>
    <cellStyle name="输入 9 4 3 2" xfId="16885"/>
    <cellStyle name="输入 9 5" xfId="8045"/>
    <cellStyle name="输入 9 5 2" xfId="13311"/>
    <cellStyle name="输入 9 5 2 2" xfId="18907"/>
    <cellStyle name="输入 9 6" xfId="10908"/>
    <cellStyle name="输入 9 6 2" xfId="17580"/>
    <cellStyle name="输出" xfId="115"/>
    <cellStyle name="输出 10" xfId="4029"/>
    <cellStyle name="输出 10 2" xfId="5254"/>
    <cellStyle name="输出 10 2 2" xfId="6230"/>
    <cellStyle name="输出 10 2 2 2" xfId="6451"/>
    <cellStyle name="输出 10 2 2 2 2" xfId="7254"/>
    <cellStyle name="输出 10 2 2 2 2 2" xfId="10059"/>
    <cellStyle name="输出 10 2 2 2 2 2 2" xfId="14903"/>
    <cellStyle name="输出 10 2 2 2 2 2 2 2" xfId="15816"/>
    <cellStyle name="输出 10 2 2 2 2 3" xfId="10377"/>
    <cellStyle name="输出 10 2 2 2 2 3 2" xfId="10627"/>
    <cellStyle name="输出 10 2 2 2 2 3 2 2" xfId="15354"/>
    <cellStyle name="输出 10 2 2 2 2 3 2 2 2" xfId="20094"/>
    <cellStyle name="输出 10 2 2 2 2 3 3" xfId="15154"/>
    <cellStyle name="输出 10 2 2 2 2 3 3 2" xfId="15674"/>
    <cellStyle name="输出 10 2 2 2 2 4" xfId="12938"/>
    <cellStyle name="输出 10 2 2 2 2 4 2" xfId="19992"/>
    <cellStyle name="输出 10 2 2 2 3" xfId="8866"/>
    <cellStyle name="输出 10 2 2 2 3 2" xfId="14105"/>
    <cellStyle name="输出 10 2 2 2 3 2 2" xfId="16271"/>
    <cellStyle name="输出 10 2 2 2 4" xfId="11864"/>
    <cellStyle name="输出 10 2 2 2 4 2" xfId="17881"/>
    <cellStyle name="输出 10 2 2 3" xfId="8695"/>
    <cellStyle name="输出 10 2 2 3 2" xfId="13960"/>
    <cellStyle name="输出 10 2 2 3 2 2" xfId="16356"/>
    <cellStyle name="输出 10 2 2 4" xfId="11693"/>
    <cellStyle name="输出 10 2 2 4 2" xfId="19259"/>
    <cellStyle name="输出 10 2 3" xfId="6362"/>
    <cellStyle name="输出 10 2 3 2" xfId="7165"/>
    <cellStyle name="输出 10 2 3 2 2" xfId="9970"/>
    <cellStyle name="输出 10 2 3 2 2 2" xfId="14832"/>
    <cellStyle name="输出 10 2 3 2 2 2 2" xfId="15850"/>
    <cellStyle name="输出 10 2 3 2 3" xfId="10288"/>
    <cellStyle name="输出 10 2 3 2 3 2" xfId="10538"/>
    <cellStyle name="输出 10 2 3 2 3 2 2" xfId="15265"/>
    <cellStyle name="输出 10 2 3 2 3 2 2 2" xfId="15387"/>
    <cellStyle name="输出 10 2 3 2 3 3" xfId="15065"/>
    <cellStyle name="输出 10 2 3 2 3 3 2" xfId="15729"/>
    <cellStyle name="输出 10 2 3 2 4" xfId="12849"/>
    <cellStyle name="输出 10 2 3 2 4 2" xfId="19965"/>
    <cellStyle name="输出 10 2 3 3" xfId="8777"/>
    <cellStyle name="输出 10 2 3 3 2" xfId="14032"/>
    <cellStyle name="输出 10 2 3 3 2 2" xfId="18973"/>
    <cellStyle name="输出 10 2 3 4" xfId="11775"/>
    <cellStyle name="输出 10 2 3 4 2" xfId="19692"/>
    <cellStyle name="输出 10 2 4" xfId="8223"/>
    <cellStyle name="输出 10 2 4 2" xfId="13488"/>
    <cellStyle name="输出 10 2 4 2 2" xfId="19150"/>
    <cellStyle name="输出 10 2 5" xfId="11112"/>
    <cellStyle name="输出 10 2 5 2" xfId="17420"/>
    <cellStyle name="输出 10 3" xfId="5931"/>
    <cellStyle name="输出 10 3 2" xfId="6400"/>
    <cellStyle name="输出 10 3 2 2" xfId="7203"/>
    <cellStyle name="输出 10 3 2 2 2" xfId="10008"/>
    <cellStyle name="输出 10 3 2 2 2 2" xfId="14863"/>
    <cellStyle name="输出 10 3 2 2 2 2 2" xfId="19137"/>
    <cellStyle name="输出 10 3 2 2 3" xfId="10326"/>
    <cellStyle name="输出 10 3 2 2 3 2" xfId="10576"/>
    <cellStyle name="输出 10 3 2 2 3 2 2" xfId="15303"/>
    <cellStyle name="输出 10 3 2 2 3 2 2 2" xfId="15568"/>
    <cellStyle name="输出 10 3 2 2 3 3" xfId="15103"/>
    <cellStyle name="输出 10 3 2 2 3 3 2" xfId="17838"/>
    <cellStyle name="输出 10 3 2 2 4" xfId="12887"/>
    <cellStyle name="输出 10 3 2 2 4 2" xfId="19482"/>
    <cellStyle name="输出 10 3 2 3" xfId="8815"/>
    <cellStyle name="输出 10 3 2 3 2" xfId="14063"/>
    <cellStyle name="输出 10 3 2 3 2 2" xfId="18862"/>
    <cellStyle name="输出 10 3 2 4" xfId="11813"/>
    <cellStyle name="输出 10 3 2 4 2" xfId="19295"/>
    <cellStyle name="输出 10 3 3" xfId="8433"/>
    <cellStyle name="输出 10 3 3 2" xfId="13698"/>
    <cellStyle name="输出 10 3 3 2 2" xfId="18489"/>
    <cellStyle name="输出 10 3 4" xfId="11394"/>
    <cellStyle name="输出 10 3 4 2" xfId="19552"/>
    <cellStyle name="输出 10 4" xfId="6317"/>
    <cellStyle name="输出 10 4 2" xfId="7120"/>
    <cellStyle name="输出 10 4 2 2" xfId="9925"/>
    <cellStyle name="输出 10 4 2 2 2" xfId="14797"/>
    <cellStyle name="输出 10 4 2 2 2 2" xfId="18932"/>
    <cellStyle name="输出 10 4 2 3" xfId="10243"/>
    <cellStyle name="输出 10 4 2 3 2" xfId="10493"/>
    <cellStyle name="输出 10 4 2 3 2 2" xfId="15220"/>
    <cellStyle name="输出 10 4 2 3 2 2 2" xfId="15632"/>
    <cellStyle name="输出 10 4 2 3 3" xfId="15020"/>
    <cellStyle name="输出 10 4 2 3 3 2" xfId="15754"/>
    <cellStyle name="输出 10 4 2 4" xfId="12804"/>
    <cellStyle name="输出 10 4 2 4 2" xfId="19381"/>
    <cellStyle name="输出 10 4 3" xfId="8732"/>
    <cellStyle name="输出 10 4 3 2" xfId="13996"/>
    <cellStyle name="输出 10 4 3 2 2" xfId="16332"/>
    <cellStyle name="输出 10 4 4" xfId="11730"/>
    <cellStyle name="输出 10 4 4 2" xfId="18308"/>
    <cellStyle name="输出 10 5" xfId="8047"/>
    <cellStyle name="输出 10 5 2" xfId="13313"/>
    <cellStyle name="输出 10 5 2 2" xfId="17987"/>
    <cellStyle name="输出 10 6" xfId="10910"/>
    <cellStyle name="输出 10 6 2" xfId="17578"/>
    <cellStyle name="输出 11" xfId="5179"/>
    <cellStyle name="输出 11 2" xfId="6155"/>
    <cellStyle name="输出 11 2 2" xfId="6442"/>
    <cellStyle name="输出 11 2 2 2" xfId="7653"/>
    <cellStyle name="输出 11 2 2 2 2" xfId="6951"/>
    <cellStyle name="输出 11 2 2 2 2 2" xfId="9800"/>
    <cellStyle name="输出 11 2 2 2 2 2 2" xfId="14682"/>
    <cellStyle name="输出 11 2 2 2 2 2 2 2" xfId="18661"/>
    <cellStyle name="输出 11 2 2 2 2 3" xfId="12635"/>
    <cellStyle name="输出 11 2 2 2 2 3 2" xfId="19633"/>
    <cellStyle name="输出 11 2 2 2 3" xfId="8976"/>
    <cellStyle name="输出 11 2 2 2 3 2" xfId="14215"/>
    <cellStyle name="输出 11 2 2 2 3 2 2" xfId="18756"/>
    <cellStyle name="输出 11 2 2 2 4" xfId="11978"/>
    <cellStyle name="输出 11 2 2 2 4 2" xfId="17941"/>
    <cellStyle name="输出 11 2 2 3" xfId="7245"/>
    <cellStyle name="输出 11 2 2 3 2" xfId="10050"/>
    <cellStyle name="输出 11 2 2 3 2 2" xfId="10368"/>
    <cellStyle name="输出 11 2 2 3 2 2 2" xfId="10618"/>
    <cellStyle name="输出 11 2 2 3 2 2 2 2" xfId="15345"/>
    <cellStyle name="输出 11 2 2 3 2 2 2 2 2" xfId="15371"/>
    <cellStyle name="输出 11 2 2 3 2 2 3" xfId="15145"/>
    <cellStyle name="输出 11 2 2 3 2 2 3 2" xfId="15680"/>
    <cellStyle name="输出 11 2 2 3 2 3" xfId="12929"/>
    <cellStyle name="输出 11 2 2 3 2 3 2" xfId="19724"/>
    <cellStyle name="输出 11 2 2 3 3" xfId="9420"/>
    <cellStyle name="输出 11 2 2 3 3 2" xfId="14330"/>
    <cellStyle name="输出 11 2 2 3 3 2 2" xfId="15485"/>
    <cellStyle name="输出 11 2 2 3 4" xfId="10211"/>
    <cellStyle name="输出 11 2 2 3 4 2" xfId="10461"/>
    <cellStyle name="输出 11 2 2 3 4 2 2" xfId="15188"/>
    <cellStyle name="输出 11 2 2 3 4 2 2 2" xfId="15425"/>
    <cellStyle name="输出 11 2 2 3 4 3" xfId="14988"/>
    <cellStyle name="输出 11 2 2 3 4 3 2" xfId="15775"/>
    <cellStyle name="输出 11 2 2 3 5" xfId="12126"/>
    <cellStyle name="输出 11 2 2 3 5 2" xfId="17044"/>
    <cellStyle name="输出 11 2 2 4" xfId="8857"/>
    <cellStyle name="输出 11 2 2 4 2" xfId="13122"/>
    <cellStyle name="输出 11 2 2 4 2 2" xfId="18738"/>
    <cellStyle name="输出 11 2 2 5" xfId="11855"/>
    <cellStyle name="输出 11 2 2 5 2" xfId="17867"/>
    <cellStyle name="输出 11 2 3" xfId="8624"/>
    <cellStyle name="输出 11 2 3 2" xfId="13889"/>
    <cellStyle name="输出 11 2 3 2 2" xfId="16409"/>
    <cellStyle name="输出 11 2 4" xfId="11618"/>
    <cellStyle name="输出 11 2 4 2" xfId="18251"/>
    <cellStyle name="输出 11 3" xfId="6353"/>
    <cellStyle name="输出 11 3 2" xfId="7509"/>
    <cellStyle name="输出 11 3 2 2" xfId="7053"/>
    <cellStyle name="输出 11 3 2 2 2" xfId="9871"/>
    <cellStyle name="输出 11 3 2 2 2 2" xfId="14745"/>
    <cellStyle name="输出 11 3 2 2 2 2 2" xfId="15895"/>
    <cellStyle name="输出 11 3 2 2 3" xfId="12737"/>
    <cellStyle name="输出 11 3 2 2 3 2" xfId="19716"/>
    <cellStyle name="输出 11 3 2 3" xfId="8907"/>
    <cellStyle name="输出 11 3 2 3 2" xfId="14146"/>
    <cellStyle name="输出 11 3 2 3 2 2" xfId="16252"/>
    <cellStyle name="输出 11 3 2 4" xfId="11906"/>
    <cellStyle name="输出 11 3 2 4 2" xfId="17899"/>
    <cellStyle name="输出 11 3 3" xfId="7156"/>
    <cellStyle name="输出 11 3 3 2" xfId="9961"/>
    <cellStyle name="输出 11 3 3 2 2" xfId="10279"/>
    <cellStyle name="输出 11 3 3 2 2 2" xfId="10529"/>
    <cellStyle name="输出 11 3 3 2 2 2 2" xfId="15256"/>
    <cellStyle name="输出 11 3 3 2 2 2 2 2" xfId="15605"/>
    <cellStyle name="输出 11 3 3 2 2 3" xfId="15056"/>
    <cellStyle name="输出 11 3 3 2 2 3 2" xfId="15734"/>
    <cellStyle name="输出 11 3 3 2 3" xfId="12840"/>
    <cellStyle name="输出 11 3 3 2 3 2" xfId="19204"/>
    <cellStyle name="输出 11 3 3 3" xfId="9266"/>
    <cellStyle name="输出 11 3 3 3 2" xfId="14268"/>
    <cellStyle name="输出 11 3 3 3 2 2" xfId="18159"/>
    <cellStyle name="输出 11 3 3 4" xfId="10193"/>
    <cellStyle name="输出 11 3 3 4 2" xfId="10443"/>
    <cellStyle name="输出 11 3 3 4 2 2" xfId="15170"/>
    <cellStyle name="输出 11 3 3 4 2 2 2" xfId="18421"/>
    <cellStyle name="输出 11 3 3 4 3" xfId="14970"/>
    <cellStyle name="输出 11 3 3 4 3 2" xfId="15785"/>
    <cellStyle name="输出 11 3 3 5" xfId="12044"/>
    <cellStyle name="输出 11 3 3 5 2" xfId="17103"/>
    <cellStyle name="输出 11 3 4" xfId="8768"/>
    <cellStyle name="输出 11 3 4 2" xfId="13106"/>
    <cellStyle name="输出 11 3 4 2 2" xfId="19688"/>
    <cellStyle name="输出 11 3 5" xfId="11766"/>
    <cellStyle name="输出 11 3 5 2" xfId="19251"/>
    <cellStyle name="输出 11 4" xfId="8152"/>
    <cellStyle name="输出 11 4 2" xfId="13417"/>
    <cellStyle name="输出 11 4 2 2" xfId="18882"/>
    <cellStyle name="输出 11 5" xfId="11037"/>
    <cellStyle name="输出 11 5 2" xfId="17484"/>
    <cellStyle name="输出 12" xfId="5548"/>
    <cellStyle name="输出 12 2" xfId="6380"/>
    <cellStyle name="输出 12 2 2" xfId="7604"/>
    <cellStyle name="输出 12 2 2 2" xfId="6810"/>
    <cellStyle name="输出 12 2 2 2 2" xfId="9705"/>
    <cellStyle name="输出 12 2 2 2 2 2" xfId="14600"/>
    <cellStyle name="输出 12 2 2 2 2 2 2" xfId="15990"/>
    <cellStyle name="输出 12 2 2 2 3" xfId="12494"/>
    <cellStyle name="输出 12 2 2 2 3 2" xfId="18402"/>
    <cellStyle name="输出 12 2 2 3" xfId="8931"/>
    <cellStyle name="输出 12 2 2 3 2" xfId="14170"/>
    <cellStyle name="输出 12 2 2 3 2 2" xfId="15410"/>
    <cellStyle name="输出 12 2 2 4" xfId="11932"/>
    <cellStyle name="输出 12 2 2 4 2" xfId="17903"/>
    <cellStyle name="输出 12 2 3" xfId="7183"/>
    <cellStyle name="输出 12 2 3 2" xfId="9988"/>
    <cellStyle name="输出 12 2 3 2 2" xfId="10306"/>
    <cellStyle name="输出 12 2 3 2 2 2" xfId="10556"/>
    <cellStyle name="输出 12 2 3 2 2 2 2" xfId="15283"/>
    <cellStyle name="输出 12 2 3 2 2 2 2 2" xfId="15583"/>
    <cellStyle name="输出 12 2 3 2 2 3" xfId="15083"/>
    <cellStyle name="输出 12 2 3 2 2 3 2" xfId="18118"/>
    <cellStyle name="输出 12 2 3 2 3" xfId="12867"/>
    <cellStyle name="输出 12 2 3 2 3 2" xfId="19015"/>
    <cellStyle name="输出 12 2 3 3" xfId="9365"/>
    <cellStyle name="输出 12 2 3 3 2" xfId="14292"/>
    <cellStyle name="输出 12 2 3 3 2 2" xfId="16179"/>
    <cellStyle name="输出 12 2 3 4" xfId="10197"/>
    <cellStyle name="输出 12 2 3 4 2" xfId="10447"/>
    <cellStyle name="输出 12 2 3 4 2 2" xfId="15174"/>
    <cellStyle name="输出 12 2 3 4 2 2 2" xfId="15662"/>
    <cellStyle name="输出 12 2 3 4 3" xfId="14974"/>
    <cellStyle name="输出 12 2 3 4 3 2" xfId="18129"/>
    <cellStyle name="输出 12 2 3 5" xfId="12074"/>
    <cellStyle name="输出 12 2 3 5 2" xfId="17872"/>
    <cellStyle name="输出 12 2 4" xfId="8795"/>
    <cellStyle name="输出 12 2 4 2" xfId="13110"/>
    <cellStyle name="输出 12 2 4 2 2" xfId="19618"/>
    <cellStyle name="输出 12 2 5" xfId="11793"/>
    <cellStyle name="输出 12 2 5 2" xfId="19999"/>
    <cellStyle name="输出 12 3" xfId="8323"/>
    <cellStyle name="输出 12 3 2" xfId="13588"/>
    <cellStyle name="输出 12 3 2 2" xfId="16589"/>
    <cellStyle name="输出 12 4" xfId="11249"/>
    <cellStyle name="输出 12 4 2" xfId="17317"/>
    <cellStyle name="输出 13" xfId="5859"/>
    <cellStyle name="输出 13 2" xfId="6388"/>
    <cellStyle name="输出 13 2 2" xfId="7616"/>
    <cellStyle name="输出 13 2 2 2" xfId="7025"/>
    <cellStyle name="输出 13 2 2 2 2" xfId="9851"/>
    <cellStyle name="输出 13 2 2 2 2 2" xfId="14727"/>
    <cellStyle name="输出 13 2 2 2 2 2 2" xfId="15903"/>
    <cellStyle name="输出 13 2 2 2 3" xfId="12709"/>
    <cellStyle name="输出 13 2 2 2 3 2" xfId="19049"/>
    <cellStyle name="输出 13 2 2 3" xfId="8940"/>
    <cellStyle name="输出 13 2 2 3 2" xfId="14179"/>
    <cellStyle name="输出 13 2 2 3 2 2" xfId="16236"/>
    <cellStyle name="输出 13 2 2 4" xfId="11941"/>
    <cellStyle name="输出 13 2 2 4 2" xfId="17168"/>
    <cellStyle name="输出 13 2 3" xfId="7191"/>
    <cellStyle name="输出 13 2 3 2" xfId="9996"/>
    <cellStyle name="输出 13 2 3 2 2" xfId="10314"/>
    <cellStyle name="输出 13 2 3 2 2 2" xfId="10564"/>
    <cellStyle name="输出 13 2 3 2 2 2 2" xfId="15291"/>
    <cellStyle name="输出 13 2 3 2 2 2 2 2" xfId="15580"/>
    <cellStyle name="输出 13 2 3 2 2 3" xfId="15091"/>
    <cellStyle name="输出 13 2 3 2 2 3 2" xfId="18429"/>
    <cellStyle name="输出 13 2 3 2 3" xfId="12875"/>
    <cellStyle name="输出 13 2 3 2 3 2" xfId="18996"/>
    <cellStyle name="输出 13 2 3 3" xfId="9377"/>
    <cellStyle name="输出 13 2 3 3 2" xfId="14298"/>
    <cellStyle name="输出 13 2 3 3 2 2" xfId="18156"/>
    <cellStyle name="输出 13 2 3 4" xfId="10200"/>
    <cellStyle name="输出 13 2 3 4 2" xfId="10450"/>
    <cellStyle name="输出 13 2 3 4 2 2" xfId="15177"/>
    <cellStyle name="输出 13 2 3 4 2 2 2" xfId="15659"/>
    <cellStyle name="输出 13 2 3 4 3" xfId="14977"/>
    <cellStyle name="输出 13 2 3 4 3 2" xfId="15782"/>
    <cellStyle name="输出 13 2 3 5" xfId="12083"/>
    <cellStyle name="输出 13 2 3 5 2" xfId="17909"/>
    <cellStyle name="输出 13 2 4" xfId="8803"/>
    <cellStyle name="输出 13 2 4 2" xfId="13113"/>
    <cellStyle name="输出 13 2 4 2 2" xfId="19722"/>
    <cellStyle name="输出 13 2 5" xfId="11801"/>
    <cellStyle name="输出 13 2 5 2" xfId="19442"/>
    <cellStyle name="输出 13 3" xfId="8377"/>
    <cellStyle name="输出 13 3 2" xfId="13642"/>
    <cellStyle name="输出 13 3 2 2" xfId="18182"/>
    <cellStyle name="输出 13 4" xfId="11322"/>
    <cellStyle name="输出 13 4 2" xfId="17273"/>
    <cellStyle name="输出 14" xfId="4028"/>
    <cellStyle name="输出 14 2" xfId="6316"/>
    <cellStyle name="输出 14 2 2" xfId="7119"/>
    <cellStyle name="输出 14 2 2 2" xfId="9924"/>
    <cellStyle name="输出 14 2 2 2 2" xfId="14796"/>
    <cellStyle name="输出 14 2 2 2 2 2" xfId="15867"/>
    <cellStyle name="输出 14 2 2 3" xfId="10242"/>
    <cellStyle name="输出 14 2 2 3 2" xfId="10492"/>
    <cellStyle name="输出 14 2 2 3 2 2" xfId="15219"/>
    <cellStyle name="输出 14 2 2 3 2 2 2" xfId="15633"/>
    <cellStyle name="输出 14 2 2 3 3" xfId="15019"/>
    <cellStyle name="输出 14 2 2 3 3 2" xfId="15755"/>
    <cellStyle name="输出 14 2 2 4" xfId="12803"/>
    <cellStyle name="输出 14 2 2 4 2" xfId="20002"/>
    <cellStyle name="输出 14 2 3" xfId="8731"/>
    <cellStyle name="输出 14 2 3 2" xfId="13995"/>
    <cellStyle name="输出 14 2 3 2 2" xfId="16333"/>
    <cellStyle name="输出 14 2 4" xfId="11729"/>
    <cellStyle name="输出 14 2 4 2" xfId="19077"/>
    <cellStyle name="输出 14 3" xfId="8046"/>
    <cellStyle name="输出 14 3 2" xfId="13312"/>
    <cellStyle name="输出 14 3 2 2" xfId="18726"/>
    <cellStyle name="输出 14 4" xfId="10909"/>
    <cellStyle name="输出 14 4 2" xfId="17579"/>
    <cellStyle name="输出 15" xfId="7818"/>
    <cellStyle name="输出 15 2" xfId="13057"/>
    <cellStyle name="输出 15 2 2" xfId="19160"/>
    <cellStyle name="输出 16" xfId="10635"/>
    <cellStyle name="输出 16 2" xfId="17741"/>
    <cellStyle name="输出 2" xfId="387"/>
    <cellStyle name="输出 2 10" xfId="10640"/>
    <cellStyle name="输出 2 10 2" xfId="19595"/>
    <cellStyle name="输出 2 2" xfId="397"/>
    <cellStyle name="输出 2 2 2" xfId="419"/>
    <cellStyle name="输出 2 2 2 2" xfId="5400"/>
    <cellStyle name="输出 2 2 2 2 2" xfId="6376"/>
    <cellStyle name="输出 2 2 2 2 2 2" xfId="7179"/>
    <cellStyle name="输出 2 2 2 2 2 2 2" xfId="9984"/>
    <cellStyle name="输出 2 2 2 2 2 2 2 2" xfId="14845"/>
    <cellStyle name="输出 2 2 2 2 2 2 2 2 2" xfId="15844"/>
    <cellStyle name="输出 2 2 2 2 2 2 3" xfId="10302"/>
    <cellStyle name="输出 2 2 2 2 2 2 3 2" xfId="10552"/>
    <cellStyle name="输出 2 2 2 2 2 2 3 2 2" xfId="15279"/>
    <cellStyle name="输出 2 2 2 2 2 2 3 2 2 2" xfId="15587"/>
    <cellStyle name="输出 2 2 2 2 2 2 3 3" xfId="15079"/>
    <cellStyle name="输出 2 2 2 2 2 2 3 3 2" xfId="15719"/>
    <cellStyle name="输出 2 2 2 2 2 2 4" xfId="12863"/>
    <cellStyle name="输出 2 2 2 2 2 2 4 2" xfId="19273"/>
    <cellStyle name="输出 2 2 2 2 2 3" xfId="8791"/>
    <cellStyle name="输出 2 2 2 2 2 3 2" xfId="14045"/>
    <cellStyle name="输出 2 2 2 2 2 3 2 2" xfId="18972"/>
    <cellStyle name="输出 2 2 2 2 2 4" xfId="11789"/>
    <cellStyle name="输出 2 2 2 2 2 4 2" xfId="19493"/>
    <cellStyle name="输出 2 2 2 2 3" xfId="8307"/>
    <cellStyle name="输出 2 2 2 2 3 2" xfId="13572"/>
    <cellStyle name="输出 2 2 2 2 3 2 2" xfId="18239"/>
    <cellStyle name="输出 2 2 2 2 4" xfId="11232"/>
    <cellStyle name="输出 2 2 2 2 4 2" xfId="17329"/>
    <cellStyle name="输出 2 2 2 3" xfId="5879"/>
    <cellStyle name="输出 2 2 2 3 2" xfId="6391"/>
    <cellStyle name="输出 2 2 2 3 2 2" xfId="7194"/>
    <cellStyle name="输出 2 2 2 3 2 2 2" xfId="9999"/>
    <cellStyle name="输出 2 2 2 3 2 2 2 2" xfId="14854"/>
    <cellStyle name="输出 2 2 2 3 2 2 2 2 2" xfId="15839"/>
    <cellStyle name="输出 2 2 2 3 2 2 3" xfId="10317"/>
    <cellStyle name="输出 2 2 2 3 2 2 3 2" xfId="10567"/>
    <cellStyle name="输出 2 2 2 3 2 2 3 2 2" xfId="15294"/>
    <cellStyle name="输出 2 2 2 3 2 2 3 2 2 2" xfId="15577"/>
    <cellStyle name="输出 2 2 2 3 2 2 3 3" xfId="15094"/>
    <cellStyle name="输出 2 2 2 3 2 2 3 3 2" xfId="15711"/>
    <cellStyle name="输出 2 2 2 3 2 2 4" xfId="12878"/>
    <cellStyle name="输出 2 2 2 3 2 2 4 2" xfId="19289"/>
    <cellStyle name="输出 2 2 2 3 2 3" xfId="8806"/>
    <cellStyle name="输出 2 2 2 3 2 3 2" xfId="14054"/>
    <cellStyle name="输出 2 2 2 3 2 3 2 2" xfId="16300"/>
    <cellStyle name="输出 2 2 2 3 2 4" xfId="11804"/>
    <cellStyle name="输出 2 2 2 3 2 4 2" xfId="19524"/>
    <cellStyle name="输出 2 2 2 3 3" xfId="8395"/>
    <cellStyle name="输出 2 2 2 3 3 2" xfId="13660"/>
    <cellStyle name="输出 2 2 2 3 3 2 2" xfId="18181"/>
    <cellStyle name="输出 2 2 2 3 4" xfId="11342"/>
    <cellStyle name="输出 2 2 2 3 4 2" xfId="19579"/>
    <cellStyle name="输出 2 2 2 4" xfId="5075"/>
    <cellStyle name="输出 2 2 2 4 2" xfId="6333"/>
    <cellStyle name="输出 2 2 2 4 2 2" xfId="7136"/>
    <cellStyle name="输出 2 2 2 4 2 2 2" xfId="9941"/>
    <cellStyle name="输出 2 2 2 4 2 2 2 2" xfId="14810"/>
    <cellStyle name="输出 2 2 2 4 2 2 2 2 2" xfId="15862"/>
    <cellStyle name="输出 2 2 2 4 2 2 3" xfId="10259"/>
    <cellStyle name="输出 2 2 2 4 2 2 3 2" xfId="10509"/>
    <cellStyle name="输出 2 2 2 4 2 2 3 2 2" xfId="15236"/>
    <cellStyle name="输出 2 2 2 4 2 2 3 2 2 2" xfId="15620"/>
    <cellStyle name="输出 2 2 2 4 2 2 3 3" xfId="15036"/>
    <cellStyle name="输出 2 2 2 4 2 2 3 3 2" xfId="15746"/>
    <cellStyle name="输出 2 2 2 4 2 2 4" xfId="12820"/>
    <cellStyle name="输出 2 2 2 4 2 2 4 2" xfId="19074"/>
    <cellStyle name="输出 2 2 2 4 2 3" xfId="8748"/>
    <cellStyle name="输出 2 2 2 4 2 3 2" xfId="14009"/>
    <cellStyle name="输出 2 2 2 4 2 3 2 2" xfId="18041"/>
    <cellStyle name="输出 2 2 2 4 2 4" xfId="11746"/>
    <cellStyle name="输出 2 2 2 4 2 4 2" xfId="18551"/>
    <cellStyle name="输出 2 2 2 4 3" xfId="8079"/>
    <cellStyle name="输出 2 2 2 4 3 2" xfId="13344"/>
    <cellStyle name="输出 2 2 2 4 3 2 2" xfId="18805"/>
    <cellStyle name="输出 2 2 2 4 4" xfId="10950"/>
    <cellStyle name="输出 2 2 2 4 4 2" xfId="18623"/>
    <cellStyle name="输出 2 2 2 5" xfId="6291"/>
    <cellStyle name="输出 2 2 2 5 2" xfId="7094"/>
    <cellStyle name="输出 2 2 2 5 2 2" xfId="9899"/>
    <cellStyle name="输出 2 2 2 5 2 2 2" xfId="14772"/>
    <cellStyle name="输出 2 2 2 5 2 2 2 2" xfId="15879"/>
    <cellStyle name="输出 2 2 2 5 2 3" xfId="10217"/>
    <cellStyle name="输出 2 2 2 5 2 3 2" xfId="10467"/>
    <cellStyle name="输出 2 2 2 5 2 3 2 2" xfId="15194"/>
    <cellStyle name="输出 2 2 2 5 2 3 2 2 2" xfId="15650"/>
    <cellStyle name="输出 2 2 2 5 2 3 3" xfId="14994"/>
    <cellStyle name="输出 2 2 2 5 2 3 3 2" xfId="18127"/>
    <cellStyle name="输出 2 2 2 5 2 4" xfId="12778"/>
    <cellStyle name="输出 2 2 2 5 2 4 2" xfId="19729"/>
    <cellStyle name="输出 2 2 2 5 3" xfId="8706"/>
    <cellStyle name="输出 2 2 2 5 3 2" xfId="13971"/>
    <cellStyle name="输出 2 2 2 5 3 2 2" xfId="16351"/>
    <cellStyle name="输出 2 2 2 5 4" xfId="11704"/>
    <cellStyle name="输出 2 2 2 5 4 2" xfId="19320"/>
    <cellStyle name="输出 2 2 2 6" xfId="7853"/>
    <cellStyle name="输出 2 2 2 6 2" xfId="13092"/>
    <cellStyle name="输出 2 2 2 6 2 2" xfId="19955"/>
    <cellStyle name="输出 2 2 2 7" xfId="10670"/>
    <cellStyle name="输出 2 2 2 7 2" xfId="15398"/>
    <cellStyle name="输出 2 2 3" xfId="5124"/>
    <cellStyle name="输出 2 2 3 2" xfId="6100"/>
    <cellStyle name="输出 2 2 3 2 2" xfId="6431"/>
    <cellStyle name="输出 2 2 3 2 2 2" xfId="7234"/>
    <cellStyle name="输出 2 2 3 2 2 2 2" xfId="10039"/>
    <cellStyle name="输出 2 2 3 2 2 2 2 2" xfId="14888"/>
    <cellStyle name="输出 2 2 3 2 2 2 2 2 2" xfId="15823"/>
    <cellStyle name="输出 2 2 3 2 2 2 3" xfId="10357"/>
    <cellStyle name="输出 2 2 3 2 2 2 3 2" xfId="10607"/>
    <cellStyle name="输出 2 2 3 2 2 2 3 2 2" xfId="15334"/>
    <cellStyle name="输出 2 2 3 2 2 2 3 2 2 2" xfId="15547"/>
    <cellStyle name="输出 2 2 3 2 2 2 3 3" xfId="15134"/>
    <cellStyle name="输出 2 2 3 2 2 2 3 3 2" xfId="15687"/>
    <cellStyle name="输出 2 2 3 2 2 2 4" xfId="12918"/>
    <cellStyle name="输出 2 2 3 2 2 2 4 2" xfId="16838"/>
    <cellStyle name="输出 2 2 3 2 2 3" xfId="8846"/>
    <cellStyle name="输出 2 2 3 2 2 3 2" xfId="14089"/>
    <cellStyle name="输出 2 2 3 2 2 3 2 2" xfId="16279"/>
    <cellStyle name="输出 2 2 3 2 2 4" xfId="11844"/>
    <cellStyle name="输出 2 2 3 2 2 4 2" xfId="17850"/>
    <cellStyle name="输出 2 2 3 2 3" xfId="8571"/>
    <cellStyle name="输出 2 2 3 2 3 2" xfId="13836"/>
    <cellStyle name="输出 2 2 3 2 3 2 2" xfId="17791"/>
    <cellStyle name="输出 2 2 3 2 4" xfId="11563"/>
    <cellStyle name="输出 2 2 3 2 4 2" xfId="19047"/>
    <cellStyle name="输出 2 2 3 3" xfId="6342"/>
    <cellStyle name="输出 2 2 3 3 2" xfId="7145"/>
    <cellStyle name="输出 2 2 3 3 2 2" xfId="9950"/>
    <cellStyle name="输出 2 2 3 3 2 2 2" xfId="14817"/>
    <cellStyle name="输出 2 2 3 3 2 2 2 2" xfId="15857"/>
    <cellStyle name="输出 2 2 3 3 2 3" xfId="10268"/>
    <cellStyle name="输出 2 2 3 3 2 3 2" xfId="10518"/>
    <cellStyle name="输出 2 2 3 3 2 3 2 2" xfId="15245"/>
    <cellStyle name="输出 2 2 3 3 2 3 2 2 2" xfId="15391"/>
    <cellStyle name="输出 2 2 3 3 2 3 3" xfId="15045"/>
    <cellStyle name="输出 2 2 3 3 2 3 3 2" xfId="15741"/>
    <cellStyle name="输出 2 2 3 3 2 4" xfId="12829"/>
    <cellStyle name="输出 2 2 3 3 2 4 2" xfId="19082"/>
    <cellStyle name="输出 2 2 3 3 3" xfId="8757"/>
    <cellStyle name="输出 2 2 3 3 3 2" xfId="14016"/>
    <cellStyle name="输出 2 2 3 3 3 2 2" xfId="16320"/>
    <cellStyle name="输出 2 2 3 3 4" xfId="11755"/>
    <cellStyle name="输出 2 2 3 3 4 2" xfId="17250"/>
    <cellStyle name="输出 2 2 3 4" xfId="8099"/>
    <cellStyle name="输出 2 2 3 4 2" xfId="13364"/>
    <cellStyle name="输出 2 2 3 4 2 2" xfId="16702"/>
    <cellStyle name="输出 2 2 3 5" xfId="10982"/>
    <cellStyle name="输出 2 2 3 5 2" xfId="17522"/>
    <cellStyle name="输出 2 2 4" xfId="6058"/>
    <cellStyle name="输出 2 2 4 2" xfId="6421"/>
    <cellStyle name="输出 2 2 4 2 2" xfId="7224"/>
    <cellStyle name="输出 2 2 4 2 2 2" xfId="10029"/>
    <cellStyle name="输出 2 2 4 2 2 2 2" xfId="14880"/>
    <cellStyle name="输出 2 2 4 2 2 2 2 2" xfId="18641"/>
    <cellStyle name="输出 2 2 4 2 2 3" xfId="10347"/>
    <cellStyle name="输出 2 2 4 2 2 3 2" xfId="10597"/>
    <cellStyle name="输出 2 2 4 2 2 3 2 2" xfId="15324"/>
    <cellStyle name="输出 2 2 4 2 2 3 2 2 2" xfId="15552"/>
    <cellStyle name="输出 2 2 4 2 2 3 3" xfId="15124"/>
    <cellStyle name="输出 2 2 4 2 2 3 3 2" xfId="15693"/>
    <cellStyle name="输出 2 2 4 2 2 4" xfId="12908"/>
    <cellStyle name="输出 2 2 4 2 2 4 2" xfId="19042"/>
    <cellStyle name="输出 2 2 4 2 3" xfId="8836"/>
    <cellStyle name="输出 2 2 4 2 3 2" xfId="14081"/>
    <cellStyle name="输出 2 2 4 2 3 2 2" xfId="16285"/>
    <cellStyle name="输出 2 2 4 2 4" xfId="11834"/>
    <cellStyle name="输出 2 2 4 2 4 2" xfId="17234"/>
    <cellStyle name="输出 2 2 4 3" xfId="8541"/>
    <cellStyle name="输出 2 2 4 3 2" xfId="13806"/>
    <cellStyle name="输出 2 2 4 3 2 2" xfId="18167"/>
    <cellStyle name="输出 2 2 4 4" xfId="11521"/>
    <cellStyle name="输出 2 2 4 4 2" xfId="19324"/>
    <cellStyle name="输出 2 2 5" xfId="4031"/>
    <cellStyle name="输出 2 2 5 2" xfId="6319"/>
    <cellStyle name="输出 2 2 5 2 2" xfId="7122"/>
    <cellStyle name="输出 2 2 5 2 2 2" xfId="9927"/>
    <cellStyle name="输出 2 2 5 2 2 2 2" xfId="14799"/>
    <cellStyle name="输出 2 2 5 2 2 2 2 2" xfId="18215"/>
    <cellStyle name="输出 2 2 5 2 2 3" xfId="10245"/>
    <cellStyle name="输出 2 2 5 2 2 3 2" xfId="10495"/>
    <cellStyle name="输出 2 2 5 2 2 3 2 2" xfId="15222"/>
    <cellStyle name="输出 2 2 5 2 2 3 2 2 2" xfId="15630"/>
    <cellStyle name="输出 2 2 5 2 2 3 3" xfId="15022"/>
    <cellStyle name="输出 2 2 5 2 2 3 3 2" xfId="18436"/>
    <cellStyle name="输出 2 2 5 2 2 4" xfId="12806"/>
    <cellStyle name="输出 2 2 5 2 2 4 2" xfId="19596"/>
    <cellStyle name="输出 2 2 5 2 3" xfId="8734"/>
    <cellStyle name="输出 2 2 5 2 3 2" xfId="13998"/>
    <cellStyle name="输出 2 2 5 2 3 2 2" xfId="16330"/>
    <cellStyle name="输出 2 2 5 2 4" xfId="11732"/>
    <cellStyle name="输出 2 2 5 2 4 2" xfId="19496"/>
    <cellStyle name="输出 2 2 5 3" xfId="8049"/>
    <cellStyle name="输出 2 2 5 3 2" xfId="13315"/>
    <cellStyle name="输出 2 2 5 3 2 2" xfId="16732"/>
    <cellStyle name="输出 2 2 5 4" xfId="10912"/>
    <cellStyle name="输出 2 2 5 4 2" xfId="17576"/>
    <cellStyle name="输出 2 2 6" xfId="6287"/>
    <cellStyle name="输出 2 2 6 2" xfId="7090"/>
    <cellStyle name="输出 2 2 6 2 2" xfId="9895"/>
    <cellStyle name="输出 2 2 6 2 2 2" xfId="14768"/>
    <cellStyle name="输出 2 2 6 2 2 2 2" xfId="18935"/>
    <cellStyle name="输出 2 2 6 2 3" xfId="10213"/>
    <cellStyle name="输出 2 2 6 2 3 2" xfId="10463"/>
    <cellStyle name="输出 2 2 6 2 3 2 2" xfId="15190"/>
    <cellStyle name="输出 2 2 6 2 3 2 2 2" xfId="18419"/>
    <cellStyle name="输出 2 2 6 2 3 3" xfId="14990"/>
    <cellStyle name="输出 2 2 6 2 3 3 2" xfId="15773"/>
    <cellStyle name="输出 2 2 6 2 4" xfId="12774"/>
    <cellStyle name="输出 2 2 6 2 4 2" xfId="16843"/>
    <cellStyle name="输出 2 2 6 3" xfId="8702"/>
    <cellStyle name="输出 2 2 6 3 2" xfId="13967"/>
    <cellStyle name="输出 2 2 6 3 2 2" xfId="17976"/>
    <cellStyle name="输出 2 2 6 4" xfId="11700"/>
    <cellStyle name="输出 2 2 6 4 2" xfId="19841"/>
    <cellStyle name="输出 2 2 7" xfId="7829"/>
    <cellStyle name="输出 2 2 7 2" xfId="13068"/>
    <cellStyle name="输出 2 2 7 2 2" xfId="19032"/>
    <cellStyle name="输出 2 2 8" xfId="10646"/>
    <cellStyle name="输出 2 2 8 2" xfId="19201"/>
    <cellStyle name="输出 2 3" xfId="409"/>
    <cellStyle name="输出 2 3 2" xfId="5123"/>
    <cellStyle name="输出 2 3 2 2" xfId="6099"/>
    <cellStyle name="输出 2 3 2 2 2" xfId="6430"/>
    <cellStyle name="输出 2 3 2 2 2 2" xfId="7233"/>
    <cellStyle name="输出 2 3 2 2 2 2 2" xfId="10038"/>
    <cellStyle name="输出 2 3 2 2 2 2 2 2" xfId="14887"/>
    <cellStyle name="输出 2 3 2 2 2 2 2 2 2" xfId="15824"/>
    <cellStyle name="输出 2 3 2 2 2 2 3" xfId="10356"/>
    <cellStyle name="输出 2 3 2 2 2 2 3 2" xfId="10606"/>
    <cellStyle name="输出 2 3 2 2 2 2 3 2 2" xfId="15333"/>
    <cellStyle name="输出 2 3 2 2 2 2 3 2 2 2" xfId="15548"/>
    <cellStyle name="输出 2 3 2 2 2 2 3 3" xfId="15133"/>
    <cellStyle name="输出 2 3 2 2 2 2 3 3 2" xfId="17841"/>
    <cellStyle name="输出 2 3 2 2 2 2 4" xfId="12917"/>
    <cellStyle name="输出 2 3 2 2 2 2 4 2" xfId="18264"/>
    <cellStyle name="输出 2 3 2 2 2 3" xfId="8845"/>
    <cellStyle name="输出 2 3 2 2 2 3 2" xfId="14088"/>
    <cellStyle name="输出 2 3 2 2 2 3 2 2" xfId="16280"/>
    <cellStyle name="输出 2 3 2 2 2 4" xfId="11843"/>
    <cellStyle name="输出 2 3 2 2 2 4 2" xfId="17225"/>
    <cellStyle name="输出 2 3 2 2 3" xfId="8570"/>
    <cellStyle name="输出 2 3 2 2 3 2" xfId="13835"/>
    <cellStyle name="输出 2 3 2 2 3 2 2" xfId="18164"/>
    <cellStyle name="输出 2 3 2 2 4" xfId="11562"/>
    <cellStyle name="输出 2 3 2 2 4 2" xfId="19377"/>
    <cellStyle name="输出 2 3 2 3" xfId="6341"/>
    <cellStyle name="输出 2 3 2 3 2" xfId="7144"/>
    <cellStyle name="输出 2 3 2 3 2 2" xfId="9949"/>
    <cellStyle name="输出 2 3 2 3 2 2 2" xfId="14816"/>
    <cellStyle name="输出 2 3 2 3 2 2 2 2" xfId="15858"/>
    <cellStyle name="输出 2 3 2 3 2 3" xfId="10267"/>
    <cellStyle name="输出 2 3 2 3 2 3 2" xfId="10517"/>
    <cellStyle name="输出 2 3 2 3 2 3 2 2" xfId="15244"/>
    <cellStyle name="输出 2 3 2 3 2 3 2 2 2" xfId="15612"/>
    <cellStyle name="输出 2 3 2 3 2 3 3" xfId="15044"/>
    <cellStyle name="输出 2 3 2 3 2 3 3 2" xfId="17832"/>
    <cellStyle name="输出 2 3 2 3 2 4" xfId="12828"/>
    <cellStyle name="输出 2 3 2 3 2 4 2" xfId="19412"/>
    <cellStyle name="输出 2 3 2 3 3" xfId="8756"/>
    <cellStyle name="输出 2 3 2 3 3 2" xfId="14015"/>
    <cellStyle name="输出 2 3 2 3 3 2 2" xfId="16321"/>
    <cellStyle name="输出 2 3 2 3 4" xfId="11754"/>
    <cellStyle name="输出 2 3 2 3 4 2" xfId="18299"/>
    <cellStyle name="输出 2 3 2 4" xfId="8098"/>
    <cellStyle name="输出 2 3 2 4 2" xfId="13363"/>
    <cellStyle name="输出 2 3 2 4 2 2" xfId="16703"/>
    <cellStyle name="输出 2 3 2 5" xfId="10981"/>
    <cellStyle name="输出 2 3 2 5 2" xfId="17523"/>
    <cellStyle name="输出 2 3 3" xfId="6004"/>
    <cellStyle name="输出 2 3 3 2" xfId="6415"/>
    <cellStyle name="输出 2 3 3 2 2" xfId="7218"/>
    <cellStyle name="输出 2 3 3 2 2 2" xfId="10023"/>
    <cellStyle name="输出 2 3 3 2 2 2 2" xfId="14874"/>
    <cellStyle name="输出 2 3 3 2 2 2 2 2" xfId="15830"/>
    <cellStyle name="输出 2 3 3 2 2 3" xfId="10341"/>
    <cellStyle name="输出 2 3 3 2 2 3 2" xfId="10591"/>
    <cellStyle name="输出 2 3 3 2 2 3 2 2" xfId="15318"/>
    <cellStyle name="输出 2 3 3 2 2 3 2 2 2" xfId="15558"/>
    <cellStyle name="输出 2 3 3 2 2 3 3" xfId="15118"/>
    <cellStyle name="输出 2 3 3 2 2 3 3 2" xfId="15695"/>
    <cellStyle name="输出 2 3 3 2 2 4" xfId="12902"/>
    <cellStyle name="输出 2 3 3 2 2 4 2" xfId="19527"/>
    <cellStyle name="输出 2 3 3 2 3" xfId="8830"/>
    <cellStyle name="输出 2 3 3 2 3 2" xfId="14075"/>
    <cellStyle name="输出 2 3 3 2 3 2 2" xfId="16289"/>
    <cellStyle name="输出 2 3 3 2 4" xfId="11828"/>
    <cellStyle name="输出 2 3 3 2 4 2" xfId="17240"/>
    <cellStyle name="输出 2 3 3 3" xfId="8499"/>
    <cellStyle name="输出 2 3 3 3 2" xfId="13764"/>
    <cellStyle name="输出 2 3 3 3 2 2" xfId="16485"/>
    <cellStyle name="输出 2 3 3 4" xfId="11467"/>
    <cellStyle name="输出 2 3 3 4 2" xfId="19079"/>
    <cellStyle name="输出 2 3 4" xfId="4032"/>
    <cellStyle name="输出 2 3 4 2" xfId="6320"/>
    <cellStyle name="输出 2 3 4 2 2" xfId="7123"/>
    <cellStyle name="输出 2 3 4 2 2 2" xfId="9928"/>
    <cellStyle name="输出 2 3 4 2 2 2 2" xfId="14800"/>
    <cellStyle name="输出 2 3 4 2 2 2 2 2" xfId="15866"/>
    <cellStyle name="输出 2 3 4 2 2 3" xfId="10246"/>
    <cellStyle name="输出 2 3 4 2 2 3 2" xfId="10496"/>
    <cellStyle name="输出 2 3 4 2 2 3 2 2" xfId="15223"/>
    <cellStyle name="输出 2 3 4 2 2 3 2 2 2" xfId="15629"/>
    <cellStyle name="输出 2 3 4 2 2 3 3" xfId="15023"/>
    <cellStyle name="输出 2 3 4 2 2 3 3 2" xfId="18124"/>
    <cellStyle name="输出 2 3 4 2 2 4" xfId="12807"/>
    <cellStyle name="输出 2 3 4 2 2 4 2" xfId="19901"/>
    <cellStyle name="输出 2 3 4 2 3" xfId="8735"/>
    <cellStyle name="输出 2 3 4 2 3 2" xfId="13999"/>
    <cellStyle name="输出 2 3 4 2 3 2 2" xfId="16329"/>
    <cellStyle name="输出 2 3 4 2 4" xfId="11733"/>
    <cellStyle name="输出 2 3 4 2 4 2" xfId="19801"/>
    <cellStyle name="输出 2 3 4 3" xfId="8050"/>
    <cellStyle name="输出 2 3 4 3 2" xfId="13316"/>
    <cellStyle name="输出 2 3 4 3 2 2" xfId="16731"/>
    <cellStyle name="输出 2 3 4 4" xfId="10913"/>
    <cellStyle name="输出 2 3 4 4 2" xfId="17575"/>
    <cellStyle name="输出 2 3 5" xfId="6289"/>
    <cellStyle name="输出 2 3 5 2" xfId="7092"/>
    <cellStyle name="输出 2 3 5 2 2" xfId="9897"/>
    <cellStyle name="输出 2 3 5 2 2 2" xfId="14770"/>
    <cellStyle name="输出 2 3 5 2 2 2 2" xfId="18219"/>
    <cellStyle name="输出 2 3 5 2 3" xfId="10215"/>
    <cellStyle name="输出 2 3 5 2 3 2" xfId="10465"/>
    <cellStyle name="输出 2 3 5 2 3 2 2" xfId="15192"/>
    <cellStyle name="输出 2 3 5 2 3 2 2 2" xfId="17847"/>
    <cellStyle name="输出 2 3 5 2 3 3" xfId="14992"/>
    <cellStyle name="输出 2 3 5 2 3 3 2" xfId="15766"/>
    <cellStyle name="输出 2 3 5 2 4" xfId="12776"/>
    <cellStyle name="输出 2 3 5 2 4 2" xfId="19791"/>
    <cellStyle name="输出 2 3 5 3" xfId="8704"/>
    <cellStyle name="输出 2 3 5 3 2" xfId="13969"/>
    <cellStyle name="输出 2 3 5 3 2 2" xfId="16353"/>
    <cellStyle name="输出 2 3 5 4" xfId="11702"/>
    <cellStyle name="输出 2 3 5 4 2" xfId="19639"/>
    <cellStyle name="输出 2 3 6" xfId="7843"/>
    <cellStyle name="输出 2 3 6 2" xfId="13082"/>
    <cellStyle name="输出 2 3 6 2 2" xfId="19391"/>
    <cellStyle name="输出 2 3 7" xfId="10660"/>
    <cellStyle name="输出 2 3 7 2" xfId="19282"/>
    <cellStyle name="输出 2 4" xfId="4033"/>
    <cellStyle name="输出 2 4 2" xfId="5255"/>
    <cellStyle name="输出 2 4 2 2" xfId="6231"/>
    <cellStyle name="输出 2 4 2 2 2" xfId="6452"/>
    <cellStyle name="输出 2 4 2 2 2 2" xfId="7255"/>
    <cellStyle name="输出 2 4 2 2 2 2 2" xfId="10060"/>
    <cellStyle name="输出 2 4 2 2 2 2 2 2" xfId="14904"/>
    <cellStyle name="输出 2 4 2 2 2 2 2 2 2" xfId="15815"/>
    <cellStyle name="输出 2 4 2 2 2 2 3" xfId="10378"/>
    <cellStyle name="输出 2 4 2 2 2 2 3 2" xfId="10628"/>
    <cellStyle name="输出 2 4 2 2 2 2 3 2 2" xfId="15355"/>
    <cellStyle name="输出 2 4 2 2 2 2 3 2 2 2" xfId="20095"/>
    <cellStyle name="输出 2 4 2 2 2 2 3 3" xfId="15155"/>
    <cellStyle name="输出 2 4 2 2 2 2 3 3 2" xfId="15673"/>
    <cellStyle name="输出 2 4 2 2 2 2 4" xfId="12939"/>
    <cellStyle name="输出 2 4 2 2 2 2 4 2" xfId="19371"/>
    <cellStyle name="输出 2 4 2 2 2 3" xfId="8867"/>
    <cellStyle name="输出 2 4 2 2 2 3 2" xfId="14106"/>
    <cellStyle name="输出 2 4 2 2 2 3 2 2" xfId="19146"/>
    <cellStyle name="输出 2 4 2 2 2 4" xfId="11865"/>
    <cellStyle name="输出 2 4 2 2 2 4 2" xfId="17744"/>
    <cellStyle name="输出 2 4 2 2 3" xfId="8696"/>
    <cellStyle name="输出 2 4 2 2 3 2" xfId="13961"/>
    <cellStyle name="输出 2 4 2 2 3 2 2" xfId="18813"/>
    <cellStyle name="输出 2 4 2 2 4" xfId="11694"/>
    <cellStyle name="输出 2 4 2 2 4 2" xfId="19771"/>
    <cellStyle name="输出 2 4 2 3" xfId="6363"/>
    <cellStyle name="输出 2 4 2 3 2" xfId="7166"/>
    <cellStyle name="输出 2 4 2 3 2 2" xfId="9971"/>
    <cellStyle name="输出 2 4 2 3 2 2 2" xfId="14833"/>
    <cellStyle name="输出 2 4 2 3 2 2 2 2" xfId="15849"/>
    <cellStyle name="输出 2 4 2 3 2 3" xfId="10289"/>
    <cellStyle name="输出 2 4 2 3 2 3 2" xfId="10539"/>
    <cellStyle name="输出 2 4 2 3 2 3 2 2" xfId="15266"/>
    <cellStyle name="输出 2 4 2 3 2 3 2 2 2" xfId="18084"/>
    <cellStyle name="输出 2 4 2 3 2 3 3" xfId="15066"/>
    <cellStyle name="输出 2 4 2 3 2 3 3 2" xfId="15728"/>
    <cellStyle name="输出 2 4 2 3 2 4" xfId="12850"/>
    <cellStyle name="输出 2 4 2 3 2 4 2" xfId="19344"/>
    <cellStyle name="输出 2 4 2 3 3" xfId="8778"/>
    <cellStyle name="输出 2 4 2 3 3 2" xfId="14033"/>
    <cellStyle name="输出 2 4 2 3 3 2 2" xfId="18792"/>
    <cellStyle name="输出 2 4 2 3 4" xfId="11776"/>
    <cellStyle name="输出 2 4 2 3 4 2" xfId="19994"/>
    <cellStyle name="输出 2 4 2 4" xfId="8224"/>
    <cellStyle name="输出 2 4 2 4 2" xfId="13489"/>
    <cellStyle name="输出 2 4 2 4 2 2" xfId="16635"/>
    <cellStyle name="输出 2 4 2 5" xfId="11113"/>
    <cellStyle name="输出 2 4 2 5 2" xfId="17419"/>
    <cellStyle name="输出 2 4 3" xfId="5930"/>
    <cellStyle name="输出 2 4 3 2" xfId="6399"/>
    <cellStyle name="输出 2 4 3 2 2" xfId="7202"/>
    <cellStyle name="输出 2 4 3 2 2 2" xfId="10007"/>
    <cellStyle name="输出 2 4 3 2 2 2 2" xfId="14862"/>
    <cellStyle name="输出 2 4 3 2 2 2 2 2" xfId="15835"/>
    <cellStyle name="输出 2 4 3 2 2 3" xfId="10325"/>
    <cellStyle name="输出 2 4 3 2 2 3 2" xfId="10575"/>
    <cellStyle name="输出 2 4 3 2 2 3 2 2" xfId="15302"/>
    <cellStyle name="输出 2 4 3 2 2 3 2 2 2" xfId="15569"/>
    <cellStyle name="输出 2 4 3 2 2 3 3" xfId="15102"/>
    <cellStyle name="输出 2 4 3 2 2 3 3 2" xfId="18116"/>
    <cellStyle name="输出 2 4 3 2 2 4" xfId="12886"/>
    <cellStyle name="输出 2 4 3 2 2 4 2" xfId="16839"/>
    <cellStyle name="输出 2 4 3 2 3" xfId="8814"/>
    <cellStyle name="输出 2 4 3 2 3 2" xfId="14062"/>
    <cellStyle name="输出 2 4 3 2 3 2 2" xfId="16296"/>
    <cellStyle name="输出 2 4 3 2 4" xfId="11812"/>
    <cellStyle name="输出 2 4 3 2 4 2" xfId="19916"/>
    <cellStyle name="输出 2 4 3 3" xfId="8432"/>
    <cellStyle name="输出 2 4 3 3 2" xfId="13697"/>
    <cellStyle name="输出 2 4 3 3 2 2" xfId="16520"/>
    <cellStyle name="输出 2 4 3 4" xfId="11393"/>
    <cellStyle name="输出 2 4 3 4 2" xfId="18567"/>
    <cellStyle name="输出 2 4 4" xfId="6321"/>
    <cellStyle name="输出 2 4 4 2" xfId="7124"/>
    <cellStyle name="输出 2 4 4 2 2" xfId="9929"/>
    <cellStyle name="输出 2 4 4 2 2 2" xfId="14801"/>
    <cellStyle name="输出 2 4 4 2 2 2 2" xfId="15865"/>
    <cellStyle name="输出 2 4 4 2 3" xfId="10247"/>
    <cellStyle name="输出 2 4 4 2 3 2" xfId="10497"/>
    <cellStyle name="输出 2 4 4 2 3 2 2" xfId="15224"/>
    <cellStyle name="输出 2 4 4 2 3 2 2 2" xfId="15628"/>
    <cellStyle name="输出 2 4 4 2 3 3" xfId="15024"/>
    <cellStyle name="输出 2 4 4 2 3 3 2" xfId="17830"/>
    <cellStyle name="输出 2 4 4 2 4" xfId="12808"/>
    <cellStyle name="输出 2 4 4 2 4 2" xfId="19280"/>
    <cellStyle name="输出 2 4 4 3" xfId="8736"/>
    <cellStyle name="输出 2 4 4 3 2" xfId="14000"/>
    <cellStyle name="输出 2 4 4 3 2 2" xfId="16328"/>
    <cellStyle name="输出 2 4 4 4" xfId="11734"/>
    <cellStyle name="输出 2 4 4 4 2" xfId="19180"/>
    <cellStyle name="输出 2 4 5" xfId="8051"/>
    <cellStyle name="输出 2 4 5 2" xfId="13317"/>
    <cellStyle name="输出 2 4 5 2 2" xfId="16730"/>
    <cellStyle name="输出 2 4 6" xfId="10914"/>
    <cellStyle name="输出 2 4 6 2" xfId="18625"/>
    <cellStyle name="输出 2 5" xfId="5089"/>
    <cellStyle name="输出 2 5 2" xfId="5401"/>
    <cellStyle name="输出 2 5 2 2" xfId="6377"/>
    <cellStyle name="输出 2 5 2 2 2" xfId="7527"/>
    <cellStyle name="输出 2 5 2 2 2 2" xfId="7080"/>
    <cellStyle name="输出 2 5 2 2 2 2 2" xfId="9889"/>
    <cellStyle name="输出 2 5 2 2 2 2 2 2" xfId="14762"/>
    <cellStyle name="输出 2 5 2 2 2 2 2 2 2" xfId="15884"/>
    <cellStyle name="输出 2 5 2 2 2 2 3" xfId="12764"/>
    <cellStyle name="输出 2 5 2 2 2 2 3 2" xfId="19000"/>
    <cellStyle name="输出 2 5 2 2 2 3" xfId="8924"/>
    <cellStyle name="输出 2 5 2 2 2 3 2" xfId="14163"/>
    <cellStyle name="输出 2 5 2 2 2 3 2 2" xfId="16243"/>
    <cellStyle name="输出 2 5 2 2 2 4" xfId="11924"/>
    <cellStyle name="输出 2 5 2 2 2 4 2" xfId="17852"/>
    <cellStyle name="输出 2 5 2 2 3" xfId="7180"/>
    <cellStyle name="输出 2 5 2 2 3 2" xfId="9985"/>
    <cellStyle name="输出 2 5 2 2 3 2 2" xfId="10303"/>
    <cellStyle name="输出 2 5 2 2 3 2 2 2" xfId="10553"/>
    <cellStyle name="输出 2 5 2 2 3 2 2 2 2" xfId="15280"/>
    <cellStyle name="输出 2 5 2 2 3 2 2 2 2 2" xfId="15586"/>
    <cellStyle name="输出 2 5 2 2 3 2 2 3" xfId="15080"/>
    <cellStyle name="输出 2 5 2 2 3 2 2 3 2" xfId="15434"/>
    <cellStyle name="输出 2 5 2 2 3 2 3" xfId="12864"/>
    <cellStyle name="输出 2 5 2 2 3 2 3 2" xfId="19664"/>
    <cellStyle name="输出 2 5 2 2 3 3" xfId="9288"/>
    <cellStyle name="输出 2 5 2 2 3 3 2" xfId="14284"/>
    <cellStyle name="输出 2 5 2 2 3 3 2 2" xfId="16183"/>
    <cellStyle name="输出 2 5 2 2 3 4" xfId="10195"/>
    <cellStyle name="输出 2 5 2 2 3 4 2" xfId="10445"/>
    <cellStyle name="输出 2 5 2 2 3 4 2 2" xfId="15172"/>
    <cellStyle name="输出 2 5 2 2 3 4 2 2 2" xfId="17845"/>
    <cellStyle name="输出 2 5 2 2 3 4 3" xfId="14972"/>
    <cellStyle name="输出 2 5 2 2 3 4 3 2" xfId="15778"/>
    <cellStyle name="输出 2 5 2 2 3 5" xfId="12066"/>
    <cellStyle name="输出 2 5 2 2 3 5 2" xfId="17085"/>
    <cellStyle name="输出 2 5 2 2 4" xfId="8792"/>
    <cellStyle name="输出 2 5 2 2 4 2" xfId="13108"/>
    <cellStyle name="输出 2 5 2 2 4 2 2" xfId="19369"/>
    <cellStyle name="输出 2 5 2 2 5" xfId="11790"/>
    <cellStyle name="输出 2 5 2 2 5 2" xfId="19798"/>
    <cellStyle name="输出 2 5 2 3" xfId="8308"/>
    <cellStyle name="输出 2 5 2 3 2" xfId="13573"/>
    <cellStyle name="输出 2 5 2 3 2 2" xfId="16596"/>
    <cellStyle name="输出 2 5 2 4" xfId="11233"/>
    <cellStyle name="输出 2 5 2 4 2" xfId="17328"/>
    <cellStyle name="输出 2 5 3" xfId="6069"/>
    <cellStyle name="输出 2 5 3 2" xfId="6423"/>
    <cellStyle name="输出 2 5 3 2 2" xfId="7639"/>
    <cellStyle name="输出 2 5 3 2 2 2" xfId="6813"/>
    <cellStyle name="输出 2 5 3 2 2 2 2" xfId="9708"/>
    <cellStyle name="输出 2 5 3 2 2 2 2 2" xfId="14601"/>
    <cellStyle name="输出 2 5 3 2 2 2 2 2 2" xfId="15989"/>
    <cellStyle name="输出 2 5 3 2 2 2 3" xfId="12497"/>
    <cellStyle name="输出 2 5 3 2 2 2 3 2" xfId="18399"/>
    <cellStyle name="输出 2 5 3 2 2 3" xfId="8962"/>
    <cellStyle name="输出 2 5 3 2 2 3 2" xfId="14201"/>
    <cellStyle name="输出 2 5 3 2 2 3 2 2" xfId="18848"/>
    <cellStyle name="输出 2 5 3 2 2 4" xfId="11964"/>
    <cellStyle name="输出 2 5 3 2 2 4 2" xfId="17152"/>
    <cellStyle name="输出 2 5 3 2 3" xfId="7226"/>
    <cellStyle name="输出 2 5 3 2 3 2" xfId="10031"/>
    <cellStyle name="输出 2 5 3 2 3 2 2" xfId="10349"/>
    <cellStyle name="输出 2 5 3 2 3 2 2 2" xfId="10599"/>
    <cellStyle name="输出 2 5 3 2 3 2 2 2 2" xfId="15326"/>
    <cellStyle name="输出 2 5 3 2 3 2 2 2 2 2" xfId="18088"/>
    <cellStyle name="输出 2 5 3 2 3 2 2 3" xfId="15126"/>
    <cellStyle name="输出 2 5 3 2 3 2 2 3 2" xfId="15691"/>
    <cellStyle name="输出 2 5 3 2 3 2 3" xfId="12910"/>
    <cellStyle name="输出 2 5 3 2 3 2 3 2" xfId="19919"/>
    <cellStyle name="输出 2 5 3 2 3 3" xfId="9405"/>
    <cellStyle name="输出 2 5 3 2 3 3 2" xfId="14319"/>
    <cellStyle name="输出 2 5 3 2 3 3 2 2" xfId="17801"/>
    <cellStyle name="输出 2 5 3 2 3 4" xfId="10205"/>
    <cellStyle name="输出 2 5 3 2 3 4 2" xfId="10455"/>
    <cellStyle name="输出 2 5 3 2 3 4 2 2" xfId="15182"/>
    <cellStyle name="输出 2 5 3 2 3 4 2 2 2" xfId="17846"/>
    <cellStyle name="输出 2 5 3 2 3 4 3" xfId="14982"/>
    <cellStyle name="输出 2 5 3 2 3 4 3 2" xfId="15772"/>
    <cellStyle name="输出 2 5 3 2 3 5" xfId="12111"/>
    <cellStyle name="输出 2 5 3 2 3 5 2" xfId="17059"/>
    <cellStyle name="输出 2 5 3 2 4" xfId="8838"/>
    <cellStyle name="输出 2 5 3 2 4 2" xfId="13117"/>
    <cellStyle name="输出 2 5 3 2 4 2 2" xfId="18585"/>
    <cellStyle name="输出 2 5 3 2 5" xfId="11836"/>
    <cellStyle name="输出 2 5 3 2 5 2" xfId="17232"/>
    <cellStyle name="输出 2 5 3 3" xfId="8552"/>
    <cellStyle name="输出 2 5 3 3 2" xfId="13817"/>
    <cellStyle name="输出 2 5 3 3 2 2" xfId="16457"/>
    <cellStyle name="输出 2 5 3 4" xfId="11532"/>
    <cellStyle name="输出 2 5 3 4 2" xfId="17257"/>
    <cellStyle name="输出 2 5 4" xfId="6334"/>
    <cellStyle name="输出 2 5 4 2" xfId="7495"/>
    <cellStyle name="输出 2 5 4 2 2" xfId="6612"/>
    <cellStyle name="输出 2 5 4 2 2 2" xfId="9564"/>
    <cellStyle name="输出 2 5 4 2 2 2 2" xfId="14465"/>
    <cellStyle name="输出 2 5 4 2 2 2 2 2" xfId="17814"/>
    <cellStyle name="输出 2 5 4 2 2 3" xfId="12297"/>
    <cellStyle name="输出 2 5 4 2 2 3 2" xfId="17920"/>
    <cellStyle name="输出 2 5 4 2 3" xfId="8893"/>
    <cellStyle name="输出 2 5 4 2 3 2" xfId="14132"/>
    <cellStyle name="输出 2 5 4 2 3 2 2" xfId="18237"/>
    <cellStyle name="输出 2 5 4 2 4" xfId="11892"/>
    <cellStyle name="输出 2 5 4 2 4 2" xfId="17199"/>
    <cellStyle name="输出 2 5 4 3" xfId="7137"/>
    <cellStyle name="输出 2 5 4 3 2" xfId="9942"/>
    <cellStyle name="输出 2 5 4 3 2 2" xfId="10260"/>
    <cellStyle name="输出 2 5 4 3 2 2 2" xfId="10510"/>
    <cellStyle name="输出 2 5 4 3 2 2 2 2" xfId="15237"/>
    <cellStyle name="输出 2 5 4 3 2 2 2 2 2" xfId="15619"/>
    <cellStyle name="输出 2 5 4 3 2 2 3" xfId="15037"/>
    <cellStyle name="输出 2 5 4 3 2 2 3 2" xfId="15745"/>
    <cellStyle name="输出 2 5 4 3 2 3" xfId="12821"/>
    <cellStyle name="输出 2 5 4 3 2 3 2" xfId="18302"/>
    <cellStyle name="输出 2 5 4 3 3" xfId="9251"/>
    <cellStyle name="输出 2 5 4 3 3 2" xfId="14257"/>
    <cellStyle name="输出 2 5 4 3 3 2 2" xfId="15407"/>
    <cellStyle name="输出 2 5 4 3 4" xfId="10187"/>
    <cellStyle name="输出 2 5 4 3 4 2" xfId="10437"/>
    <cellStyle name="输出 2 5 4 3 4 2 2" xfId="15164"/>
    <cellStyle name="输出 2 5 4 3 4 2 2 2" xfId="15668"/>
    <cellStyle name="输出 2 5 4 3 4 3" xfId="14964"/>
    <cellStyle name="输出 2 5 4 3 4 3 2" xfId="18130"/>
    <cellStyle name="输出 2 5 4 3 5" xfId="12029"/>
    <cellStyle name="输出 2 5 4 3 5 2" xfId="17110"/>
    <cellStyle name="输出 2 5 4 4" xfId="8749"/>
    <cellStyle name="输出 2 5 4 4 2" xfId="13101"/>
    <cellStyle name="输出 2 5 4 4 2 2" xfId="19031"/>
    <cellStyle name="输出 2 5 4 5" xfId="11747"/>
    <cellStyle name="输出 2 5 4 5 2" xfId="19538"/>
    <cellStyle name="输出 2 5 5" xfId="8080"/>
    <cellStyle name="输出 2 5 5 2" xfId="13345"/>
    <cellStyle name="输出 2 5 5 2 2" xfId="18374"/>
    <cellStyle name="输出 2 5 6" xfId="10951"/>
    <cellStyle name="输出 2 5 6 2" xfId="18600"/>
    <cellStyle name="输出 2 6" xfId="5178"/>
    <cellStyle name="输出 2 6 2" xfId="6154"/>
    <cellStyle name="输出 2 6 2 2" xfId="6441"/>
    <cellStyle name="输出 2 6 2 2 2" xfId="7244"/>
    <cellStyle name="输出 2 6 2 2 2 2" xfId="10049"/>
    <cellStyle name="输出 2 6 2 2 2 2 2" xfId="10367"/>
    <cellStyle name="输出 2 6 2 2 2 2 2 2" xfId="10617"/>
    <cellStyle name="输出 2 6 2 2 2 2 2 2 2" xfId="15344"/>
    <cellStyle name="输出 2 6 2 2 2 2 2 2 2 2" xfId="15537"/>
    <cellStyle name="输出 2 6 2 2 2 2 2 3" xfId="15144"/>
    <cellStyle name="输出 2 6 2 2 2 2 2 3 2" xfId="15681"/>
    <cellStyle name="输出 2 6 2 2 2 2 3" xfId="12928"/>
    <cellStyle name="输出 2 6 2 2 2 2 3 2" xfId="19283"/>
    <cellStyle name="输出 2 6 2 2 2 3" xfId="9008"/>
    <cellStyle name="输出 2 6 2 2 2 3 2" xfId="14233"/>
    <cellStyle name="输出 2 6 2 2 2 3 2 2" xfId="16210"/>
    <cellStyle name="输出 2 6 2 2 2 4" xfId="10180"/>
    <cellStyle name="输出 2 6 2 2 2 4 2" xfId="10430"/>
    <cellStyle name="输出 2 6 2 2 2 4 2 2" xfId="15157"/>
    <cellStyle name="输出 2 6 2 2 2 4 2 2 2" xfId="15671"/>
    <cellStyle name="输出 2 6 2 2 2 4 3" xfId="14957"/>
    <cellStyle name="输出 2 6 2 2 2 4 3 2" xfId="15794"/>
    <cellStyle name="输出 2 6 2 2 2 5" xfId="11999"/>
    <cellStyle name="输出 2 6 2 2 2 5 2" xfId="17133"/>
    <cellStyle name="输出 2 6 2 2 3" xfId="8856"/>
    <cellStyle name="输出 2 6 2 2 3 2" xfId="14096"/>
    <cellStyle name="输出 2 6 2 2 3 2 2" xfId="16276"/>
    <cellStyle name="输出 2 6 2 2 4" xfId="11854"/>
    <cellStyle name="输出 2 6 2 2 4 2" xfId="17221"/>
    <cellStyle name="输出 2 6 2 3" xfId="9419"/>
    <cellStyle name="输出 2 6 2 3 2" xfId="10210"/>
    <cellStyle name="输出 2 6 2 3 2 2" xfId="10460"/>
    <cellStyle name="输出 2 6 2 3 2 2 2" xfId="15187"/>
    <cellStyle name="输出 2 6 2 3 2 2 2 2" xfId="15653"/>
    <cellStyle name="输出 2 6 2 3 2 3" xfId="14987"/>
    <cellStyle name="输出 2 6 2 3 2 3 2" xfId="15776"/>
    <cellStyle name="输出 2 6 2 3 3" xfId="12125"/>
    <cellStyle name="输出 2 6 2 3 3 2" xfId="17045"/>
    <cellStyle name="输出 2 6 2 4" xfId="8623"/>
    <cellStyle name="输出 2 6 2 4 2" xfId="13888"/>
    <cellStyle name="输出 2 6 2 4 2 2" xfId="16410"/>
    <cellStyle name="输出 2 6 2 5" xfId="11617"/>
    <cellStyle name="输出 2 6 2 5 2" xfId="18568"/>
    <cellStyle name="输出 2 6 3" xfId="6352"/>
    <cellStyle name="输出 2 6 3 2" xfId="7155"/>
    <cellStyle name="输出 2 6 3 2 2" xfId="9960"/>
    <cellStyle name="输出 2 6 3 2 2 2" xfId="10278"/>
    <cellStyle name="输出 2 6 3 2 2 2 2" xfId="10528"/>
    <cellStyle name="输出 2 6 3 2 2 2 2 2" xfId="15255"/>
    <cellStyle name="输出 2 6 3 2 2 2 2 2 2" xfId="15606"/>
    <cellStyle name="输出 2 6 3 2 2 2 3" xfId="15055"/>
    <cellStyle name="输出 2 6 3 2 2 2 3 2" xfId="15735"/>
    <cellStyle name="输出 2 6 3 2 2 3" xfId="12839"/>
    <cellStyle name="输出 2 6 3 2 2 3 2" xfId="19824"/>
    <cellStyle name="输出 2 6 3 2 3" xfId="9007"/>
    <cellStyle name="输出 2 6 3 2 3 2" xfId="14232"/>
    <cellStyle name="输出 2 6 3 2 3 2 2" xfId="16211"/>
    <cellStyle name="输出 2 6 3 2 4" xfId="10179"/>
    <cellStyle name="输出 2 6 3 2 4 2" xfId="10429"/>
    <cellStyle name="输出 2 6 3 2 4 2 2" xfId="15156"/>
    <cellStyle name="输出 2 6 3 2 4 2 2 2" xfId="15672"/>
    <cellStyle name="输出 2 6 3 2 4 3" xfId="14956"/>
    <cellStyle name="输出 2 6 3 2 4 3 2" xfId="15795"/>
    <cellStyle name="输出 2 6 3 2 5" xfId="11998"/>
    <cellStyle name="输出 2 6 3 2 5 2" xfId="17134"/>
    <cellStyle name="输出 2 6 3 3" xfId="8767"/>
    <cellStyle name="输出 2 6 3 3 2" xfId="14023"/>
    <cellStyle name="输出 2 6 3 3 2 2" xfId="16317"/>
    <cellStyle name="输出 2 6 3 4" xfId="11765"/>
    <cellStyle name="输出 2 6 3 4 2" xfId="19871"/>
    <cellStyle name="输出 2 6 4" xfId="9265"/>
    <cellStyle name="输出 2 6 4 2" xfId="10192"/>
    <cellStyle name="输出 2 6 4 2 2" xfId="10442"/>
    <cellStyle name="输出 2 6 4 2 2 2" xfId="15169"/>
    <cellStyle name="输出 2 6 4 2 2 2 2" xfId="15658"/>
    <cellStyle name="输出 2 6 4 2 3" xfId="14969"/>
    <cellStyle name="输出 2 6 4 2 3 2" xfId="15786"/>
    <cellStyle name="输出 2 6 4 3" xfId="12043"/>
    <cellStyle name="输出 2 6 4 3 2" xfId="17907"/>
    <cellStyle name="输出 2 6 5" xfId="8151"/>
    <cellStyle name="输出 2 6 5 2" xfId="13416"/>
    <cellStyle name="输出 2 6 5 2 2" xfId="16672"/>
    <cellStyle name="输出 2 6 6" xfId="11036"/>
    <cellStyle name="输出 2 6 6 2" xfId="17485"/>
    <cellStyle name="输出 2 7" xfId="5953"/>
    <cellStyle name="输出 2 7 2" xfId="6404"/>
    <cellStyle name="输出 2 7 2 2" xfId="7207"/>
    <cellStyle name="输出 2 7 2 2 2" xfId="10012"/>
    <cellStyle name="输出 2 7 2 2 2 2" xfId="10330"/>
    <cellStyle name="输出 2 7 2 2 2 2 2" xfId="10580"/>
    <cellStyle name="输出 2 7 2 2 2 2 2 2" xfId="15307"/>
    <cellStyle name="输出 2 7 2 2 2 2 2 2 2" xfId="18908"/>
    <cellStyle name="输出 2 7 2 2 2 2 3" xfId="15107"/>
    <cellStyle name="输出 2 7 2 2 2 2 3 2" xfId="15702"/>
    <cellStyle name="输出 2 7 2 2 2 3" xfId="12891"/>
    <cellStyle name="输出 2 7 2 2 2 3 2" xfId="19958"/>
    <cellStyle name="输出 2 7 2 2 3" xfId="9010"/>
    <cellStyle name="输出 2 7 2 2 3 2" xfId="14234"/>
    <cellStyle name="输出 2 7 2 2 3 2 2" xfId="16209"/>
    <cellStyle name="输出 2 7 2 2 4" xfId="10181"/>
    <cellStyle name="输出 2 7 2 2 4 2" xfId="10431"/>
    <cellStyle name="输出 2 7 2 2 4 2 2" xfId="15158"/>
    <cellStyle name="输出 2 7 2 2 4 2 2 2" xfId="15670"/>
    <cellStyle name="输出 2 7 2 2 4 3" xfId="14958"/>
    <cellStyle name="输出 2 7 2 2 4 3 2" xfId="15793"/>
    <cellStyle name="输出 2 7 2 2 5" xfId="12001"/>
    <cellStyle name="输出 2 7 2 2 5 2" xfId="17131"/>
    <cellStyle name="输出 2 7 2 3" xfId="8819"/>
    <cellStyle name="输出 2 7 2 3 2" xfId="14066"/>
    <cellStyle name="输出 2 7 2 3 2 2" xfId="16294"/>
    <cellStyle name="输出 2 7 2 4" xfId="11817"/>
    <cellStyle name="输出 2 7 2 4 2" xfId="19081"/>
    <cellStyle name="输出 2 7 3" xfId="9387"/>
    <cellStyle name="输出 2 7 3 2" xfId="10202"/>
    <cellStyle name="输出 2 7 3 2 2" xfId="10452"/>
    <cellStyle name="输出 2 7 3 2 2 2" xfId="15179"/>
    <cellStyle name="输出 2 7 3 2 2 2 2" xfId="15652"/>
    <cellStyle name="输出 2 7 3 2 3" xfId="14979"/>
    <cellStyle name="输出 2 7 3 2 3 2" xfId="15780"/>
    <cellStyle name="输出 2 7 3 3" xfId="12093"/>
    <cellStyle name="输出 2 7 3 3 2" xfId="17071"/>
    <cellStyle name="输出 2 7 4" xfId="8449"/>
    <cellStyle name="输出 2 7 4 2" xfId="13714"/>
    <cellStyle name="输出 2 7 4 2 2" xfId="16516"/>
    <cellStyle name="输出 2 7 5" xfId="11416"/>
    <cellStyle name="输出 2 7 5 2" xfId="19718"/>
    <cellStyle name="输出 2 8" xfId="4030"/>
    <cellStyle name="输出 2 8 2" xfId="6318"/>
    <cellStyle name="输出 2 8 2 2" xfId="7121"/>
    <cellStyle name="输出 2 8 2 2 2" xfId="9926"/>
    <cellStyle name="输出 2 8 2 2 2 2" xfId="14798"/>
    <cellStyle name="输出 2 8 2 2 2 2 2" xfId="18751"/>
    <cellStyle name="输出 2 8 2 2 3" xfId="10244"/>
    <cellStyle name="输出 2 8 2 2 3 2" xfId="10494"/>
    <cellStyle name="输出 2 8 2 2 3 2 2" xfId="15221"/>
    <cellStyle name="输出 2 8 2 2 3 2 2 2" xfId="15631"/>
    <cellStyle name="输出 2 8 2 2 3 3" xfId="15021"/>
    <cellStyle name="输出 2 8 2 2 3 3 2" xfId="15748"/>
    <cellStyle name="输出 2 8 2 2 4" xfId="12805"/>
    <cellStyle name="输出 2 8 2 2 4 2" xfId="19051"/>
    <cellStyle name="输出 2 8 2 3" xfId="8733"/>
    <cellStyle name="输出 2 8 2 3 2" xfId="13997"/>
    <cellStyle name="输出 2 8 2 3 2 2" xfId="16331"/>
    <cellStyle name="输出 2 8 2 4" xfId="11731"/>
    <cellStyle name="输出 2 8 2 4 2" xfId="17251"/>
    <cellStyle name="输出 2 8 3" xfId="8048"/>
    <cellStyle name="输出 2 8 3 2" xfId="13314"/>
    <cellStyle name="输出 2 8 3 2 2" xfId="16733"/>
    <cellStyle name="输出 2 8 4" xfId="10911"/>
    <cellStyle name="输出 2 8 4 2" xfId="17577"/>
    <cellStyle name="输出 2 9" xfId="7823"/>
    <cellStyle name="输出 2 9 2" xfId="13062"/>
    <cellStyle name="输出 2 9 2 2" xfId="19570"/>
    <cellStyle name="输出 3" xfId="390"/>
    <cellStyle name="输出 3 2" xfId="412"/>
    <cellStyle name="输出 3 2 2" xfId="5177"/>
    <cellStyle name="输出 3 2 2 2" xfId="6153"/>
    <cellStyle name="输出 3 2 2 2 2" xfId="6440"/>
    <cellStyle name="输出 3 2 2 2 2 2" xfId="7243"/>
    <cellStyle name="输出 3 2 2 2 2 2 2" xfId="10048"/>
    <cellStyle name="输出 3 2 2 2 2 2 2 2" xfId="14894"/>
    <cellStyle name="输出 3 2 2 2 2 2 2 2 2" xfId="18968"/>
    <cellStyle name="输出 3 2 2 2 2 2 3" xfId="10366"/>
    <cellStyle name="输出 3 2 2 2 2 2 3 2" xfId="10616"/>
    <cellStyle name="输出 3 2 2 2 2 2 3 2 2" xfId="15343"/>
    <cellStyle name="输出 3 2 2 2 2 2 3 2 2 2" xfId="15538"/>
    <cellStyle name="输出 3 2 2 2 2 2 3 3" xfId="15143"/>
    <cellStyle name="输出 3 2 2 2 2 2 3 3 2" xfId="17842"/>
    <cellStyle name="输出 3 2 2 2 2 2 4" xfId="12927"/>
    <cellStyle name="输出 3 2 2 2 2 2 4 2" xfId="19904"/>
    <cellStyle name="输出 3 2 2 2 2 3" xfId="8855"/>
    <cellStyle name="输出 3 2 2 2 2 3 2" xfId="14095"/>
    <cellStyle name="输出 3 2 2 2 2 3 2 2" xfId="16277"/>
    <cellStyle name="输出 3 2 2 2 2 4" xfId="11853"/>
    <cellStyle name="输出 3 2 2 2 2 4 2" xfId="17743"/>
    <cellStyle name="输出 3 2 2 2 3" xfId="8622"/>
    <cellStyle name="输出 3 2 2 2 3 2" xfId="13887"/>
    <cellStyle name="输出 3 2 2 2 3 2 2" xfId="16411"/>
    <cellStyle name="输出 3 2 2 2 4" xfId="11616"/>
    <cellStyle name="输出 3 2 2 2 4 2" xfId="19115"/>
    <cellStyle name="输出 3 2 2 3" xfId="6351"/>
    <cellStyle name="输出 3 2 2 3 2" xfId="7154"/>
    <cellStyle name="输出 3 2 2 3 2 2" xfId="9959"/>
    <cellStyle name="输出 3 2 2 3 2 2 2" xfId="14823"/>
    <cellStyle name="输出 3 2 2 3 2 2 2 2" xfId="15855"/>
    <cellStyle name="输出 3 2 2 3 2 3" xfId="10277"/>
    <cellStyle name="输出 3 2 2 3 2 3 2" xfId="10527"/>
    <cellStyle name="输出 3 2 2 3 2 3 2 2" xfId="15254"/>
    <cellStyle name="输出 3 2 2 3 2 3 2 2 2" xfId="15607"/>
    <cellStyle name="输出 3 2 2 3 2 3 3" xfId="15054"/>
    <cellStyle name="输出 3 2 2 3 2 3 3 2" xfId="17833"/>
    <cellStyle name="输出 3 2 2 3 2 4" xfId="12838"/>
    <cellStyle name="输出 3 2 2 3 2 4 2" xfId="19519"/>
    <cellStyle name="输出 3 2 2 3 3" xfId="8766"/>
    <cellStyle name="输出 3 2 2 3 3 2" xfId="14022"/>
    <cellStyle name="输出 3 2 2 3 3 2 2" xfId="18043"/>
    <cellStyle name="输出 3 2 2 3 4" xfId="11764"/>
    <cellStyle name="输出 3 2 2 3 4 2" xfId="19566"/>
    <cellStyle name="输出 3 2 2 4" xfId="8150"/>
    <cellStyle name="输出 3 2 2 4 2" xfId="13415"/>
    <cellStyle name="输出 3 2 2 4 2 2" xfId="18702"/>
    <cellStyle name="输出 3 2 2 5" xfId="11035"/>
    <cellStyle name="输出 3 2 2 5 2" xfId="17486"/>
    <cellStyle name="输出 3 2 3" xfId="5955"/>
    <cellStyle name="输出 3 2 3 2" xfId="6406"/>
    <cellStyle name="输出 3 2 3 2 2" xfId="7209"/>
    <cellStyle name="输出 3 2 3 2 2 2" xfId="10014"/>
    <cellStyle name="输出 3 2 3 2 2 2 2" xfId="14866"/>
    <cellStyle name="输出 3 2 3 2 2 2 2 2" xfId="18777"/>
    <cellStyle name="输出 3 2 3 2 2 3" xfId="10332"/>
    <cellStyle name="输出 3 2 3 2 2 3 2" xfId="10582"/>
    <cellStyle name="输出 3 2 3 2 2 3 2 2" xfId="15309"/>
    <cellStyle name="输出 3 2 3 2 2 3 2 2 2" xfId="17988"/>
    <cellStyle name="输出 3 2 3 2 2 3 3" xfId="15109"/>
    <cellStyle name="输出 3 2 3 2 2 3 3 2" xfId="15432"/>
    <cellStyle name="输出 3 2 3 2 2 4" xfId="12893"/>
    <cellStyle name="输出 3 2 3 2 2 4 2" xfId="19007"/>
    <cellStyle name="输出 3 2 3 2 3" xfId="8821"/>
    <cellStyle name="输出 3 2 3 2 3 2" xfId="14067"/>
    <cellStyle name="输出 3 2 3 2 3 2 2" xfId="16293"/>
    <cellStyle name="输出 3 2 3 2 4" xfId="11819"/>
    <cellStyle name="输出 3 2 3 2 4 2" xfId="18261"/>
    <cellStyle name="输出 3 2 3 3" xfId="8451"/>
    <cellStyle name="输出 3 2 3 3 2" xfId="13716"/>
    <cellStyle name="输出 3 2 3 3 2 2" xfId="15513"/>
    <cellStyle name="输出 3 2 3 4" xfId="11418"/>
    <cellStyle name="输出 3 2 3 4 2" xfId="19399"/>
    <cellStyle name="输出 3 2 4" xfId="4035"/>
    <cellStyle name="输出 3 2 4 2" xfId="6323"/>
    <cellStyle name="输出 3 2 4 2 2" xfId="7126"/>
    <cellStyle name="输出 3 2 4 2 2 2" xfId="9931"/>
    <cellStyle name="输出 3 2 4 2 2 2 2" xfId="14803"/>
    <cellStyle name="输出 3 2 4 2 2 2 2 2" xfId="15864"/>
    <cellStyle name="输出 3 2 4 2 2 3" xfId="10249"/>
    <cellStyle name="输出 3 2 4 2 2 3 2" xfId="10499"/>
    <cellStyle name="输出 3 2 4 2 2 3 2 2" xfId="15226"/>
    <cellStyle name="输出 3 2 4 2 2 3 2 2 2" xfId="18079"/>
    <cellStyle name="输出 3 2 4 2 2 3 3" xfId="15026"/>
    <cellStyle name="输出 3 2 4 2 2 3 3 2" xfId="15752"/>
    <cellStyle name="输出 3 2 4 2 2 4" xfId="12810"/>
    <cellStyle name="输出 3 2 4 2 2 4 2" xfId="19949"/>
    <cellStyle name="输出 3 2 4 2 3" xfId="8738"/>
    <cellStyle name="输出 3 2 4 2 3 2" xfId="14002"/>
    <cellStyle name="输出 3 2 4 2 3 2 2" xfId="16326"/>
    <cellStyle name="输出 3 2 4 2 4" xfId="11736"/>
    <cellStyle name="输出 3 2 4 2 4 2" xfId="20052"/>
    <cellStyle name="输出 3 2 4 3" xfId="8053"/>
    <cellStyle name="输出 3 2 4 3 2" xfId="13319"/>
    <cellStyle name="输出 3 2 4 3 2 2" xfId="16728"/>
    <cellStyle name="输出 3 2 4 4" xfId="10916"/>
    <cellStyle name="输出 3 2 4 4 2" xfId="18333"/>
    <cellStyle name="输出 3 2 5" xfId="6290"/>
    <cellStyle name="输出 3 2 5 2" xfId="7093"/>
    <cellStyle name="输出 3 2 5 2 2" xfId="9898"/>
    <cellStyle name="输出 3 2 5 2 2 2" xfId="14771"/>
    <cellStyle name="输出 3 2 5 2 2 2 2" xfId="15880"/>
    <cellStyle name="输出 3 2 5 2 3" xfId="10216"/>
    <cellStyle name="输出 3 2 5 2 3 2" xfId="10466"/>
    <cellStyle name="输出 3 2 5 2 3 2 2" xfId="15193"/>
    <cellStyle name="输出 3 2 5 2 3 2 2 2" xfId="15651"/>
    <cellStyle name="输出 3 2 5 2 3 3" xfId="14993"/>
    <cellStyle name="输出 3 2 5 2 3 3 2" xfId="18439"/>
    <cellStyle name="输出 3 2 5 2 4" xfId="12777"/>
    <cellStyle name="输出 3 2 5 2 4 2" xfId="19170"/>
    <cellStyle name="输出 3 2 5 3" xfId="8705"/>
    <cellStyle name="输出 3 2 5 3 2" xfId="13970"/>
    <cellStyle name="输出 3 2 5 3 2 2" xfId="16352"/>
    <cellStyle name="输出 3 2 5 4" xfId="11703"/>
    <cellStyle name="输出 3 2 5 4 2" xfId="19941"/>
    <cellStyle name="输出 3 2 6" xfId="7846"/>
    <cellStyle name="输出 3 2 6 2" xfId="13085"/>
    <cellStyle name="输出 3 2 6 2 2" xfId="18267"/>
    <cellStyle name="输出 3 2 7" xfId="10663"/>
    <cellStyle name="输出 3 2 7 2" xfId="19825"/>
    <cellStyle name="输出 3 3" xfId="5122"/>
    <cellStyle name="输出 3 3 2" xfId="6098"/>
    <cellStyle name="输出 3 3 2 2" xfId="6429"/>
    <cellStyle name="输出 3 3 2 2 2" xfId="7232"/>
    <cellStyle name="输出 3 3 2 2 2 2" xfId="10037"/>
    <cellStyle name="输出 3 3 2 2 2 2 2" xfId="14886"/>
    <cellStyle name="输出 3 3 2 2 2 2 2 2" xfId="18218"/>
    <cellStyle name="输出 3 3 2 2 2 3" xfId="10355"/>
    <cellStyle name="输出 3 3 2 2 2 3 2" xfId="10605"/>
    <cellStyle name="输出 3 3 2 2 2 3 2 2" xfId="15332"/>
    <cellStyle name="输出 3 3 2 2 2 3 2 2 2" xfId="15549"/>
    <cellStyle name="输出 3 3 2 2 2 3 3" xfId="15132"/>
    <cellStyle name="输出 3 3 2 2 2 3 3 2" xfId="18113"/>
    <cellStyle name="输出 3 3 2 2 2 4" xfId="12916"/>
    <cellStyle name="输出 3 3 2 2 2 4 2" xfId="18581"/>
    <cellStyle name="输出 3 3 2 2 3" xfId="8844"/>
    <cellStyle name="输出 3 3 2 2 3 2" xfId="14087"/>
    <cellStyle name="输出 3 3 2 2 3 2 2" xfId="16281"/>
    <cellStyle name="输出 3 3 2 2 4" xfId="11842"/>
    <cellStyle name="输出 3 3 2 2 4 2" xfId="17226"/>
    <cellStyle name="输出 3 3 2 3" xfId="8569"/>
    <cellStyle name="输出 3 3 2 3 2" xfId="13834"/>
    <cellStyle name="输出 3 3 2 3 2 2" xfId="18476"/>
    <cellStyle name="输出 3 3 2 4" xfId="11561"/>
    <cellStyle name="输出 3 3 2 4 2" xfId="19998"/>
    <cellStyle name="输出 3 3 3" xfId="6340"/>
    <cellStyle name="输出 3 3 3 2" xfId="7143"/>
    <cellStyle name="输出 3 3 3 2 2" xfId="9948"/>
    <cellStyle name="输出 3 3 3 2 2 2" xfId="14815"/>
    <cellStyle name="输出 3 3 3 2 2 2 2" xfId="15859"/>
    <cellStyle name="输出 3 3 3 2 3" xfId="10266"/>
    <cellStyle name="输出 3 3 3 2 3 2" xfId="10516"/>
    <cellStyle name="输出 3 3 3 2 3 2 2" xfId="15243"/>
    <cellStyle name="输出 3 3 3 2 3 2 2 2" xfId="15613"/>
    <cellStyle name="输出 3 3 3 2 3 3" xfId="15043"/>
    <cellStyle name="输出 3 3 3 2 3 3 2" xfId="18122"/>
    <cellStyle name="输出 3 3 3 2 4" xfId="12827"/>
    <cellStyle name="输出 3 3 3 2 4 2" xfId="20033"/>
    <cellStyle name="输出 3 3 3 3" xfId="8755"/>
    <cellStyle name="输出 3 3 3 3 2" xfId="14014"/>
    <cellStyle name="输出 3 3 3 3 2 2" xfId="16322"/>
    <cellStyle name="输出 3 3 3 4" xfId="11753"/>
    <cellStyle name="输出 3 3 3 4 2" xfId="19109"/>
    <cellStyle name="输出 3 3 4" xfId="8097"/>
    <cellStyle name="输出 3 3 4 2" xfId="13362"/>
    <cellStyle name="输出 3 3 4 2 2" xfId="18707"/>
    <cellStyle name="输出 3 3 5" xfId="10980"/>
    <cellStyle name="输出 3 3 5 2" xfId="17524"/>
    <cellStyle name="输出 3 4" xfId="5956"/>
    <cellStyle name="输出 3 4 2" xfId="6407"/>
    <cellStyle name="输出 3 4 2 2" xfId="7210"/>
    <cellStyle name="输出 3 4 2 2 2" xfId="10015"/>
    <cellStyle name="输出 3 4 2 2 2 2" xfId="14867"/>
    <cellStyle name="输出 3 4 2 2 2 2 2" xfId="18345"/>
    <cellStyle name="输出 3 4 2 2 3" xfId="10333"/>
    <cellStyle name="输出 3 4 2 2 3 2" xfId="10583"/>
    <cellStyle name="输出 3 4 2 2 3 2 2" xfId="15310"/>
    <cellStyle name="输出 3 4 2 2 3 2 2 2" xfId="15566"/>
    <cellStyle name="输出 3 4 2 2 3 3" xfId="15110"/>
    <cellStyle name="输出 3 4 2 2 3 3 2" xfId="15694"/>
    <cellStyle name="输出 3 4 2 2 4" xfId="12894"/>
    <cellStyle name="输出 3 4 2 2 4 2" xfId="19578"/>
    <cellStyle name="输出 3 4 2 3" xfId="8822"/>
    <cellStyle name="输出 3 4 2 3 2" xfId="14068"/>
    <cellStyle name="输出 3 4 2 3 2 2" xfId="16292"/>
    <cellStyle name="输出 3 4 2 4" xfId="11820"/>
    <cellStyle name="输出 3 4 2 4 2" xfId="17247"/>
    <cellStyle name="输出 3 4 3" xfId="8452"/>
    <cellStyle name="输出 3 4 3 2" xfId="13717"/>
    <cellStyle name="输出 3 4 3 2 2" xfId="16508"/>
    <cellStyle name="输出 3 4 4" xfId="11419"/>
    <cellStyle name="输出 3 4 4 2" xfId="19069"/>
    <cellStyle name="输出 3 5" xfId="4034"/>
    <cellStyle name="输出 3 5 2" xfId="6322"/>
    <cellStyle name="输出 3 5 2 2" xfId="7125"/>
    <cellStyle name="输出 3 5 2 2 2" xfId="9930"/>
    <cellStyle name="输出 3 5 2 2 2 2" xfId="14802"/>
    <cellStyle name="输出 3 5 2 2 2 2 2" xfId="18231"/>
    <cellStyle name="输出 3 5 2 2 3" xfId="10248"/>
    <cellStyle name="输出 3 5 2 2 3 2" xfId="10498"/>
    <cellStyle name="输出 3 5 2 2 3 2 2" xfId="15225"/>
    <cellStyle name="输出 3 5 2 2 3 2 2 2" xfId="15627"/>
    <cellStyle name="输出 3 5 2 2 3 3" xfId="15025"/>
    <cellStyle name="输出 3 5 2 2 3 3 2" xfId="15753"/>
    <cellStyle name="输出 3 5 2 2 4" xfId="12809"/>
    <cellStyle name="输出 3 5 2 2 4 2" xfId="19647"/>
    <cellStyle name="输出 3 5 2 3" xfId="8737"/>
    <cellStyle name="输出 3 5 2 3 2" xfId="14001"/>
    <cellStyle name="输出 3 5 2 3 2 2" xfId="16327"/>
    <cellStyle name="输出 3 5 2 4" xfId="11735"/>
    <cellStyle name="输出 3 5 2 4 2" xfId="19750"/>
    <cellStyle name="输出 3 5 3" xfId="8052"/>
    <cellStyle name="输出 3 5 3 2" xfId="13318"/>
    <cellStyle name="输出 3 5 3 2 2" xfId="16729"/>
    <cellStyle name="输出 3 5 4" xfId="10915"/>
    <cellStyle name="输出 3 5 4 2" xfId="18602"/>
    <cellStyle name="输出 3 6" xfId="6286"/>
    <cellStyle name="输出 3 6 2" xfId="7089"/>
    <cellStyle name="输出 3 6 2 2" xfId="9894"/>
    <cellStyle name="输出 3 6 2 2 2" xfId="14767"/>
    <cellStyle name="输出 3 6 2 2 2 2" xfId="15881"/>
    <cellStyle name="输出 3 6 2 3" xfId="10212"/>
    <cellStyle name="输出 3 6 2 3 2" xfId="10462"/>
    <cellStyle name="输出 3 6 2 3 2 2" xfId="15189"/>
    <cellStyle name="输出 3 6 2 3 2 2 2" xfId="15646"/>
    <cellStyle name="输出 3 6 2 3 3" xfId="14989"/>
    <cellStyle name="输出 3 6 2 3 3 2" xfId="15774"/>
    <cellStyle name="输出 3 6 2 4" xfId="12773"/>
    <cellStyle name="输出 3 6 2 4 2" xfId="18304"/>
    <cellStyle name="输出 3 6 3" xfId="8701"/>
    <cellStyle name="输出 3 6 3 2" xfId="13966"/>
    <cellStyle name="输出 3 6 3 2 2" xfId="18716"/>
    <cellStyle name="输出 3 6 4" xfId="11699"/>
    <cellStyle name="输出 3 6 4 2" xfId="19536"/>
    <cellStyle name="输出 3 7" xfId="7826"/>
    <cellStyle name="输出 3 7 2" xfId="13065"/>
    <cellStyle name="输出 3 7 2 2" xfId="19681"/>
    <cellStyle name="输出 3 8" xfId="10643"/>
    <cellStyle name="输出 3 8 2" xfId="18562"/>
    <cellStyle name="输出 4" xfId="404"/>
    <cellStyle name="输出 4 2" xfId="5176"/>
    <cellStyle name="输出 4 2 2" xfId="6152"/>
    <cellStyle name="输出 4 2 2 2" xfId="6439"/>
    <cellStyle name="输出 4 2 2 2 2" xfId="7652"/>
    <cellStyle name="输出 4 2 2 2 2 2" xfId="6815"/>
    <cellStyle name="输出 4 2 2 2 2 2 2" xfId="9710"/>
    <cellStyle name="输出 4 2 2 2 2 2 2 2" xfId="14603"/>
    <cellStyle name="输出 4 2 2 2 2 2 2 2 2" xfId="15987"/>
    <cellStyle name="输出 4 2 2 2 2 2 3" xfId="12499"/>
    <cellStyle name="输出 4 2 2 2 2 2 3 2" xfId="18392"/>
    <cellStyle name="输出 4 2 2 2 2 3" xfId="8975"/>
    <cellStyle name="输出 4 2 2 2 2 3 2" xfId="14214"/>
    <cellStyle name="输出 4 2 2 2 2 3 2 2" xfId="18937"/>
    <cellStyle name="输出 4 2 2 2 2 4" xfId="11977"/>
    <cellStyle name="输出 4 2 2 2 2 4 2" xfId="17147"/>
    <cellStyle name="输出 4 2 2 2 3" xfId="7242"/>
    <cellStyle name="输出 4 2 2 2 3 2" xfId="10047"/>
    <cellStyle name="输出 4 2 2 2 3 2 2" xfId="10365"/>
    <cellStyle name="输出 4 2 2 2 3 2 2 2" xfId="10615"/>
    <cellStyle name="输出 4 2 2 2 3 2 2 2 2" xfId="15342"/>
    <cellStyle name="输出 4 2 2 2 3 2 2 2 2 2" xfId="15539"/>
    <cellStyle name="输出 4 2 2 2 3 2 2 3" xfId="15142"/>
    <cellStyle name="输出 4 2 2 2 3 2 2 3 2" xfId="18112"/>
    <cellStyle name="输出 4 2 2 2 3 2 3" xfId="12926"/>
    <cellStyle name="输出 4 2 2 2 3 2 3 2" xfId="19599"/>
    <cellStyle name="输出 4 2 2 2 3 3" xfId="9418"/>
    <cellStyle name="输出 4 2 2 2 3 3 2" xfId="14329"/>
    <cellStyle name="输出 4 2 2 2 3 3 2 2" xfId="15486"/>
    <cellStyle name="输出 4 2 2 2 3 4" xfId="10209"/>
    <cellStyle name="输出 4 2 2 2 3 4 2" xfId="10459"/>
    <cellStyle name="输出 4 2 2 2 3 4 2 2" xfId="15186"/>
    <cellStyle name="输出 4 2 2 2 3 4 2 2 2" xfId="15654"/>
    <cellStyle name="输出 4 2 2 2 3 4 3" xfId="14986"/>
    <cellStyle name="输出 4 2 2 2 3 4 3 2" xfId="15777"/>
    <cellStyle name="输出 4 2 2 2 3 5" xfId="12124"/>
    <cellStyle name="输出 4 2 2 2 3 5 2" xfId="17046"/>
    <cellStyle name="输出 4 2 2 2 4" xfId="8854"/>
    <cellStyle name="输出 4 2 2 2 4 2" xfId="13121"/>
    <cellStyle name="输出 4 2 2 2 4 2 2" xfId="18919"/>
    <cellStyle name="输出 4 2 2 2 5" xfId="11852"/>
    <cellStyle name="输出 4 2 2 2 5 2" xfId="17879"/>
    <cellStyle name="输出 4 2 2 3" xfId="8621"/>
    <cellStyle name="输出 4 2 2 3 2" xfId="13886"/>
    <cellStyle name="输出 4 2 2 3 2 2" xfId="16412"/>
    <cellStyle name="输出 4 2 2 4" xfId="11615"/>
    <cellStyle name="输出 4 2 2 4 2" xfId="19445"/>
    <cellStyle name="输出 4 2 3" xfId="6350"/>
    <cellStyle name="输出 4 2 3 2" xfId="7508"/>
    <cellStyle name="输出 4 2 3 2 2" xfId="7079"/>
    <cellStyle name="输出 4 2 3 2 2 2" xfId="9888"/>
    <cellStyle name="输出 4 2 3 2 2 2 2" xfId="14761"/>
    <cellStyle name="输出 4 2 3 2 2 2 2 2" xfId="18654"/>
    <cellStyle name="输出 4 2 3 2 2 3" xfId="12763"/>
    <cellStyle name="输出 4 2 3 2 2 3 2" xfId="19330"/>
    <cellStyle name="输出 4 2 3 2 3" xfId="8906"/>
    <cellStyle name="输出 4 2 3 2 3 2" xfId="14145"/>
    <cellStyle name="输出 4 2 3 2 3 2 2" xfId="16253"/>
    <cellStyle name="输出 4 2 3 2 4" xfId="11905"/>
    <cellStyle name="输出 4 2 3 2 4 2" xfId="17193"/>
    <cellStyle name="输出 4 2 3 3" xfId="7153"/>
    <cellStyle name="输出 4 2 3 3 2" xfId="9958"/>
    <cellStyle name="输出 4 2 3 3 2 2" xfId="10276"/>
    <cellStyle name="输出 4 2 3 3 2 2 2" xfId="10526"/>
    <cellStyle name="输出 4 2 3 3 2 2 2 2" xfId="15253"/>
    <cellStyle name="输出 4 2 3 3 2 2 2 2 2" xfId="15608"/>
    <cellStyle name="输出 4 2 3 3 2 2 3" xfId="15053"/>
    <cellStyle name="输出 4 2 3 3 2 2 3 2" xfId="18121"/>
    <cellStyle name="输出 4 2 3 3 2 3" xfId="12837"/>
    <cellStyle name="输出 4 2 3 3 2 3 2" xfId="18561"/>
    <cellStyle name="输出 4 2 3 3 3" xfId="9264"/>
    <cellStyle name="输出 4 2 3 3 3 2" xfId="14267"/>
    <cellStyle name="输出 4 2 3 3 3 2 2" xfId="18471"/>
    <cellStyle name="输出 4 2 3 3 4" xfId="10191"/>
    <cellStyle name="输出 4 2 3 3 4 2" xfId="10441"/>
    <cellStyle name="输出 4 2 3 3 4 2 2" xfId="15168"/>
    <cellStyle name="输出 4 2 3 3 4 2 2 2" xfId="15427"/>
    <cellStyle name="输出 4 2 3 3 4 3" xfId="14968"/>
    <cellStyle name="输出 4 2 3 3 4 3 2" xfId="15787"/>
    <cellStyle name="输出 4 2 3 3 5" xfId="12042"/>
    <cellStyle name="输出 4 2 3 3 5 2" xfId="17104"/>
    <cellStyle name="输出 4 2 3 4" xfId="8765"/>
    <cellStyle name="输出 4 2 3 4 2" xfId="13105"/>
    <cellStyle name="输出 4 2 3 4 2 2" xfId="19216"/>
    <cellStyle name="输出 4 2 3 5" xfId="11763"/>
    <cellStyle name="输出 4 2 3 5 2" xfId="19085"/>
    <cellStyle name="输出 4 2 4" xfId="8149"/>
    <cellStyle name="输出 4 2 4 2" xfId="13414"/>
    <cellStyle name="输出 4 2 4 2 2" xfId="18883"/>
    <cellStyle name="输出 4 2 5" xfId="11034"/>
    <cellStyle name="输出 4 2 5 2" xfId="17487"/>
    <cellStyle name="输出 4 3" xfId="5954"/>
    <cellStyle name="输出 4 3 2" xfId="6405"/>
    <cellStyle name="输出 4 3 2 2" xfId="7625"/>
    <cellStyle name="输出 4 3 2 2 2" xfId="6592"/>
    <cellStyle name="输出 4 3 2 2 2 2" xfId="9546"/>
    <cellStyle name="输出 4 3 2 2 2 2 2" xfId="14447"/>
    <cellStyle name="输出 4 3 2 2 2 2 2 2" xfId="16088"/>
    <cellStyle name="输出 4 3 2 2 2 3" xfId="12277"/>
    <cellStyle name="输出 4 3 2 2 2 3 2" xfId="18197"/>
    <cellStyle name="输出 4 3 2 2 3" xfId="8948"/>
    <cellStyle name="输出 4 3 2 2 3 2" xfId="14187"/>
    <cellStyle name="输出 4 3 2 2 3 2 2" xfId="18222"/>
    <cellStyle name="输出 4 3 2 2 4" xfId="11950"/>
    <cellStyle name="输出 4 3 2 2 4 2" xfId="17938"/>
    <cellStyle name="输出 4 3 2 3" xfId="7208"/>
    <cellStyle name="输出 4 3 2 3 2" xfId="10013"/>
    <cellStyle name="输出 4 3 2 3 2 2" xfId="10331"/>
    <cellStyle name="输出 4 3 2 3 2 2 2" xfId="10581"/>
    <cellStyle name="输出 4 3 2 3 2 2 2 2" xfId="15308"/>
    <cellStyle name="输出 4 3 2 3 2 2 2 2 2" xfId="18727"/>
    <cellStyle name="输出 4 3 2 3 2 2 3" xfId="15108"/>
    <cellStyle name="输出 4 3 2 3 2 2 3 2" xfId="15701"/>
    <cellStyle name="输出 4 3 2 3 2 3" xfId="12892"/>
    <cellStyle name="输出 4 3 2 3 2 3 2" xfId="19337"/>
    <cellStyle name="输出 4 3 2 3 3" xfId="9388"/>
    <cellStyle name="输出 4 3 2 3 3 2" xfId="14306"/>
    <cellStyle name="输出 4 3 2 3 3 2 2" xfId="16164"/>
    <cellStyle name="输出 4 3 2 3 4" xfId="10203"/>
    <cellStyle name="输出 4 3 2 3 4 2" xfId="10453"/>
    <cellStyle name="输出 4 3 2 3 4 2 2" xfId="15180"/>
    <cellStyle name="输出 4 3 2 3 4 2 2 2" xfId="18420"/>
    <cellStyle name="输出 4 3 2 3 4 3" xfId="14980"/>
    <cellStyle name="输出 4 3 2 3 4 3 2" xfId="15779"/>
    <cellStyle name="输出 4 3 2 3 5" xfId="12094"/>
    <cellStyle name="输出 4 3 2 3 5 2" xfId="17070"/>
    <cellStyle name="输出 4 3 2 4" xfId="8820"/>
    <cellStyle name="输出 4 3 2 4 2" xfId="13115"/>
    <cellStyle name="输出 4 3 2 4 2 2" xfId="19403"/>
    <cellStyle name="输出 4 3 2 5" xfId="11818"/>
    <cellStyle name="输出 4 3 2 5 2" xfId="18578"/>
    <cellStyle name="输出 4 3 3" xfId="8450"/>
    <cellStyle name="输出 4 3 3 2" xfId="13715"/>
    <cellStyle name="输出 4 3 3 2 2" xfId="16515"/>
    <cellStyle name="输出 4 3 4" xfId="11417"/>
    <cellStyle name="输出 4 3 4 2" xfId="20020"/>
    <cellStyle name="输出 4 4" xfId="4036"/>
    <cellStyle name="输出 4 4 2" xfId="6324"/>
    <cellStyle name="输出 4 4 2 2" xfId="7127"/>
    <cellStyle name="输出 4 4 2 2 2" xfId="9932"/>
    <cellStyle name="输出 4 4 2 2 2 2" xfId="14804"/>
    <cellStyle name="输出 4 4 2 2 2 2 2" xfId="15863"/>
    <cellStyle name="输出 4 4 2 2 3" xfId="10250"/>
    <cellStyle name="输出 4 4 2 2 3 2" xfId="10500"/>
    <cellStyle name="输出 4 4 2 2 3 2 2" xfId="15227"/>
    <cellStyle name="输出 4 4 2 2 3 2 2 2" xfId="18928"/>
    <cellStyle name="输出 4 4 2 2 3 3" xfId="15027"/>
    <cellStyle name="输出 4 4 2 2 3 3 2" xfId="15751"/>
    <cellStyle name="输出 4 4 2 2 4" xfId="12811"/>
    <cellStyle name="输出 4 4 2 2 4 2" xfId="19328"/>
    <cellStyle name="输出 4 4 2 3" xfId="8739"/>
    <cellStyle name="输出 4 4 2 3 2" xfId="14003"/>
    <cellStyle name="输出 4 4 2 3 2 2" xfId="18811"/>
    <cellStyle name="输出 4 4 2 4" xfId="11737"/>
    <cellStyle name="输出 4 4 2 4 2" xfId="19431"/>
    <cellStyle name="输出 4 4 3" xfId="7404"/>
    <cellStyle name="输出 4 4 3 2" xfId="7071"/>
    <cellStyle name="输出 4 4 3 2 2" xfId="9884"/>
    <cellStyle name="输出 4 4 3 2 2 2" xfId="14757"/>
    <cellStyle name="输出 4 4 3 2 2 2 2" xfId="15887"/>
    <cellStyle name="输出 4 4 3 2 3" xfId="12755"/>
    <cellStyle name="输出 4 4 3 2 3 2" xfId="20013"/>
    <cellStyle name="输出 4 4 3 3" xfId="8882"/>
    <cellStyle name="输出 4 4 3 3 2" xfId="14121"/>
    <cellStyle name="输出 4 4 3 3 2 2" xfId="16264"/>
    <cellStyle name="输出 4 4 3 4" xfId="11881"/>
    <cellStyle name="输出 4 4 3 4 2" xfId="17203"/>
    <cellStyle name="输出 4 4 4" xfId="9160"/>
    <cellStyle name="输出 4 4 4 2" xfId="10183"/>
    <cellStyle name="输出 4 4 4 2 2" xfId="10433"/>
    <cellStyle name="输出 4 4 4 2 2 2" xfId="15160"/>
    <cellStyle name="输出 4 4 4 2 2 2 2" xfId="18422"/>
    <cellStyle name="输出 4 4 4 2 3" xfId="14960"/>
    <cellStyle name="输出 4 4 4 2 3 2" xfId="15791"/>
    <cellStyle name="输出 4 4 4 3" xfId="12018"/>
    <cellStyle name="输出 4 4 4 3 2" xfId="17114"/>
    <cellStyle name="输出 4 4 5" xfId="8054"/>
    <cellStyle name="输出 4 4 5 2" xfId="13096"/>
    <cellStyle name="输出 4 4 5 2 2" xfId="19876"/>
    <cellStyle name="输出 4 4 6" xfId="10917"/>
    <cellStyle name="输出 4 4 6 2" xfId="18286"/>
    <cellStyle name="输出 4 5" xfId="6288"/>
    <cellStyle name="输出 4 5 2" xfId="7091"/>
    <cellStyle name="输出 4 5 2 2" xfId="9896"/>
    <cellStyle name="输出 4 5 2 2 2" xfId="14769"/>
    <cellStyle name="输出 4 5 2 2 2 2" xfId="18754"/>
    <cellStyle name="输出 4 5 2 3" xfId="10214"/>
    <cellStyle name="输出 4 5 2 3 2" xfId="10464"/>
    <cellStyle name="输出 4 5 2 3 2 2" xfId="15191"/>
    <cellStyle name="输出 4 5 2 3 2 2 2" xfId="18107"/>
    <cellStyle name="输出 4 5 2 3 3" xfId="14991"/>
    <cellStyle name="输出 4 5 2 3 3 2" xfId="15442"/>
    <cellStyle name="输出 4 5 2 4" xfId="12775"/>
    <cellStyle name="输出 4 5 2 4 2" xfId="19486"/>
    <cellStyle name="输出 4 5 3" xfId="8703"/>
    <cellStyle name="输出 4 5 3 2" xfId="13968"/>
    <cellStyle name="输出 4 5 3 2 2" xfId="16354"/>
    <cellStyle name="输出 4 5 4" xfId="11701"/>
    <cellStyle name="输出 4 5 4 2" xfId="19221"/>
    <cellStyle name="输出 4 6" xfId="7838"/>
    <cellStyle name="输出 4 6 2" xfId="13077"/>
    <cellStyle name="输出 4 6 2 2" xfId="19617"/>
    <cellStyle name="输出 4 7" xfId="10655"/>
    <cellStyle name="输出 4 7 2" xfId="19813"/>
    <cellStyle name="输出 5" xfId="4037"/>
    <cellStyle name="输出 5 2" xfId="5121"/>
    <cellStyle name="输出 5 2 2" xfId="6097"/>
    <cellStyle name="输出 5 2 2 2" xfId="6428"/>
    <cellStyle name="输出 5 2 2 2 2" xfId="7642"/>
    <cellStyle name="输出 5 2 2 2 2 2" xfId="6814"/>
    <cellStyle name="输出 5 2 2 2 2 2 2" xfId="9709"/>
    <cellStyle name="输出 5 2 2 2 2 2 2 2" xfId="14602"/>
    <cellStyle name="输出 5 2 2 2 2 2 2 2 2" xfId="15988"/>
    <cellStyle name="输出 5 2 2 2 2 2 3" xfId="12498"/>
    <cellStyle name="输出 5 2 2 2 2 2 3 2" xfId="18398"/>
    <cellStyle name="输出 5 2 2 2 2 3" xfId="8965"/>
    <cellStyle name="输出 5 2 2 2 2 3 2" xfId="14204"/>
    <cellStyle name="输出 5 2 2 2 2 3 2 2" xfId="16224"/>
    <cellStyle name="输出 5 2 2 2 2 4" xfId="11967"/>
    <cellStyle name="输出 5 2 2 2 2 4 2" xfId="17887"/>
    <cellStyle name="输出 5 2 2 2 3" xfId="7231"/>
    <cellStyle name="输出 5 2 2 2 3 2" xfId="10036"/>
    <cellStyle name="输出 5 2 2 2 3 2 2" xfId="10354"/>
    <cellStyle name="输出 5 2 2 2 3 2 2 2" xfId="10604"/>
    <cellStyle name="输出 5 2 2 2 3 2 2 2 2" xfId="15331"/>
    <cellStyle name="输出 5 2 2 2 3 2 2 2 2 2" xfId="15550"/>
    <cellStyle name="输出 5 2 2 2 3 2 2 3" xfId="15131"/>
    <cellStyle name="输出 5 2 2 2 3 2 2 3 2" xfId="18425"/>
    <cellStyle name="输出 5 2 2 2 3 2 3" xfId="12915"/>
    <cellStyle name="输出 5 2 2 2 3 2 3 2" xfId="19087"/>
    <cellStyle name="输出 5 2 2 2 3 3" xfId="9408"/>
    <cellStyle name="输出 5 2 2 2 3 3 2" xfId="14320"/>
    <cellStyle name="输出 5 2 2 2 3 3 2 2" xfId="16163"/>
    <cellStyle name="输出 5 2 2 2 3 4" xfId="10206"/>
    <cellStyle name="输出 5 2 2 2 3 4 2" xfId="10456"/>
    <cellStyle name="输出 5 2 2 2 3 4 2 2" xfId="15183"/>
    <cellStyle name="输出 5 2 2 2 3 4 2 2 2" xfId="15657"/>
    <cellStyle name="输出 5 2 2 2 3 4 3" xfId="14983"/>
    <cellStyle name="输出 5 2 2 2 3 4 3 2" xfId="18440"/>
    <cellStyle name="输出 5 2 2 2 3 5" xfId="12114"/>
    <cellStyle name="输出 5 2 2 2 3 5 2" xfId="17056"/>
    <cellStyle name="输出 5 2 2 2 4" xfId="8843"/>
    <cellStyle name="输出 5 2 2 2 4 2" xfId="13118"/>
    <cellStyle name="输出 5 2 2 2 4 2 2" xfId="18268"/>
    <cellStyle name="输出 5 2 2 2 5" xfId="11841"/>
    <cellStyle name="输出 5 2 2 2 5 2" xfId="17227"/>
    <cellStyle name="输出 5 2 2 3" xfId="8568"/>
    <cellStyle name="输出 5 2 2 3 2" xfId="13833"/>
    <cellStyle name="输出 5 2 2 3 2 2" xfId="16440"/>
    <cellStyle name="输出 5 2 2 4" xfId="11560"/>
    <cellStyle name="输出 5 2 2 4 2" xfId="19696"/>
    <cellStyle name="输出 5 2 3" xfId="6339"/>
    <cellStyle name="输出 5 2 3 2" xfId="7498"/>
    <cellStyle name="输出 5 2 3 2 2" xfId="6962"/>
    <cellStyle name="输出 5 2 3 2 2 2" xfId="9808"/>
    <cellStyle name="输出 5 2 3 2 2 2 2" xfId="14688"/>
    <cellStyle name="输出 5 2 3 2 2 2 2 2" xfId="15924"/>
    <cellStyle name="输出 5 2 3 2 2 3" xfId="12646"/>
    <cellStyle name="输出 5 2 3 2 2 3 2" xfId="20051"/>
    <cellStyle name="输出 5 2 3 2 3" xfId="8896"/>
    <cellStyle name="输出 5 2 3 2 3 2" xfId="14135"/>
    <cellStyle name="输出 5 2 3 2 3 2 2" xfId="19145"/>
    <cellStyle name="输出 5 2 3 2 4" xfId="11895"/>
    <cellStyle name="输出 5 2 3 2 4 2" xfId="17946"/>
    <cellStyle name="输出 5 2 3 3" xfId="7142"/>
    <cellStyle name="输出 5 2 3 3 2" xfId="9947"/>
    <cellStyle name="输出 5 2 3 3 2 2" xfId="10265"/>
    <cellStyle name="输出 5 2 3 3 2 2 2" xfId="10515"/>
    <cellStyle name="输出 5 2 3 3 2 2 2 2" xfId="15242"/>
    <cellStyle name="输出 5 2 3 3 2 2 2 2 2" xfId="15614"/>
    <cellStyle name="输出 5 2 3 3 2 2 3" xfId="15042"/>
    <cellStyle name="输出 5 2 3 3 2 2 3 2" xfId="18434"/>
    <cellStyle name="输出 5 2 3 3 2 3" xfId="12826"/>
    <cellStyle name="输出 5 2 3 3 2 3 2" xfId="19731"/>
    <cellStyle name="输出 5 2 3 3 3" xfId="9254"/>
    <cellStyle name="输出 5 2 3 3 3 2" xfId="14258"/>
    <cellStyle name="输出 5 2 3 3 3 2 2" xfId="18472"/>
    <cellStyle name="输出 5 2 3 3 4" xfId="10188"/>
    <cellStyle name="输出 5 2 3 3 4 2" xfId="10438"/>
    <cellStyle name="输出 5 2 3 3 4 2 2" xfId="15165"/>
    <cellStyle name="输出 5 2 3 3 4 2 2 2" xfId="15667"/>
    <cellStyle name="输出 5 2 3 3 4 3" xfId="14965"/>
    <cellStyle name="输出 5 2 3 3 4 3 2" xfId="17824"/>
    <cellStyle name="输出 5 2 3 3 5" xfId="12032"/>
    <cellStyle name="输出 5 2 3 3 5 2" xfId="17875"/>
    <cellStyle name="输出 5 2 3 4" xfId="8754"/>
    <cellStyle name="输出 5 2 3 4 2" xfId="13102"/>
    <cellStyle name="输出 5 2 3 4 2 2" xfId="18539"/>
    <cellStyle name="输出 5 2 3 5" xfId="11752"/>
    <cellStyle name="输出 5 2 3 5 2" xfId="19439"/>
    <cellStyle name="输出 5 2 4" xfId="8096"/>
    <cellStyle name="输出 5 2 4 2" xfId="13361"/>
    <cellStyle name="输出 5 2 4 2 2" xfId="18888"/>
    <cellStyle name="输出 5 2 5" xfId="10979"/>
    <cellStyle name="输出 5 2 5 2" xfId="17525"/>
    <cellStyle name="输出 5 3" xfId="5858"/>
    <cellStyle name="输出 5 3 2" xfId="6387"/>
    <cellStyle name="输出 5 3 2 2" xfId="7615"/>
    <cellStyle name="输出 5 3 2 2 2" xfId="6980"/>
    <cellStyle name="输出 5 3 2 2 2 2" xfId="9822"/>
    <cellStyle name="输出 5 3 2 2 2 2 2" xfId="14701"/>
    <cellStyle name="输出 5 3 2 2 2 2 2 2" xfId="15917"/>
    <cellStyle name="输出 5 3 2 2 2 3" xfId="12664"/>
    <cellStyle name="输出 5 3 2 2 2 3 2" xfId="20027"/>
    <cellStyle name="输出 5 3 2 2 3" xfId="8939"/>
    <cellStyle name="输出 5 3 2 2 3 2" xfId="14178"/>
    <cellStyle name="输出 5 3 2 2 3 2 2" xfId="18669"/>
    <cellStyle name="输出 5 3 2 2 4" xfId="11940"/>
    <cellStyle name="输出 5 3 2 2 4 2" xfId="17169"/>
    <cellStyle name="输出 5 3 2 3" xfId="7190"/>
    <cellStyle name="输出 5 3 2 3 2" xfId="9995"/>
    <cellStyle name="输出 5 3 2 3 2 2" xfId="10313"/>
    <cellStyle name="输出 5 3 2 3 2 2 2" xfId="10563"/>
    <cellStyle name="输出 5 3 2 3 2 2 2 2" xfId="15290"/>
    <cellStyle name="输出 5 3 2 3 2 2 2 2 2" xfId="15581"/>
    <cellStyle name="输出 5 3 2 3 2 2 3" xfId="15090"/>
    <cellStyle name="输出 5 3 2 3 2 2 3 2" xfId="15706"/>
    <cellStyle name="输出 5 3 2 3 2 3" xfId="12874"/>
    <cellStyle name="输出 5 3 2 3 2 3 2" xfId="19326"/>
    <cellStyle name="输出 5 3 2 3 3" xfId="9376"/>
    <cellStyle name="输出 5 3 2 3 3 2" xfId="14297"/>
    <cellStyle name="输出 5 3 2 3 3 2 2" xfId="18468"/>
    <cellStyle name="输出 5 3 2 3 4" xfId="10199"/>
    <cellStyle name="输出 5 3 2 3 4 2" xfId="10449"/>
    <cellStyle name="输出 5 3 2 3 4 2 2" xfId="15176"/>
    <cellStyle name="输出 5 3 2 3 4 2 2 2" xfId="15660"/>
    <cellStyle name="输出 5 3 2 3 4 3" xfId="14976"/>
    <cellStyle name="输出 5 3 2 3 4 3 2" xfId="15783"/>
    <cellStyle name="输出 5 3 2 3 5" xfId="12082"/>
    <cellStyle name="输出 5 3 2 3 5 2" xfId="17754"/>
    <cellStyle name="输出 5 3 2 4" xfId="8802"/>
    <cellStyle name="输出 5 3 2 4 2" xfId="13112"/>
    <cellStyle name="输出 5 3 2 4 2 2" xfId="19302"/>
    <cellStyle name="输出 5 3 2 5" xfId="11800"/>
    <cellStyle name="输出 5 3 2 5 2" xfId="20063"/>
    <cellStyle name="输出 5 3 3" xfId="8376"/>
    <cellStyle name="输出 5 3 3 2" xfId="13641"/>
    <cellStyle name="输出 5 3 3 2 2" xfId="18494"/>
    <cellStyle name="输出 5 3 4" xfId="11321"/>
    <cellStyle name="输出 5 3 4 2" xfId="17274"/>
    <cellStyle name="输出 5 4" xfId="6325"/>
    <cellStyle name="输出 5 4 2" xfId="7405"/>
    <cellStyle name="输出 5 4 2 2" xfId="6548"/>
    <cellStyle name="输出 5 4 2 2 2" xfId="9509"/>
    <cellStyle name="输出 5 4 2 2 2 2" xfId="14410"/>
    <cellStyle name="输出 5 4 2 2 2 2 2" xfId="16109"/>
    <cellStyle name="输出 5 4 2 2 3" xfId="12233"/>
    <cellStyle name="输出 5 4 2 2 3 2" xfId="18512"/>
    <cellStyle name="输出 5 4 2 3" xfId="8883"/>
    <cellStyle name="输出 5 4 2 3 2" xfId="14122"/>
    <cellStyle name="输出 5 4 2 3 2 2" xfId="18855"/>
    <cellStyle name="输出 5 4 2 4" xfId="11882"/>
    <cellStyle name="输出 5 4 2 4 2" xfId="17851"/>
    <cellStyle name="输出 5 4 3" xfId="7128"/>
    <cellStyle name="输出 5 4 3 2" xfId="9933"/>
    <cellStyle name="输出 5 4 3 2 2" xfId="10251"/>
    <cellStyle name="输出 5 4 3 2 2 2" xfId="10501"/>
    <cellStyle name="输出 5 4 3 2 2 2 2" xfId="15228"/>
    <cellStyle name="输出 5 4 3 2 2 2 2 2" xfId="18747"/>
    <cellStyle name="输出 5 4 3 2 2 3" xfId="15028"/>
    <cellStyle name="输出 5 4 3 2 2 3 2" xfId="15750"/>
    <cellStyle name="输出 5 4 3 2 3" xfId="12812"/>
    <cellStyle name="输出 5 4 3 2 3 2" xfId="18998"/>
    <cellStyle name="输出 5 4 3 3" xfId="9161"/>
    <cellStyle name="输出 5 4 3 3 2" xfId="14248"/>
    <cellStyle name="输出 5 4 3 3 2 2" xfId="18233"/>
    <cellStyle name="输出 5 4 3 4" xfId="10184"/>
    <cellStyle name="输出 5 4 3 4 2" xfId="10434"/>
    <cellStyle name="输出 5 4 3 4 2 2" xfId="15161"/>
    <cellStyle name="输出 5 4 3 4 2 2 2" xfId="18110"/>
    <cellStyle name="输出 5 4 3 4 3" xfId="14961"/>
    <cellStyle name="输出 5 4 3 4 3 2" xfId="15445"/>
    <cellStyle name="输出 5 4 3 5" xfId="12019"/>
    <cellStyle name="输出 5 4 3 5 2" xfId="17854"/>
    <cellStyle name="输出 5 4 4" xfId="8740"/>
    <cellStyle name="输出 5 4 4 2" xfId="13098"/>
    <cellStyle name="输出 5 4 4 2 2" xfId="19680"/>
    <cellStyle name="输出 5 4 5" xfId="11738"/>
    <cellStyle name="输出 5 4 5 2" xfId="19101"/>
    <cellStyle name="输出 5 5" xfId="8055"/>
    <cellStyle name="输出 5 5 2" xfId="13320"/>
    <cellStyle name="输出 5 5 2 2" xfId="16727"/>
    <cellStyle name="输出 5 6" xfId="10918"/>
    <cellStyle name="输出 5 6 2" xfId="17574"/>
    <cellStyle name="输出 6" xfId="4038"/>
    <cellStyle name="输出 6 2" xfId="5120"/>
    <cellStyle name="输出 6 2 2" xfId="6096"/>
    <cellStyle name="输出 6 2 2 2" xfId="6427"/>
    <cellStyle name="输出 6 2 2 2 2" xfId="7230"/>
    <cellStyle name="输出 6 2 2 2 2 2" xfId="10035"/>
    <cellStyle name="输出 6 2 2 2 2 2 2" xfId="14885"/>
    <cellStyle name="输出 6 2 2 2 2 2 2 2" xfId="18753"/>
    <cellStyle name="输出 6 2 2 2 2 3" xfId="10353"/>
    <cellStyle name="输出 6 2 2 2 2 3 2" xfId="10603"/>
    <cellStyle name="输出 6 2 2 2 2 3 2 2" xfId="15330"/>
    <cellStyle name="输出 6 2 2 2 2 3 2 2 2" xfId="15551"/>
    <cellStyle name="输出 6 2 2 2 2 3 3" xfId="15130"/>
    <cellStyle name="输出 6 2 2 2 2 3 3 2" xfId="15682"/>
    <cellStyle name="输出 6 2 2 2 2 4" xfId="12914"/>
    <cellStyle name="输出 6 2 2 2 2 4 2" xfId="19417"/>
    <cellStyle name="输出 6 2 2 2 3" xfId="8842"/>
    <cellStyle name="输出 6 2 2 2 3 2" xfId="14086"/>
    <cellStyle name="输出 6 2 2 2 3 2 2" xfId="18679"/>
    <cellStyle name="输出 6 2 2 2 4" xfId="11840"/>
    <cellStyle name="输出 6 2 2 2 4 2" xfId="17228"/>
    <cellStyle name="输出 6 2 2 3" xfId="8567"/>
    <cellStyle name="输出 6 2 2 3 2" xfId="13832"/>
    <cellStyle name="输出 6 2 2 3 2 2" xfId="15498"/>
    <cellStyle name="输出 6 2 2 4" xfId="11559"/>
    <cellStyle name="输出 6 2 2 4 2" xfId="19184"/>
    <cellStyle name="输出 6 2 3" xfId="6338"/>
    <cellStyle name="输出 6 2 3 2" xfId="7141"/>
    <cellStyle name="输出 6 2 3 2 2" xfId="9946"/>
    <cellStyle name="输出 6 2 3 2 2 2" xfId="14814"/>
    <cellStyle name="输出 6 2 3 2 2 2 2" xfId="18649"/>
    <cellStyle name="输出 6 2 3 2 3" xfId="10264"/>
    <cellStyle name="输出 6 2 3 2 3 2" xfId="10514"/>
    <cellStyle name="输出 6 2 3 2 3 2 2" xfId="15241"/>
    <cellStyle name="输出 6 2 3 2 3 2 2 2" xfId="15615"/>
    <cellStyle name="输出 6 2 3 2 3 3" xfId="15041"/>
    <cellStyle name="输出 6 2 3 2 3 3 2" xfId="15736"/>
    <cellStyle name="输出 6 2 3 2 4" xfId="12825"/>
    <cellStyle name="输出 6 2 3 2 4 2" xfId="19167"/>
    <cellStyle name="输出 6 2 3 3" xfId="8753"/>
    <cellStyle name="输出 6 2 3 3 2" xfId="14013"/>
    <cellStyle name="输出 6 2 3 3 2 2" xfId="16323"/>
    <cellStyle name="输出 6 2 3 4" xfId="11751"/>
    <cellStyle name="输出 6 2 3 4 2" xfId="20060"/>
    <cellStyle name="输出 6 2 4" xfId="8095"/>
    <cellStyle name="输出 6 2 4 2" xfId="13360"/>
    <cellStyle name="输出 6 2 4 2 2" xfId="16704"/>
    <cellStyle name="输出 6 2 5" xfId="10978"/>
    <cellStyle name="输出 6 2 5 2" xfId="17526"/>
    <cellStyle name="输出 6 3" xfId="5857"/>
    <cellStyle name="输出 6 3 2" xfId="6386"/>
    <cellStyle name="输出 6 3 2 2" xfId="7189"/>
    <cellStyle name="输出 6 3 2 2 2" xfId="9994"/>
    <cellStyle name="输出 6 3 2 2 2 2" xfId="14851"/>
    <cellStyle name="输出 6 3 2 2 2 2 2" xfId="18644"/>
    <cellStyle name="输出 6 3 2 2 3" xfId="10312"/>
    <cellStyle name="输出 6 3 2 2 3 2" xfId="10562"/>
    <cellStyle name="输出 6 3 2 2 3 2 2" xfId="15289"/>
    <cellStyle name="输出 6 3 2 2 3 2 2 2" xfId="18003"/>
    <cellStyle name="输出 6 3 2 2 3 3" xfId="15089"/>
    <cellStyle name="输出 6 3 2 2 3 3 2" xfId="15712"/>
    <cellStyle name="输出 6 3 2 2 4" xfId="12873"/>
    <cellStyle name="输出 6 3 2 2 4 2" xfId="19947"/>
    <cellStyle name="输出 6 3 2 3" xfId="8801"/>
    <cellStyle name="输出 6 3 2 3 2" xfId="14051"/>
    <cellStyle name="输出 6 3 2 3 2 2" xfId="18682"/>
    <cellStyle name="输出 6 3 2 4" xfId="11799"/>
    <cellStyle name="输出 6 3 2 4 2" xfId="19761"/>
    <cellStyle name="输出 6 3 3" xfId="8375"/>
    <cellStyle name="输出 6 3 3 2" xfId="13640"/>
    <cellStyle name="输出 6 3 3 2 2" xfId="16552"/>
    <cellStyle name="输出 6 3 4" xfId="11320"/>
    <cellStyle name="输出 6 3 4 2" xfId="17275"/>
    <cellStyle name="输出 6 4" xfId="6326"/>
    <cellStyle name="输出 6 4 2" xfId="7129"/>
    <cellStyle name="输出 6 4 2 2" xfId="9934"/>
    <cellStyle name="输出 6 4 2 2 2" xfId="14805"/>
    <cellStyle name="输出 6 4 2 2 2 2" xfId="19139"/>
    <cellStyle name="输出 6 4 2 3" xfId="10252"/>
    <cellStyle name="输出 6 4 2 3 2" xfId="10502"/>
    <cellStyle name="输出 6 4 2 3 2 2" xfId="15229"/>
    <cellStyle name="输出 6 4 2 3 2 2 2" xfId="18008"/>
    <cellStyle name="输出 6 4 2 3 3" xfId="15029"/>
    <cellStyle name="输出 6 4 2 3 3 2" xfId="15749"/>
    <cellStyle name="输出 6 4 2 4" xfId="12813"/>
    <cellStyle name="输出 6 4 2 4 2" xfId="18563"/>
    <cellStyle name="输出 6 4 3" xfId="8741"/>
    <cellStyle name="输出 6 4 3 2" xfId="14004"/>
    <cellStyle name="输出 6 4 3 2 2" xfId="16325"/>
    <cellStyle name="输出 6 4 4" xfId="11739"/>
    <cellStyle name="输出 6 4 4 2" xfId="19584"/>
    <cellStyle name="输出 6 5" xfId="8056"/>
    <cellStyle name="输出 6 5 2" xfId="13321"/>
    <cellStyle name="输出 6 5 2 2" xfId="16726"/>
    <cellStyle name="输出 6 6" xfId="10919"/>
    <cellStyle name="输出 6 6 2" xfId="17573"/>
    <cellStyle name="输出 7" xfId="4039"/>
    <cellStyle name="输出 7 2" xfId="5119"/>
    <cellStyle name="输出 7 2 2" xfId="6095"/>
    <cellStyle name="输出 7 2 2 2" xfId="6426"/>
    <cellStyle name="输出 7 2 2 2 2" xfId="7229"/>
    <cellStyle name="输出 7 2 2 2 2 2" xfId="10034"/>
    <cellStyle name="输出 7 2 2 2 2 2 2" xfId="14884"/>
    <cellStyle name="输出 7 2 2 2 2 2 2 2" xfId="18934"/>
    <cellStyle name="输出 7 2 2 2 2 3" xfId="10352"/>
    <cellStyle name="输出 7 2 2 2 2 3 2" xfId="10602"/>
    <cellStyle name="输出 7 2 2 2 2 3 2 2" xfId="15329"/>
    <cellStyle name="输出 7 2 2 2 2 3 2 2 2" xfId="17994"/>
    <cellStyle name="输出 7 2 2 2 2 3 3" xfId="15129"/>
    <cellStyle name="输出 7 2 2 2 2 3 3 2" xfId="15430"/>
    <cellStyle name="输出 7 2 2 2 2 4" xfId="12913"/>
    <cellStyle name="输出 7 2 2 2 2 4 2" xfId="20038"/>
    <cellStyle name="输出 7 2 2 2 3" xfId="8841"/>
    <cellStyle name="输出 7 2 2 2 3 2" xfId="14085"/>
    <cellStyle name="输出 7 2 2 2 3 2 2" xfId="18860"/>
    <cellStyle name="输出 7 2 2 2 4" xfId="11839"/>
    <cellStyle name="输出 7 2 2 2 4 2" xfId="17229"/>
    <cellStyle name="输出 7 2 2 3" xfId="8566"/>
    <cellStyle name="输出 7 2 2 3 2" xfId="13831"/>
    <cellStyle name="输出 7 2 2 3 2 2" xfId="16447"/>
    <cellStyle name="输出 7 2 2 4" xfId="11558"/>
    <cellStyle name="输出 7 2 2 4 2" xfId="19805"/>
    <cellStyle name="输出 7 2 3" xfId="6337"/>
    <cellStyle name="输出 7 2 3 2" xfId="7140"/>
    <cellStyle name="输出 7 2 3 2 2" xfId="9945"/>
    <cellStyle name="输出 7 2 3 2 2 2" xfId="14813"/>
    <cellStyle name="输出 7 2 3 2 2 2 2" xfId="18830"/>
    <cellStyle name="输出 7 2 3 2 3" xfId="10263"/>
    <cellStyle name="输出 7 2 3 2 3 2" xfId="10513"/>
    <cellStyle name="输出 7 2 3 2 3 2 2" xfId="15240"/>
    <cellStyle name="输出 7 2 3 2 3 2 2 2" xfId="15616"/>
    <cellStyle name="输出 7 2 3 2 3 3" xfId="15040"/>
    <cellStyle name="输出 7 2 3 2 3 3 2" xfId="15438"/>
    <cellStyle name="输出 7 2 3 2 4" xfId="12824"/>
    <cellStyle name="输出 7 2 3 2 4 2" xfId="19788"/>
    <cellStyle name="输出 7 2 3 3" xfId="8752"/>
    <cellStyle name="输出 7 2 3 3 2" xfId="14012"/>
    <cellStyle name="输出 7 2 3 3 2 2" xfId="18685"/>
    <cellStyle name="输出 7 2 3 4" xfId="11750"/>
    <cellStyle name="输出 7 2 3 4 2" xfId="19758"/>
    <cellStyle name="输出 7 2 4" xfId="8094"/>
    <cellStyle name="输出 7 2 4 2" xfId="13359"/>
    <cellStyle name="输出 7 2 4 2 2" xfId="18042"/>
    <cellStyle name="输出 7 2 5" xfId="10977"/>
    <cellStyle name="输出 7 2 5 2" xfId="17527"/>
    <cellStyle name="输出 7 3" xfId="5856"/>
    <cellStyle name="输出 7 3 2" xfId="6385"/>
    <cellStyle name="输出 7 3 2 2" xfId="7188"/>
    <cellStyle name="输出 7 3 2 2 2" xfId="9993"/>
    <cellStyle name="输出 7 3 2 2 2 2" xfId="14850"/>
    <cellStyle name="输出 7 3 2 2 2 2 2" xfId="18825"/>
    <cellStyle name="输出 7 3 2 2 3" xfId="10311"/>
    <cellStyle name="输出 7 3 2 2 3 2" xfId="10561"/>
    <cellStyle name="输出 7 3 2 2 3 2 2" xfId="15288"/>
    <cellStyle name="输出 7 3 2 2 3 2 2 2" xfId="18742"/>
    <cellStyle name="输出 7 3 2 2 3 3" xfId="15088"/>
    <cellStyle name="输出 7 3 2 2 3 3 2" xfId="15713"/>
    <cellStyle name="输出 7 3 2 2 4" xfId="12872"/>
    <cellStyle name="输出 7 3 2 2 4 2" xfId="19645"/>
    <cellStyle name="输出 7 3 2 3" xfId="8800"/>
    <cellStyle name="输出 7 3 2 3 2" xfId="14050"/>
    <cellStyle name="输出 7 3 2 3 2 2" xfId="18863"/>
    <cellStyle name="输出 7 3 2 4" xfId="11798"/>
    <cellStyle name="输出 7 3 2 4 2" xfId="19252"/>
    <cellStyle name="输出 7 3 3" xfId="8374"/>
    <cellStyle name="输出 7 3 3 2" xfId="13639"/>
    <cellStyle name="输出 7 3 3 2 2" xfId="15525"/>
    <cellStyle name="输出 7 3 4" xfId="11319"/>
    <cellStyle name="输出 7 3 4 2" xfId="18002"/>
    <cellStyle name="输出 7 4" xfId="6327"/>
    <cellStyle name="输出 7 4 2" xfId="7130"/>
    <cellStyle name="输出 7 4 2 2" xfId="9935"/>
    <cellStyle name="输出 7 4 2 2 2" xfId="14806"/>
    <cellStyle name="输出 7 4 2 2 2 2" xfId="15861"/>
    <cellStyle name="输出 7 4 2 3" xfId="10253"/>
    <cellStyle name="输出 7 4 2 3 2" xfId="10503"/>
    <cellStyle name="输出 7 4 2 3 2 2" xfId="15230"/>
    <cellStyle name="输出 7 4 2 3 2 2 2" xfId="15626"/>
    <cellStyle name="输出 7 4 2 3 3" xfId="15030"/>
    <cellStyle name="输出 7 4 2 3 3 2" xfId="15439"/>
    <cellStyle name="输出 7 4 2 4" xfId="12814"/>
    <cellStyle name="输出 7 4 2 4 2" xfId="19541"/>
    <cellStyle name="输出 7 4 3" xfId="8742"/>
    <cellStyle name="输出 7 4 3 2" xfId="14005"/>
    <cellStyle name="输出 7 4 3 2 2" xfId="15373"/>
    <cellStyle name="输出 7 4 4" xfId="11740"/>
    <cellStyle name="输出 7 4 4 2" xfId="19889"/>
    <cellStyle name="输出 7 5" xfId="8057"/>
    <cellStyle name="输出 7 5 2" xfId="13322"/>
    <cellStyle name="输出 7 5 2 2" xfId="16725"/>
    <cellStyle name="输出 7 6" xfId="10920"/>
    <cellStyle name="输出 7 6 2" xfId="17572"/>
    <cellStyle name="输出 8" xfId="4040"/>
    <cellStyle name="输出 8 2" xfId="5175"/>
    <cellStyle name="输出 8 2 2" xfId="6151"/>
    <cellStyle name="输出 8 2 2 2" xfId="6438"/>
    <cellStyle name="输出 8 2 2 2 2" xfId="7651"/>
    <cellStyle name="输出 8 2 2 2 2 2" xfId="7046"/>
    <cellStyle name="输出 8 2 2 2 2 2 2" xfId="9867"/>
    <cellStyle name="输出 8 2 2 2 2 2 2 2" xfId="14741"/>
    <cellStyle name="输出 8 2 2 2 2 2 2 2 2" xfId="18952"/>
    <cellStyle name="输出 8 2 2 2 2 2 3" xfId="12730"/>
    <cellStyle name="输出 8 2 2 2 2 2 3 2" xfId="19657"/>
    <cellStyle name="输出 8 2 2 2 2 3" xfId="8974"/>
    <cellStyle name="输出 8 2 2 2 2 3 2" xfId="14213"/>
    <cellStyle name="输出 8 2 2 2 2 3 2 2" xfId="16219"/>
    <cellStyle name="输出 8 2 2 2 2 4" xfId="11976"/>
    <cellStyle name="输出 8 2 2 2 2 4 2" xfId="17940"/>
    <cellStyle name="输出 8 2 2 2 3" xfId="7241"/>
    <cellStyle name="输出 8 2 2 2 3 2" xfId="10046"/>
    <cellStyle name="输出 8 2 2 2 3 2 2" xfId="10364"/>
    <cellStyle name="输出 8 2 2 2 3 2 2 2" xfId="10614"/>
    <cellStyle name="输出 8 2 2 2 3 2 2 2 2" xfId="15341"/>
    <cellStyle name="输出 8 2 2 2 3 2 2 2 2 2" xfId="15540"/>
    <cellStyle name="输出 8 2 2 2 3 2 2 3" xfId="15141"/>
    <cellStyle name="输出 8 2 2 2 3 2 2 3 2" xfId="18424"/>
    <cellStyle name="输出 8 2 2 2 3 2 3" xfId="12925"/>
    <cellStyle name="输出 8 2 2 2 3 2 3 2" xfId="19011"/>
    <cellStyle name="输出 8 2 2 2 3 3" xfId="9417"/>
    <cellStyle name="输出 8 2 2 2 3 3 2" xfId="14328"/>
    <cellStyle name="输出 8 2 2 2 3 3 2 2" xfId="15487"/>
    <cellStyle name="输出 8 2 2 2 3 4" xfId="10208"/>
    <cellStyle name="输出 8 2 2 2 3 4 2" xfId="10458"/>
    <cellStyle name="输出 8 2 2 2 3 4 2 2" xfId="15185"/>
    <cellStyle name="输出 8 2 2 2 3 4 2 2 2" xfId="15655"/>
    <cellStyle name="输出 8 2 2 2 3 4 3" xfId="14985"/>
    <cellStyle name="输出 8 2 2 2 3 4 3 2" xfId="17826"/>
    <cellStyle name="输出 8 2 2 2 3 5" xfId="12123"/>
    <cellStyle name="输出 8 2 2 2 3 5 2" xfId="17047"/>
    <cellStyle name="输出 8 2 2 2 4" xfId="8853"/>
    <cellStyle name="输出 8 2 2 2 4 2" xfId="13120"/>
    <cellStyle name="输出 8 2 2 2 4 2 2" xfId="18057"/>
    <cellStyle name="输出 8 2 2 2 5" xfId="11851"/>
    <cellStyle name="输出 8 2 2 2 5 2" xfId="18212"/>
    <cellStyle name="输出 8 2 2 3" xfId="8620"/>
    <cellStyle name="输出 8 2 2 3 2" xfId="13885"/>
    <cellStyle name="输出 8 2 2 3 2 2" xfId="16413"/>
    <cellStyle name="输出 8 2 2 4" xfId="11614"/>
    <cellStyle name="输出 8 2 2 4 2" xfId="20066"/>
    <cellStyle name="输出 8 2 3" xfId="6349"/>
    <cellStyle name="输出 8 2 3 2" xfId="7507"/>
    <cellStyle name="输出 8 2 3 2 2" xfId="6961"/>
    <cellStyle name="输出 8 2 3 2 2 2" xfId="9807"/>
    <cellStyle name="输出 8 2 3 2 2 2 2" xfId="14687"/>
    <cellStyle name="输出 8 2 3 2 2 2 2 2" xfId="15925"/>
    <cellStyle name="输出 8 2 3 2 2 3" xfId="12645"/>
    <cellStyle name="输出 8 2 3 2 2 3 2" xfId="19749"/>
    <cellStyle name="输出 8 2 3 2 3" xfId="8905"/>
    <cellStyle name="输出 8 2 3 2 3 2" xfId="14144"/>
    <cellStyle name="输出 8 2 3 2 3 2 2" xfId="18673"/>
    <cellStyle name="输出 8 2 3 2 4" xfId="11904"/>
    <cellStyle name="输出 8 2 3 2 4 2" xfId="17883"/>
    <cellStyle name="输出 8 2 3 3" xfId="7152"/>
    <cellStyle name="输出 8 2 3 3 2" xfId="9957"/>
    <cellStyle name="输出 8 2 3 3 2 2" xfId="10275"/>
    <cellStyle name="输出 8 2 3 3 2 2 2" xfId="10525"/>
    <cellStyle name="输出 8 2 3 3 2 2 2 2" xfId="15252"/>
    <cellStyle name="输出 8 2 3 3 2 2 2 2 2" xfId="15609"/>
    <cellStyle name="输出 8 2 3 3 2 2 3" xfId="15052"/>
    <cellStyle name="输出 8 2 3 3 2 2 3 2" xfId="18433"/>
    <cellStyle name="输出 8 2 3 3 2 3" xfId="12836"/>
    <cellStyle name="输出 8 2 3 3 2 3 2" xfId="19029"/>
    <cellStyle name="输出 8 2 3 3 3" xfId="9263"/>
    <cellStyle name="输出 8 2 3 3 3 2" xfId="14266"/>
    <cellStyle name="输出 8 2 3 3 3 2 2" xfId="16188"/>
    <cellStyle name="输出 8 2 3 3 4" xfId="10190"/>
    <cellStyle name="输出 8 2 3 3 4 2" xfId="10440"/>
    <cellStyle name="输出 8 2 3 3 4 2 2" xfId="15167"/>
    <cellStyle name="输出 8 2 3 3 4 2 2 2" xfId="15665"/>
    <cellStyle name="输出 8 2 3 3 4 3" xfId="14967"/>
    <cellStyle name="输出 8 2 3 3 4 3 2" xfId="15788"/>
    <cellStyle name="输出 8 2 3 3 5" xfId="12041"/>
    <cellStyle name="输出 8 2 3 3 5 2" xfId="17970"/>
    <cellStyle name="输出 8 2 3 4" xfId="8764"/>
    <cellStyle name="输出 8 2 3 4 2" xfId="13104"/>
    <cellStyle name="输出 8 2 3 4 2 2" xfId="19836"/>
    <cellStyle name="输出 8 2 3 5" xfId="11762"/>
    <cellStyle name="输出 8 2 3 5 2" xfId="19415"/>
    <cellStyle name="输出 8 2 4" xfId="8148"/>
    <cellStyle name="输出 8 2 4 2" xfId="13413"/>
    <cellStyle name="输出 8 2 4 2 2" xfId="16673"/>
    <cellStyle name="输出 8 2 5" xfId="11033"/>
    <cellStyle name="输出 8 2 5 2" xfId="18026"/>
    <cellStyle name="输出 8 3" xfId="5952"/>
    <cellStyle name="输出 8 3 2" xfId="6403"/>
    <cellStyle name="输出 8 3 2 2" xfId="7624"/>
    <cellStyle name="输出 8 3 2 2 2" xfId="6832"/>
    <cellStyle name="输出 8 3 2 2 2 2" xfId="9716"/>
    <cellStyle name="输出 8 3 2 2 2 2 2" xfId="14608"/>
    <cellStyle name="输出 8 3 2 2 2 2 2 2" xfId="15982"/>
    <cellStyle name="输出 8 3 2 2 2 3" xfId="12516"/>
    <cellStyle name="输出 8 3 2 2 2 3 2" xfId="16864"/>
    <cellStyle name="输出 8 3 2 2 3" xfId="8947"/>
    <cellStyle name="输出 8 3 2 2 3 2" xfId="14186"/>
    <cellStyle name="输出 8 3 2 2 3 2 2" xfId="18757"/>
    <cellStyle name="输出 8 3 2 2 4" xfId="11949"/>
    <cellStyle name="输出 8 3 2 2 4 2" xfId="17166"/>
    <cellStyle name="输出 8 3 2 3" xfId="7206"/>
    <cellStyle name="输出 8 3 2 3 2" xfId="10011"/>
    <cellStyle name="输出 8 3 2 3 2 2" xfId="10329"/>
    <cellStyle name="输出 8 3 2 3 2 2 2" xfId="10579"/>
    <cellStyle name="输出 8 3 2 3 2 2 2 2" xfId="15306"/>
    <cellStyle name="输出 8 3 2 3 2 2 2 2 2" xfId="18087"/>
    <cellStyle name="输出 8 3 2 3 2 2 3" xfId="15106"/>
    <cellStyle name="输出 8 3 2 3 2 2 3 2" xfId="15703"/>
    <cellStyle name="输出 8 3 2 3 2 3" xfId="12890"/>
    <cellStyle name="输出 8 3 2 3 2 3 2" xfId="19656"/>
    <cellStyle name="输出 8 3 2 3 3" xfId="9386"/>
    <cellStyle name="输出 8 3 2 3 3 2" xfId="14305"/>
    <cellStyle name="输出 8 3 2 3 3 2 2" xfId="15490"/>
    <cellStyle name="输出 8 3 2 3 4" xfId="10201"/>
    <cellStyle name="输出 8 3 2 3 4 2" xfId="10451"/>
    <cellStyle name="输出 8 3 2 3 4 2 2" xfId="15178"/>
    <cellStyle name="输出 8 3 2 3 4 2 2 2" xfId="15426"/>
    <cellStyle name="输出 8 3 2 3 4 3" xfId="14978"/>
    <cellStyle name="输出 8 3 2 3 4 3 2" xfId="15781"/>
    <cellStyle name="输出 8 3 2 3 5" xfId="12092"/>
    <cellStyle name="输出 8 3 2 3 5 2" xfId="17072"/>
    <cellStyle name="输出 8 3 2 4" xfId="8818"/>
    <cellStyle name="输出 8 3 2 4 2" xfId="13114"/>
    <cellStyle name="输出 8 3 2 4 2 2" xfId="20024"/>
    <cellStyle name="输出 8 3 2 5" xfId="11816"/>
    <cellStyle name="输出 8 3 2 5 2" xfId="19411"/>
    <cellStyle name="输出 8 3 3" xfId="8448"/>
    <cellStyle name="输出 8 3 3 2" xfId="13713"/>
    <cellStyle name="输出 8 3 3 2 2" xfId="16517"/>
    <cellStyle name="输出 8 3 4" xfId="11415"/>
    <cellStyle name="输出 8 3 4 2" xfId="19191"/>
    <cellStyle name="输出 8 4" xfId="6328"/>
    <cellStyle name="输出 8 4 2" xfId="7406"/>
    <cellStyle name="输出 8 4 2 2" xfId="6590"/>
    <cellStyle name="输出 8 4 2 2 2" xfId="9544"/>
    <cellStyle name="输出 8 4 2 2 2 2" xfId="14445"/>
    <cellStyle name="输出 8 4 2 2 2 2 2" xfId="17812"/>
    <cellStyle name="输出 8 4 2 2 3" xfId="12275"/>
    <cellStyle name="输出 8 4 2 2 3 2" xfId="16945"/>
    <cellStyle name="输出 8 4 2 3" xfId="8884"/>
    <cellStyle name="输出 8 4 2 3 2" xfId="14123"/>
    <cellStyle name="输出 8 4 2 3 2 2" xfId="18674"/>
    <cellStyle name="输出 8 4 2 4" xfId="11883"/>
    <cellStyle name="输出 8 4 2 4 2" xfId="17202"/>
    <cellStyle name="输出 8 4 3" xfId="7131"/>
    <cellStyle name="输出 8 4 3 2" xfId="9936"/>
    <cellStyle name="输出 8 4 3 2 2" xfId="10254"/>
    <cellStyle name="输出 8 4 3 2 2 2" xfId="10504"/>
    <cellStyle name="输出 8 4 3 2 2 2 2" xfId="15231"/>
    <cellStyle name="输出 8 4 3 2 2 2 2 2" xfId="15625"/>
    <cellStyle name="输出 8 4 3 2 2 3" xfId="15031"/>
    <cellStyle name="输出 8 4 3 2 2 3 2" xfId="15742"/>
    <cellStyle name="输出 8 4 3 2 3" xfId="12815"/>
    <cellStyle name="输出 8 4 3 2 3 2" xfId="19846"/>
    <cellStyle name="输出 8 4 3 3" xfId="9162"/>
    <cellStyle name="输出 8 4 3 3 2" xfId="14249"/>
    <cellStyle name="输出 8 4 3 3 2 2" xfId="16202"/>
    <cellStyle name="输出 8 4 3 4" xfId="10185"/>
    <cellStyle name="输出 8 4 3 4 2" xfId="10435"/>
    <cellStyle name="输出 8 4 3 4 2 2" xfId="15162"/>
    <cellStyle name="输出 8 4 3 4 2 2 2" xfId="17844"/>
    <cellStyle name="输出 8 4 3 4 3" xfId="14962"/>
    <cellStyle name="输出 8 4 3 4 3 2" xfId="15784"/>
    <cellStyle name="输出 8 4 3 5" xfId="12020"/>
    <cellStyle name="输出 8 4 3 5 2" xfId="17113"/>
    <cellStyle name="输出 8 4 4" xfId="8743"/>
    <cellStyle name="输出 8 4 4 2" xfId="13099"/>
    <cellStyle name="输出 8 4 4 2 2" xfId="19982"/>
    <cellStyle name="输出 8 4 5" xfId="11741"/>
    <cellStyle name="输出 8 4 5 2" xfId="19268"/>
    <cellStyle name="输出 8 5" xfId="8058"/>
    <cellStyle name="输出 8 5 2" xfId="13323"/>
    <cellStyle name="输出 8 5 2 2" xfId="16724"/>
    <cellStyle name="输出 8 6" xfId="10921"/>
    <cellStyle name="输出 8 6 2" xfId="17571"/>
    <cellStyle name="输出 9" xfId="4041"/>
    <cellStyle name="输出 9 2" xfId="5174"/>
    <cellStyle name="输出 9 2 2" xfId="6150"/>
    <cellStyle name="输出 9 2 2 2" xfId="6437"/>
    <cellStyle name="输出 9 2 2 2 2" xfId="7240"/>
    <cellStyle name="输出 9 2 2 2 2 2" xfId="10045"/>
    <cellStyle name="输出 9 2 2 2 2 2 2" xfId="14893"/>
    <cellStyle name="输出 9 2 2 2 2 2 2 2" xfId="15819"/>
    <cellStyle name="输出 9 2 2 2 2 3" xfId="10363"/>
    <cellStyle name="输出 9 2 2 2 2 3 2" xfId="10613"/>
    <cellStyle name="输出 9 2 2 2 2 3 2 2" xfId="15340"/>
    <cellStyle name="输出 9 2 2 2 2 3 2 2 2" xfId="15541"/>
    <cellStyle name="输出 9 2 2 2 2 3 3" xfId="15140"/>
    <cellStyle name="输出 9 2 2 2 2 3 3 2" xfId="15676"/>
    <cellStyle name="输出 9 2 2 2 2 4" xfId="12924"/>
    <cellStyle name="输出 9 2 2 2 2 4 2" xfId="19341"/>
    <cellStyle name="输出 9 2 2 2 3" xfId="8852"/>
    <cellStyle name="输出 9 2 2 2 3 2" xfId="14094"/>
    <cellStyle name="输出 9 2 2 2 3 2 2" xfId="18677"/>
    <cellStyle name="输出 9 2 2 2 4" xfId="11850"/>
    <cellStyle name="输出 9 2 2 2 4 2" xfId="18524"/>
    <cellStyle name="输出 9 2 2 3" xfId="8619"/>
    <cellStyle name="输出 9 2 2 3 2" xfId="13884"/>
    <cellStyle name="输出 9 2 2 3 2 2" xfId="16414"/>
    <cellStyle name="输出 9 2 2 4" xfId="11613"/>
    <cellStyle name="输出 9 2 2 4 2" xfId="19764"/>
    <cellStyle name="输出 9 2 3" xfId="6348"/>
    <cellStyle name="输出 9 2 3 2" xfId="7151"/>
    <cellStyle name="输出 9 2 3 2 2" xfId="9956"/>
    <cellStyle name="输出 9 2 3 2 2 2" xfId="14822"/>
    <cellStyle name="输出 9 2 3 2 2 2 2" xfId="18647"/>
    <cellStyle name="输出 9 2 3 2 3" xfId="10274"/>
    <cellStyle name="输出 9 2 3 2 3 2" xfId="10524"/>
    <cellStyle name="输出 9 2 3 2 3 2 2" xfId="15251"/>
    <cellStyle name="输出 9 2 3 2 3 2 2 2" xfId="15610"/>
    <cellStyle name="输出 9 2 3 2 3 3" xfId="15051"/>
    <cellStyle name="输出 9 2 3 2 3 3 2" xfId="15730"/>
    <cellStyle name="输出 9 2 3 2 4" xfId="12835"/>
    <cellStyle name="输出 9 2 3 2 4 2" xfId="19359"/>
    <cellStyle name="输出 9 2 3 3" xfId="8763"/>
    <cellStyle name="输出 9 2 3 3 2" xfId="14021"/>
    <cellStyle name="输出 9 2 3 3 2 2" xfId="18362"/>
    <cellStyle name="输出 9 2 3 4" xfId="11761"/>
    <cellStyle name="输出 9 2 3 4 2" xfId="20036"/>
    <cellStyle name="输出 9 2 4" xfId="8147"/>
    <cellStyle name="输出 9 2 4 2" xfId="13412"/>
    <cellStyle name="输出 9 2 4 2 2" xfId="16674"/>
    <cellStyle name="输出 9 2 5" xfId="11032"/>
    <cellStyle name="输出 9 2 5 2" xfId="17488"/>
    <cellStyle name="输出 9 3" xfId="6057"/>
    <cellStyle name="输出 9 3 2" xfId="6420"/>
    <cellStyle name="输出 9 3 2 2" xfId="7223"/>
    <cellStyle name="输出 9 3 2 2 2" xfId="10028"/>
    <cellStyle name="输出 9 3 2 2 2 2" xfId="14879"/>
    <cellStyle name="输出 9 3 2 2 2 2 2" xfId="18822"/>
    <cellStyle name="输出 9 3 2 2 3" xfId="10346"/>
    <cellStyle name="输出 9 3 2 2 3 2" xfId="10596"/>
    <cellStyle name="输出 9 3 2 2 3 2 2" xfId="15323"/>
    <cellStyle name="输出 9 3 2 2 3 2 2 2" xfId="15553"/>
    <cellStyle name="输出 9 3 2 2 3 3" xfId="15123"/>
    <cellStyle name="输出 9 3 2 2 3 3 2" xfId="17840"/>
    <cellStyle name="输出 9 3 2 2 4" xfId="12907"/>
    <cellStyle name="输出 9 3 2 2 4 2" xfId="19372"/>
    <cellStyle name="输出 9 3 2 3" xfId="8835"/>
    <cellStyle name="输出 9 3 2 3 2" xfId="14080"/>
    <cellStyle name="输出 9 3 2 3 2 2" xfId="16286"/>
    <cellStyle name="输出 9 3 2 4" xfId="11833"/>
    <cellStyle name="输出 9 3 2 4 2" xfId="17235"/>
    <cellStyle name="输出 9 3 3" xfId="8540"/>
    <cellStyle name="输出 9 3 3 2" xfId="13805"/>
    <cellStyle name="输出 9 3 3 2 2" xfId="18479"/>
    <cellStyle name="输出 9 3 4" xfId="11520"/>
    <cellStyle name="输出 9 3 4 2" xfId="19945"/>
    <cellStyle name="输出 9 4" xfId="6329"/>
    <cellStyle name="输出 9 4 2" xfId="7132"/>
    <cellStyle name="输出 9 4 2 2" xfId="9937"/>
    <cellStyle name="输出 9 4 2 2 2" xfId="14807"/>
    <cellStyle name="输出 9 4 2 2 2 2" xfId="18969"/>
    <cellStyle name="输出 9 4 2 3" xfId="10255"/>
    <cellStyle name="输出 9 4 2 3 2" xfId="10505"/>
    <cellStyle name="输出 9 4 2 3 2 2" xfId="15232"/>
    <cellStyle name="输出 9 4 2 3 2 2 2" xfId="15624"/>
    <cellStyle name="输出 9 4 2 3 3" xfId="15032"/>
    <cellStyle name="输出 9 4 2 3 3 2" xfId="18435"/>
    <cellStyle name="输出 9 4 2 4" xfId="12816"/>
    <cellStyle name="输出 9 4 2 4 2" xfId="19226"/>
    <cellStyle name="输出 9 4 3" xfId="8744"/>
    <cellStyle name="输出 9 4 3 2" xfId="14006"/>
    <cellStyle name="输出 9 4 3 2 2" xfId="18975"/>
    <cellStyle name="输出 9 4 4" xfId="11742"/>
    <cellStyle name="输出 9 4 4 2" xfId="19740"/>
    <cellStyle name="输出 9 5" xfId="8059"/>
    <cellStyle name="输出 9 5 2" xfId="13324"/>
    <cellStyle name="输出 9 5 2 2" xfId="16723"/>
    <cellStyle name="输出 9 6" xfId="10922"/>
    <cellStyle name="输出 9 6 2" xfId="17570"/>
    <cellStyle name="适中" xfId="116"/>
    <cellStyle name="适中 10" xfId="4043"/>
    <cellStyle name="适中 11" xfId="5549"/>
    <cellStyle name="适中 11 2" xfId="7605"/>
    <cellStyle name="适中 11 2 2" xfId="9366"/>
    <cellStyle name="适中 12" xfId="4042"/>
    <cellStyle name="适中 13" xfId="10421"/>
    <cellStyle name="适中 2" xfId="4044"/>
    <cellStyle name="适中 2 2" xfId="4045"/>
    <cellStyle name="适中 2 2 2" xfId="5069"/>
    <cellStyle name="适中 2 3" xfId="4046"/>
    <cellStyle name="适中 2 4" xfId="4047"/>
    <cellStyle name="适中 2 5" xfId="5072"/>
    <cellStyle name="适中 2 5 2" xfId="7481"/>
    <cellStyle name="适中 2 5 2 2" xfId="9237"/>
    <cellStyle name="适中 3" xfId="4048"/>
    <cellStyle name="适中 3 2" xfId="4049"/>
    <cellStyle name="适中 4" xfId="4050"/>
    <cellStyle name="适中 4 2" xfId="7407"/>
    <cellStyle name="适中 4 2 2" xfId="9163"/>
    <cellStyle name="适中 5" xfId="4051"/>
    <cellStyle name="适中 5 2" xfId="7408"/>
    <cellStyle name="适中 5 2 2" xfId="9164"/>
    <cellStyle name="适中 6" xfId="4052"/>
    <cellStyle name="适中 7" xfId="4053"/>
    <cellStyle name="适中 8" xfId="4054"/>
    <cellStyle name="适中 8 2" xfId="7409"/>
    <cellStyle name="适中 8 2 2" xfId="9165"/>
    <cellStyle name="适中 9" xfId="4055"/>
    <cellStyle name="連結的儲存格" xfId="4056"/>
    <cellStyle name="連結的儲存格 2" xfId="4057"/>
    <cellStyle name="連結的儲存格 3" xfId="4058"/>
    <cellStyle name="連結的儲存格 4" xfId="4059"/>
    <cellStyle name="連結的儲存格 4 2" xfId="7410"/>
    <cellStyle name="連結的儲存格 4 2 2" xfId="9166"/>
    <cellStyle name="連結的儲存格 5" xfId="4060"/>
    <cellStyle name="連結的儲存格 6" xfId="4728"/>
    <cellStyle name="連結的儲存格 7" xfId="5550"/>
    <cellStyle name="連結的儲存格 7 2" xfId="7606"/>
    <cellStyle name="連結的儲存格 7 2 2" xfId="9367"/>
    <cellStyle name="链接单元格" xfId="117"/>
    <cellStyle name="链接单元格 10" xfId="5551"/>
    <cellStyle name="链接单元格 10 2" xfId="7607"/>
    <cellStyle name="链接单元格 10 2 2" xfId="9368"/>
    <cellStyle name="链接单元格 11" xfId="4061"/>
    <cellStyle name="链接单元格 12" xfId="10422"/>
    <cellStyle name="链接单元格 2" xfId="4062"/>
    <cellStyle name="链接单元格 2 2" xfId="4063"/>
    <cellStyle name="链接单元格 2 2 2" xfId="5094"/>
    <cellStyle name="链接单元格 2 3" xfId="4064"/>
    <cellStyle name="链接单元格 2 4" xfId="4065"/>
    <cellStyle name="链接单元格 2 5" xfId="5013"/>
    <cellStyle name="链接单元格 2 5 2" xfId="7456"/>
    <cellStyle name="链接单元格 2 5 2 2" xfId="9212"/>
    <cellStyle name="链接单元格 3" xfId="4066"/>
    <cellStyle name="链接单元格 3 2" xfId="4067"/>
    <cellStyle name="链接单元格 4" xfId="4068"/>
    <cellStyle name="链接单元格 4 2" xfId="7411"/>
    <cellStyle name="链接单元格 4 2 2" xfId="9167"/>
    <cellStyle name="链接单元格 5" xfId="4069"/>
    <cellStyle name="链接单元格 6" xfId="4070"/>
    <cellStyle name="链接单元格 7" xfId="4071"/>
    <cellStyle name="链接单元格 7 2" xfId="7412"/>
    <cellStyle name="链接单元格 7 2 2" xfId="9168"/>
    <cellStyle name="链接单元格 8" xfId="4072"/>
    <cellStyle name="链接单元格 9" xfId="4073"/>
  </cellStyles>
  <dxfs count="5">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s>
  <tableStyles count="0" defaultTableStyle="TableStyleMedium2" defaultPivotStyle="PivotStyleLight16"/>
  <colors>
    <mruColors>
      <color rgb="FF006666"/>
      <color rgb="FFFFFF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BC733"/>
  <sheetViews>
    <sheetView tabSelected="1" zoomScaleNormal="100" workbookViewId="0"/>
  </sheetViews>
  <sheetFormatPr defaultColWidth="11.140625" defaultRowHeight="15"/>
  <cols>
    <col min="1" max="1" width="25.7109375" style="14" customWidth="1"/>
    <col min="2" max="2" width="31.85546875" style="14" customWidth="1"/>
    <col min="3" max="6" width="16.85546875" style="14" customWidth="1"/>
    <col min="7" max="7" width="42.85546875" style="14" customWidth="1"/>
    <col min="8" max="8" width="14.140625" style="15" customWidth="1"/>
    <col min="9" max="9" width="12.28515625" style="29" customWidth="1"/>
    <col min="10" max="10" width="9.7109375" style="15" customWidth="1"/>
    <col min="11" max="11" width="19" style="15" customWidth="1"/>
    <col min="12" max="12" width="19.28515625" style="50" customWidth="1"/>
    <col min="13" max="13" width="19" style="30" customWidth="1"/>
    <col min="14" max="14" width="13.42578125" style="120" customWidth="1"/>
    <col min="15" max="17" width="13.42578125" style="30" customWidth="1"/>
    <col min="18" max="18" width="38.85546875" style="22" customWidth="1"/>
    <col min="19" max="19" width="9.28515625" style="16" customWidth="1"/>
    <col min="20" max="20" width="13" style="16" customWidth="1"/>
    <col min="21" max="21" width="15.42578125" style="7" customWidth="1"/>
    <col min="22" max="23" width="11.140625" style="7" hidden="1" customWidth="1"/>
    <col min="24" max="26" width="11.140625" style="7" customWidth="1"/>
    <col min="27" max="53" width="11.140625" style="31" customWidth="1"/>
    <col min="54" max="54" width="16.42578125" style="121" bestFit="1" customWidth="1"/>
    <col min="55" max="55" width="17.42578125" style="121" bestFit="1" customWidth="1"/>
    <col min="56" max="16384" width="11.140625" style="41"/>
  </cols>
  <sheetData>
    <row r="1" spans="1:55" ht="26.25">
      <c r="A1" s="3" t="s">
        <v>1221</v>
      </c>
      <c r="B1" s="4"/>
      <c r="C1" s="4"/>
      <c r="D1" s="4"/>
      <c r="E1" s="4"/>
      <c r="F1" s="4"/>
      <c r="G1" s="4"/>
      <c r="H1" s="5"/>
      <c r="I1" s="28"/>
      <c r="J1" s="5"/>
      <c r="K1" s="5"/>
      <c r="L1" s="46"/>
      <c r="M1" s="27"/>
      <c r="N1" s="114"/>
      <c r="O1" s="27"/>
      <c r="P1" s="27"/>
      <c r="Q1" s="27"/>
      <c r="R1" s="45"/>
      <c r="S1" s="6"/>
      <c r="T1" s="6"/>
    </row>
    <row r="2" spans="1:55" ht="18.75">
      <c r="A2" s="8" t="s">
        <v>1856</v>
      </c>
      <c r="B2" s="4"/>
      <c r="C2" s="4"/>
      <c r="D2" s="4"/>
      <c r="E2" s="4"/>
      <c r="F2" s="4"/>
      <c r="G2" s="4"/>
      <c r="H2" s="5"/>
      <c r="I2" s="28"/>
      <c r="J2" s="5"/>
      <c r="K2" s="5"/>
      <c r="L2" s="46"/>
      <c r="M2" s="27"/>
      <c r="N2" s="114"/>
      <c r="O2" s="27"/>
      <c r="P2" s="27"/>
      <c r="Q2" s="27"/>
      <c r="R2" s="45"/>
      <c r="S2" s="6"/>
      <c r="T2" s="6"/>
    </row>
    <row r="3" spans="1:55" ht="18.75">
      <c r="A3" s="8"/>
      <c r="B3" s="4"/>
      <c r="C3" s="4"/>
      <c r="D3" s="4"/>
      <c r="E3" s="4"/>
      <c r="F3" s="4"/>
      <c r="G3" s="4"/>
      <c r="H3" s="5"/>
      <c r="I3" s="28"/>
      <c r="J3" s="5"/>
      <c r="K3" s="5"/>
      <c r="L3" s="46"/>
      <c r="M3" s="27"/>
      <c r="N3" s="114"/>
      <c r="O3" s="27"/>
      <c r="P3" s="27"/>
      <c r="Q3" s="27"/>
      <c r="R3" s="45"/>
      <c r="S3" s="6"/>
      <c r="T3" s="6"/>
    </row>
    <row r="4" spans="1:55" ht="18.75">
      <c r="A4" s="9" t="s">
        <v>49</v>
      </c>
      <c r="B4" s="4"/>
      <c r="C4" s="4"/>
      <c r="D4" s="4"/>
      <c r="E4" s="4"/>
      <c r="F4" s="4"/>
      <c r="G4" s="4"/>
      <c r="H4" s="5"/>
      <c r="I4" s="28"/>
      <c r="J4" s="5"/>
      <c r="K4" s="5"/>
      <c r="L4" s="46"/>
      <c r="M4" s="27"/>
      <c r="N4" s="114"/>
      <c r="O4" s="27"/>
      <c r="P4" s="27"/>
      <c r="Q4" s="27"/>
      <c r="R4" s="45"/>
      <c r="S4" s="6"/>
      <c r="T4" s="6"/>
    </row>
    <row r="5" spans="1:55">
      <c r="A5" s="42" t="s">
        <v>18</v>
      </c>
      <c r="B5" s="4"/>
      <c r="C5" s="4"/>
      <c r="D5" s="4"/>
      <c r="E5" s="4"/>
      <c r="F5" s="4"/>
      <c r="G5" s="4"/>
      <c r="H5" s="5"/>
      <c r="I5" s="28"/>
      <c r="J5" s="5"/>
      <c r="K5" s="5"/>
      <c r="L5" s="46"/>
      <c r="M5" s="27"/>
      <c r="N5" s="114"/>
      <c r="O5" s="27"/>
      <c r="P5" s="27"/>
      <c r="Q5" s="27"/>
      <c r="R5" s="45"/>
      <c r="S5" s="6"/>
      <c r="T5" s="6"/>
    </row>
    <row r="6" spans="1:55" s="57" customFormat="1" ht="30" customHeight="1">
      <c r="A6" s="32" t="s">
        <v>1222</v>
      </c>
      <c r="B6" s="10"/>
      <c r="C6" s="10"/>
      <c r="D6" s="10"/>
      <c r="E6" s="10"/>
      <c r="F6" s="10"/>
      <c r="G6" s="10"/>
      <c r="H6" s="13"/>
      <c r="I6" s="12"/>
      <c r="J6" s="13"/>
      <c r="K6" s="13"/>
      <c r="L6" s="47"/>
      <c r="M6" s="11"/>
      <c r="N6" s="115"/>
      <c r="O6" s="51"/>
      <c r="P6" s="51"/>
      <c r="Q6" s="51"/>
      <c r="R6" s="51"/>
      <c r="S6" s="52"/>
      <c r="T6" s="52"/>
      <c r="U6" s="7"/>
      <c r="V6" s="7"/>
      <c r="W6" s="7"/>
      <c r="X6" s="7"/>
      <c r="Y6" s="7"/>
      <c r="Z6" s="7"/>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121"/>
      <c r="BC6" s="121"/>
    </row>
    <row r="7" spans="1:55">
      <c r="A7" s="43" t="s">
        <v>19</v>
      </c>
      <c r="B7" s="10"/>
      <c r="C7" s="10"/>
      <c r="D7" s="10"/>
      <c r="E7" s="10"/>
      <c r="F7" s="10"/>
      <c r="G7" s="10"/>
      <c r="H7" s="13"/>
      <c r="I7" s="12"/>
      <c r="J7" s="13"/>
      <c r="K7" s="13"/>
      <c r="L7" s="47"/>
      <c r="M7" s="11"/>
      <c r="N7" s="115"/>
      <c r="O7" s="51"/>
      <c r="P7" s="51"/>
      <c r="Q7" s="51"/>
      <c r="R7" s="51"/>
      <c r="S7" s="52"/>
      <c r="T7" s="52"/>
    </row>
    <row r="8" spans="1:55" ht="35.25" customHeight="1">
      <c r="A8" s="32" t="s">
        <v>762</v>
      </c>
      <c r="B8" s="10"/>
      <c r="C8" s="10"/>
      <c r="D8" s="10"/>
      <c r="E8" s="10"/>
      <c r="F8" s="10"/>
      <c r="G8" s="10"/>
      <c r="H8" s="13"/>
      <c r="I8" s="12"/>
      <c r="J8" s="13"/>
      <c r="K8" s="13"/>
      <c r="L8" s="47"/>
      <c r="M8" s="11"/>
      <c r="N8" s="115"/>
      <c r="O8" s="51"/>
      <c r="P8" s="51"/>
      <c r="Q8" s="51"/>
      <c r="R8" s="51"/>
      <c r="S8" s="52"/>
      <c r="T8" s="52"/>
    </row>
    <row r="9" spans="1:55">
      <c r="A9" s="63" t="s">
        <v>1223</v>
      </c>
      <c r="B9" s="64"/>
      <c r="C9" s="64"/>
      <c r="D9" s="64"/>
      <c r="E9" s="64"/>
      <c r="F9" s="64"/>
      <c r="G9" s="64"/>
      <c r="H9" s="65"/>
      <c r="I9" s="66"/>
      <c r="J9" s="65"/>
      <c r="K9" s="65"/>
      <c r="L9" s="67"/>
      <c r="M9" s="68"/>
      <c r="N9" s="115"/>
      <c r="O9" s="51"/>
      <c r="P9" s="51"/>
      <c r="Q9" s="51"/>
      <c r="R9" s="51"/>
      <c r="S9" s="52"/>
      <c r="T9" s="52"/>
    </row>
    <row r="10" spans="1:55" ht="32.25" customHeight="1">
      <c r="A10" s="69" t="s">
        <v>1224</v>
      </c>
      <c r="B10" s="70"/>
      <c r="C10" s="70"/>
      <c r="D10" s="70"/>
      <c r="E10" s="70"/>
      <c r="F10" s="70"/>
      <c r="G10" s="70"/>
      <c r="H10" s="71"/>
      <c r="I10" s="72"/>
      <c r="J10" s="71"/>
      <c r="K10" s="71"/>
      <c r="L10" s="73"/>
      <c r="M10" s="74"/>
      <c r="N10" s="115"/>
      <c r="O10" s="51"/>
      <c r="P10" s="51"/>
      <c r="Q10" s="51"/>
      <c r="R10" s="51"/>
      <c r="S10" s="52"/>
      <c r="T10" s="52"/>
    </row>
    <row r="11" spans="1:55">
      <c r="A11" s="75" t="s">
        <v>1225</v>
      </c>
      <c r="B11" s="76"/>
      <c r="C11" s="76"/>
      <c r="D11" s="76"/>
      <c r="E11" s="76"/>
      <c r="F11" s="76"/>
      <c r="G11" s="76"/>
      <c r="H11" s="77"/>
      <c r="I11" s="78"/>
      <c r="J11" s="77"/>
      <c r="K11" s="77"/>
      <c r="L11" s="79"/>
      <c r="M11" s="80"/>
      <c r="N11" s="116"/>
      <c r="O11" s="53"/>
      <c r="P11" s="53"/>
      <c r="Q11" s="53"/>
      <c r="R11" s="55"/>
      <c r="S11" s="54"/>
      <c r="T11" s="54"/>
    </row>
    <row r="12" spans="1:55" ht="15" customHeight="1">
      <c r="A12" s="36" t="s">
        <v>25</v>
      </c>
      <c r="B12" s="32"/>
      <c r="C12" s="32"/>
      <c r="D12" s="32"/>
      <c r="E12" s="32"/>
      <c r="F12" s="32"/>
      <c r="G12" s="32"/>
      <c r="H12" s="33"/>
      <c r="I12" s="34"/>
      <c r="J12" s="33"/>
      <c r="K12" s="33"/>
      <c r="L12" s="48"/>
      <c r="M12" s="35"/>
      <c r="N12" s="117"/>
      <c r="O12" s="111"/>
      <c r="P12" s="111"/>
      <c r="Q12" s="111"/>
      <c r="R12" s="112"/>
      <c r="S12" s="113"/>
      <c r="T12" s="113"/>
      <c r="U12" s="113"/>
      <c r="V12" s="113"/>
      <c r="W12" s="113"/>
      <c r="X12" s="113"/>
    </row>
    <row r="13" spans="1:55" s="99" customFormat="1" ht="85.5" customHeight="1">
      <c r="A13" s="81" t="s">
        <v>14</v>
      </c>
      <c r="B13" s="82" t="s">
        <v>763</v>
      </c>
      <c r="C13" s="83" t="s">
        <v>1204</v>
      </c>
      <c r="D13" s="84" t="s">
        <v>1205</v>
      </c>
      <c r="E13" s="85" t="s">
        <v>1206</v>
      </c>
      <c r="F13" s="86" t="s">
        <v>1207</v>
      </c>
      <c r="G13" s="81" t="s">
        <v>15</v>
      </c>
      <c r="H13" s="87" t="s">
        <v>279</v>
      </c>
      <c r="I13" s="100" t="s">
        <v>22</v>
      </c>
      <c r="J13" s="88" t="s">
        <v>24</v>
      </c>
      <c r="K13" s="89" t="s">
        <v>1212</v>
      </c>
      <c r="L13" s="90"/>
      <c r="M13" s="91"/>
      <c r="N13" s="118" t="s">
        <v>764</v>
      </c>
      <c r="O13" s="85" t="s">
        <v>1206</v>
      </c>
      <c r="P13" s="92" t="s">
        <v>1214</v>
      </c>
      <c r="Q13" s="93"/>
      <c r="R13" s="101" t="s">
        <v>16</v>
      </c>
      <c r="S13" s="94" t="s">
        <v>12</v>
      </c>
      <c r="T13" s="94" t="s">
        <v>13</v>
      </c>
      <c r="U13" s="95" t="s">
        <v>1768</v>
      </c>
      <c r="V13" s="17" t="s">
        <v>168</v>
      </c>
      <c r="W13" s="17" t="s">
        <v>169</v>
      </c>
      <c r="X13" s="96" t="s">
        <v>170</v>
      </c>
      <c r="Y13" s="97" t="s">
        <v>171</v>
      </c>
      <c r="Z13" s="97" t="s">
        <v>172</v>
      </c>
      <c r="AA13" s="98" t="s">
        <v>173</v>
      </c>
      <c r="AB13" s="98" t="s">
        <v>173</v>
      </c>
      <c r="AC13" s="98" t="s">
        <v>173</v>
      </c>
      <c r="AD13" s="98" t="s">
        <v>173</v>
      </c>
      <c r="AE13" s="98" t="s">
        <v>173</v>
      </c>
      <c r="AF13" s="98" t="s">
        <v>173</v>
      </c>
      <c r="AG13" s="98" t="s">
        <v>174</v>
      </c>
      <c r="AH13" s="98" t="s">
        <v>174</v>
      </c>
      <c r="AI13" s="98" t="s">
        <v>174</v>
      </c>
      <c r="AJ13" s="98" t="s">
        <v>174</v>
      </c>
      <c r="AK13" s="98" t="s">
        <v>174</v>
      </c>
      <c r="AL13" s="98" t="s">
        <v>174</v>
      </c>
      <c r="AM13" s="98" t="s">
        <v>174</v>
      </c>
      <c r="AN13" s="98" t="s">
        <v>175</v>
      </c>
      <c r="AO13" s="98" t="s">
        <v>175</v>
      </c>
      <c r="AP13" s="98" t="s">
        <v>175</v>
      </c>
      <c r="AQ13" s="98" t="s">
        <v>175</v>
      </c>
      <c r="AR13" s="98" t="s">
        <v>175</v>
      </c>
      <c r="AS13" s="98" t="s">
        <v>175</v>
      </c>
      <c r="AT13" s="98" t="s">
        <v>175</v>
      </c>
      <c r="AU13" s="98" t="s">
        <v>176</v>
      </c>
      <c r="AV13" s="98" t="s">
        <v>176</v>
      </c>
      <c r="AW13" s="98" t="s">
        <v>176</v>
      </c>
      <c r="AX13" s="98" t="s">
        <v>176</v>
      </c>
      <c r="AY13" s="98" t="s">
        <v>176</v>
      </c>
      <c r="AZ13" s="98" t="s">
        <v>176</v>
      </c>
      <c r="BA13" s="98" t="s">
        <v>176</v>
      </c>
      <c r="BB13" s="122" t="s">
        <v>1226</v>
      </c>
      <c r="BC13" s="122" t="s">
        <v>177</v>
      </c>
    </row>
    <row r="14" spans="1:55" ht="45">
      <c r="A14" s="25"/>
      <c r="B14" s="25"/>
      <c r="C14" s="59" t="s">
        <v>1208</v>
      </c>
      <c r="D14" s="60" t="s">
        <v>1209</v>
      </c>
      <c r="E14" s="61" t="s">
        <v>1210</v>
      </c>
      <c r="F14" s="62" t="s">
        <v>1211</v>
      </c>
      <c r="G14" s="24"/>
      <c r="H14" s="102" t="s">
        <v>20</v>
      </c>
      <c r="I14" s="103" t="s">
        <v>21</v>
      </c>
      <c r="J14" s="102" t="s">
        <v>23</v>
      </c>
      <c r="K14" s="104" t="s">
        <v>1213</v>
      </c>
      <c r="L14" s="105" t="s">
        <v>475</v>
      </c>
      <c r="M14" s="105" t="s">
        <v>476</v>
      </c>
      <c r="N14" s="119" t="s">
        <v>1130</v>
      </c>
      <c r="O14" s="106" t="s">
        <v>475</v>
      </c>
      <c r="P14" s="107" t="s">
        <v>1213</v>
      </c>
      <c r="Q14" s="107" t="s">
        <v>475</v>
      </c>
      <c r="R14" s="109"/>
      <c r="S14" s="110"/>
      <c r="T14" s="110"/>
      <c r="U14" s="102" t="s">
        <v>178</v>
      </c>
      <c r="V14" s="25" t="s">
        <v>20</v>
      </c>
      <c r="W14" s="25" t="s">
        <v>178</v>
      </c>
      <c r="X14" s="25" t="s">
        <v>179</v>
      </c>
      <c r="Y14" s="25" t="s">
        <v>179</v>
      </c>
      <c r="Z14" s="25" t="s">
        <v>179</v>
      </c>
      <c r="AA14" s="108" t="s">
        <v>180</v>
      </c>
      <c r="AB14" s="108" t="s">
        <v>181</v>
      </c>
      <c r="AC14" s="108" t="s">
        <v>182</v>
      </c>
      <c r="AD14" s="108" t="s">
        <v>183</v>
      </c>
      <c r="AE14" s="108" t="s">
        <v>184</v>
      </c>
      <c r="AF14" s="108" t="s">
        <v>185</v>
      </c>
      <c r="AG14" s="108" t="s">
        <v>186</v>
      </c>
      <c r="AH14" s="108" t="s">
        <v>187</v>
      </c>
      <c r="AI14" s="108" t="s">
        <v>188</v>
      </c>
      <c r="AJ14" s="108" t="s">
        <v>189</v>
      </c>
      <c r="AK14" s="108" t="s">
        <v>190</v>
      </c>
      <c r="AL14" s="108" t="s">
        <v>191</v>
      </c>
      <c r="AM14" s="108" t="s">
        <v>192</v>
      </c>
      <c r="AN14" s="108" t="s">
        <v>186</v>
      </c>
      <c r="AO14" s="108" t="s">
        <v>187</v>
      </c>
      <c r="AP14" s="108" t="s">
        <v>188</v>
      </c>
      <c r="AQ14" s="108" t="s">
        <v>189</v>
      </c>
      <c r="AR14" s="108" t="s">
        <v>190</v>
      </c>
      <c r="AS14" s="108" t="s">
        <v>191</v>
      </c>
      <c r="AT14" s="108" t="s">
        <v>192</v>
      </c>
      <c r="AU14" s="108" t="s">
        <v>186</v>
      </c>
      <c r="AV14" s="108" t="s">
        <v>187</v>
      </c>
      <c r="AW14" s="108" t="s">
        <v>188</v>
      </c>
      <c r="AX14" s="108" t="s">
        <v>189</v>
      </c>
      <c r="AY14" s="108" t="s">
        <v>190</v>
      </c>
      <c r="AZ14" s="108" t="s">
        <v>191</v>
      </c>
      <c r="BA14" s="108" t="s">
        <v>192</v>
      </c>
      <c r="BB14" s="123"/>
      <c r="BC14" s="123"/>
    </row>
    <row r="15" spans="1:55" s="44" customFormat="1" ht="45">
      <c r="A15" s="18" t="s">
        <v>0</v>
      </c>
      <c r="B15" s="18" t="s">
        <v>305</v>
      </c>
      <c r="C15" s="23" t="s">
        <v>10</v>
      </c>
      <c r="D15" s="23" t="s">
        <v>10</v>
      </c>
      <c r="E15" s="23" t="s">
        <v>11</v>
      </c>
      <c r="F15" s="23" t="s">
        <v>11</v>
      </c>
      <c r="G15" s="18" t="s">
        <v>75</v>
      </c>
      <c r="H15" s="19">
        <v>3</v>
      </c>
      <c r="I15" s="19">
        <v>208</v>
      </c>
      <c r="J15" s="19">
        <v>96</v>
      </c>
      <c r="K15" s="21" t="s">
        <v>1215</v>
      </c>
      <c r="L15" s="49" t="s">
        <v>753</v>
      </c>
      <c r="M15" s="21" t="s">
        <v>413</v>
      </c>
      <c r="N15" s="174">
        <v>43388</v>
      </c>
      <c r="O15" s="23" t="s">
        <v>17</v>
      </c>
      <c r="P15" s="23" t="s">
        <v>17</v>
      </c>
      <c r="Q15" s="23" t="s">
        <v>17</v>
      </c>
      <c r="R15" s="150" t="s">
        <v>26</v>
      </c>
      <c r="S15" s="20" t="s">
        <v>10</v>
      </c>
      <c r="T15" s="20" t="s">
        <v>11</v>
      </c>
      <c r="U15" s="19">
        <v>0.1</v>
      </c>
      <c r="V15" s="19">
        <v>3</v>
      </c>
      <c r="W15" s="19">
        <v>0.1</v>
      </c>
      <c r="X15" s="19">
        <v>100</v>
      </c>
      <c r="Y15" s="19">
        <v>310</v>
      </c>
      <c r="Z15" s="19">
        <v>480</v>
      </c>
      <c r="AA15" s="40">
        <v>0.3</v>
      </c>
      <c r="AB15" s="40">
        <v>0.6</v>
      </c>
      <c r="AC15" s="40">
        <v>0.9</v>
      </c>
      <c r="AD15" s="40">
        <v>1.5</v>
      </c>
      <c r="AE15" s="40">
        <v>2.25</v>
      </c>
      <c r="AF15" s="40">
        <v>3</v>
      </c>
      <c r="AG15" s="40">
        <v>93.1</v>
      </c>
      <c r="AH15" s="40">
        <v>95.5</v>
      </c>
      <c r="AI15" s="40">
        <v>96</v>
      </c>
      <c r="AJ15" s="40">
        <v>95.9</v>
      </c>
      <c r="AK15" s="40">
        <v>95.7</v>
      </c>
      <c r="AL15" s="40">
        <v>95.1</v>
      </c>
      <c r="AM15" s="40">
        <v>95.6</v>
      </c>
      <c r="AN15" s="40">
        <v>93.3</v>
      </c>
      <c r="AO15" s="40">
        <v>95.9</v>
      </c>
      <c r="AP15" s="40">
        <v>96.4</v>
      </c>
      <c r="AQ15" s="40">
        <v>96.4</v>
      </c>
      <c r="AR15" s="40">
        <v>96.2</v>
      </c>
      <c r="AS15" s="40">
        <v>95.8</v>
      </c>
      <c r="AT15" s="40">
        <v>96.1</v>
      </c>
      <c r="AU15" s="40">
        <v>91</v>
      </c>
      <c r="AV15" s="40">
        <v>94.9</v>
      </c>
      <c r="AW15" s="40">
        <v>95.7</v>
      </c>
      <c r="AX15" s="40">
        <v>96</v>
      </c>
      <c r="AY15" s="40">
        <v>95.8</v>
      </c>
      <c r="AZ15" s="40">
        <v>95.5</v>
      </c>
      <c r="BA15" s="40">
        <v>95.6</v>
      </c>
      <c r="BB15" s="174">
        <v>42917</v>
      </c>
      <c r="BC15" s="174">
        <v>43388</v>
      </c>
    </row>
    <row r="16" spans="1:55" s="44" customFormat="1" ht="45">
      <c r="A16" s="18" t="s">
        <v>0</v>
      </c>
      <c r="B16" s="18" t="s">
        <v>306</v>
      </c>
      <c r="C16" s="23" t="s">
        <v>10</v>
      </c>
      <c r="D16" s="23" t="s">
        <v>10</v>
      </c>
      <c r="E16" s="23" t="s">
        <v>11</v>
      </c>
      <c r="F16" s="23" t="s">
        <v>11</v>
      </c>
      <c r="G16" s="18" t="s">
        <v>76</v>
      </c>
      <c r="H16" s="19">
        <v>3</v>
      </c>
      <c r="I16" s="19">
        <v>240</v>
      </c>
      <c r="J16" s="19">
        <v>96</v>
      </c>
      <c r="K16" s="21" t="s">
        <v>1215</v>
      </c>
      <c r="L16" s="49" t="s">
        <v>753</v>
      </c>
      <c r="M16" s="21" t="s">
        <v>413</v>
      </c>
      <c r="N16" s="174">
        <v>43388</v>
      </c>
      <c r="O16" s="23" t="s">
        <v>17</v>
      </c>
      <c r="P16" s="23" t="s">
        <v>17</v>
      </c>
      <c r="Q16" s="23" t="s">
        <v>17</v>
      </c>
      <c r="R16" s="150" t="s">
        <v>26</v>
      </c>
      <c r="S16" s="20" t="s">
        <v>10</v>
      </c>
      <c r="T16" s="20" t="s">
        <v>11</v>
      </c>
      <c r="U16" s="19">
        <v>0.1</v>
      </c>
      <c r="V16" s="19">
        <v>3</v>
      </c>
      <c r="W16" s="19">
        <v>0.1</v>
      </c>
      <c r="X16" s="19">
        <v>100</v>
      </c>
      <c r="Y16" s="19">
        <v>340</v>
      </c>
      <c r="Z16" s="19">
        <v>480</v>
      </c>
      <c r="AA16" s="40">
        <v>0.25</v>
      </c>
      <c r="AB16" s="40">
        <v>0.6</v>
      </c>
      <c r="AC16" s="40">
        <v>0.9</v>
      </c>
      <c r="AD16" s="40">
        <v>1.5</v>
      </c>
      <c r="AE16" s="40">
        <v>2.25</v>
      </c>
      <c r="AF16" s="40">
        <v>3</v>
      </c>
      <c r="AG16" s="40">
        <v>92.5</v>
      </c>
      <c r="AH16" s="40">
        <v>95.2</v>
      </c>
      <c r="AI16" s="40">
        <v>95.9</v>
      </c>
      <c r="AJ16" s="40">
        <v>96.1</v>
      </c>
      <c r="AK16" s="40">
        <v>95.9</v>
      </c>
      <c r="AL16" s="40">
        <v>95.5</v>
      </c>
      <c r="AM16" s="40">
        <v>95.7</v>
      </c>
      <c r="AN16" s="40">
        <v>93.1</v>
      </c>
      <c r="AO16" s="40">
        <v>95.9</v>
      </c>
      <c r="AP16" s="40">
        <v>96.5</v>
      </c>
      <c r="AQ16" s="40">
        <v>96.7</v>
      </c>
      <c r="AR16" s="40">
        <v>96.7</v>
      </c>
      <c r="AS16" s="40">
        <v>96.4</v>
      </c>
      <c r="AT16" s="40">
        <v>96.5</v>
      </c>
      <c r="AU16" s="40">
        <v>91.1</v>
      </c>
      <c r="AV16" s="40">
        <v>95.1</v>
      </c>
      <c r="AW16" s="40">
        <v>96</v>
      </c>
      <c r="AX16" s="40">
        <v>96.4</v>
      </c>
      <c r="AY16" s="40">
        <v>96.4</v>
      </c>
      <c r="AZ16" s="40">
        <v>96.2</v>
      </c>
      <c r="BA16" s="40">
        <v>96.1</v>
      </c>
      <c r="BB16" s="174">
        <v>42917</v>
      </c>
      <c r="BC16" s="174">
        <v>43388</v>
      </c>
    </row>
    <row r="17" spans="1:55" s="44" customFormat="1" ht="45">
      <c r="A17" s="18" t="s">
        <v>0</v>
      </c>
      <c r="B17" s="18" t="s">
        <v>307</v>
      </c>
      <c r="C17" s="23" t="s">
        <v>10</v>
      </c>
      <c r="D17" s="23" t="s">
        <v>10</v>
      </c>
      <c r="E17" s="23" t="s">
        <v>11</v>
      </c>
      <c r="F17" s="23" t="s">
        <v>11</v>
      </c>
      <c r="G17" s="18" t="s">
        <v>77</v>
      </c>
      <c r="H17" s="19">
        <v>3</v>
      </c>
      <c r="I17" s="19">
        <v>277</v>
      </c>
      <c r="J17" s="19">
        <v>96</v>
      </c>
      <c r="K17" s="21" t="s">
        <v>1215</v>
      </c>
      <c r="L17" s="49" t="s">
        <v>753</v>
      </c>
      <c r="M17" s="21" t="s">
        <v>413</v>
      </c>
      <c r="N17" s="174">
        <v>43388</v>
      </c>
      <c r="O17" s="23" t="s">
        <v>17</v>
      </c>
      <c r="P17" s="23" t="s">
        <v>17</v>
      </c>
      <c r="Q17" s="23" t="s">
        <v>17</v>
      </c>
      <c r="R17" s="150" t="s">
        <v>26</v>
      </c>
      <c r="S17" s="20" t="s">
        <v>10</v>
      </c>
      <c r="T17" s="20" t="s">
        <v>11</v>
      </c>
      <c r="U17" s="19">
        <v>0.2</v>
      </c>
      <c r="V17" s="19">
        <v>3</v>
      </c>
      <c r="W17" s="19">
        <v>0.2</v>
      </c>
      <c r="X17" s="19">
        <v>100</v>
      </c>
      <c r="Y17" s="19">
        <v>390</v>
      </c>
      <c r="Z17" s="19">
        <v>480</v>
      </c>
      <c r="AA17" s="40">
        <v>0.3</v>
      </c>
      <c r="AB17" s="40">
        <v>0.6</v>
      </c>
      <c r="AC17" s="40">
        <v>0.9</v>
      </c>
      <c r="AD17" s="40">
        <v>1.5</v>
      </c>
      <c r="AE17" s="40">
        <v>2.25</v>
      </c>
      <c r="AF17" s="40">
        <v>3</v>
      </c>
      <c r="AG17" s="40">
        <v>91.4</v>
      </c>
      <c r="AH17" s="40">
        <v>94.7</v>
      </c>
      <c r="AI17" s="40">
        <v>95.5</v>
      </c>
      <c r="AJ17" s="40">
        <v>96.1</v>
      </c>
      <c r="AK17" s="40">
        <v>95.9</v>
      </c>
      <c r="AL17" s="40">
        <v>95.6</v>
      </c>
      <c r="AM17" s="40">
        <v>95.7</v>
      </c>
      <c r="AN17" s="40">
        <v>92.5</v>
      </c>
      <c r="AO17" s="40">
        <v>95.8</v>
      </c>
      <c r="AP17" s="40">
        <v>96.5</v>
      </c>
      <c r="AQ17" s="40">
        <v>96.9</v>
      </c>
      <c r="AR17" s="40">
        <v>96.9</v>
      </c>
      <c r="AS17" s="40">
        <v>96.8</v>
      </c>
      <c r="AT17" s="40">
        <v>96.6</v>
      </c>
      <c r="AU17" s="40">
        <v>91.1</v>
      </c>
      <c r="AV17" s="40">
        <v>95.2</v>
      </c>
      <c r="AW17" s="40">
        <v>96.2</v>
      </c>
      <c r="AX17" s="40">
        <v>96.7</v>
      </c>
      <c r="AY17" s="40">
        <v>96.8</v>
      </c>
      <c r="AZ17" s="40">
        <v>96.7</v>
      </c>
      <c r="BA17" s="40">
        <v>96.4</v>
      </c>
      <c r="BB17" s="174">
        <v>42917</v>
      </c>
      <c r="BC17" s="174">
        <v>43388</v>
      </c>
    </row>
    <row r="18" spans="1:55" s="44" customFormat="1" ht="45">
      <c r="A18" s="18" t="s">
        <v>0</v>
      </c>
      <c r="B18" s="18" t="s">
        <v>308</v>
      </c>
      <c r="C18" s="23" t="s">
        <v>10</v>
      </c>
      <c r="D18" s="23" t="s">
        <v>10</v>
      </c>
      <c r="E18" s="23" t="s">
        <v>11</v>
      </c>
      <c r="F18" s="23" t="s">
        <v>11</v>
      </c>
      <c r="G18" s="18" t="s">
        <v>75</v>
      </c>
      <c r="H18" s="19">
        <v>3</v>
      </c>
      <c r="I18" s="19">
        <v>208</v>
      </c>
      <c r="J18" s="19">
        <v>96</v>
      </c>
      <c r="K18" s="21" t="s">
        <v>1215</v>
      </c>
      <c r="L18" s="49" t="s">
        <v>753</v>
      </c>
      <c r="M18" s="21" t="s">
        <v>413</v>
      </c>
      <c r="N18" s="174">
        <v>43388</v>
      </c>
      <c r="O18" s="23" t="s">
        <v>17</v>
      </c>
      <c r="P18" s="23" t="s">
        <v>17</v>
      </c>
      <c r="Q18" s="23" t="s">
        <v>17</v>
      </c>
      <c r="R18" s="150" t="s">
        <v>26</v>
      </c>
      <c r="S18" s="20" t="s">
        <v>10</v>
      </c>
      <c r="T18" s="20" t="s">
        <v>11</v>
      </c>
      <c r="U18" s="19">
        <v>0.1</v>
      </c>
      <c r="V18" s="19">
        <v>3</v>
      </c>
      <c r="W18" s="19">
        <v>0.1</v>
      </c>
      <c r="X18" s="19">
        <v>100</v>
      </c>
      <c r="Y18" s="19">
        <v>310</v>
      </c>
      <c r="Z18" s="19">
        <v>480</v>
      </c>
      <c r="AA18" s="40">
        <v>0.3</v>
      </c>
      <c r="AB18" s="40">
        <v>0.6</v>
      </c>
      <c r="AC18" s="40">
        <v>0.9</v>
      </c>
      <c r="AD18" s="40">
        <v>1.5</v>
      </c>
      <c r="AE18" s="40">
        <v>2.25</v>
      </c>
      <c r="AF18" s="40">
        <v>3</v>
      </c>
      <c r="AG18" s="40">
        <v>93.1</v>
      </c>
      <c r="AH18" s="40">
        <v>95.5</v>
      </c>
      <c r="AI18" s="40">
        <v>96</v>
      </c>
      <c r="AJ18" s="40">
        <v>95.9</v>
      </c>
      <c r="AK18" s="40">
        <v>95.7</v>
      </c>
      <c r="AL18" s="40">
        <v>95.1</v>
      </c>
      <c r="AM18" s="40">
        <v>95.6</v>
      </c>
      <c r="AN18" s="40">
        <v>93.3</v>
      </c>
      <c r="AO18" s="40">
        <v>95.9</v>
      </c>
      <c r="AP18" s="40">
        <v>96.4</v>
      </c>
      <c r="AQ18" s="40">
        <v>96.4</v>
      </c>
      <c r="AR18" s="40">
        <v>96.2</v>
      </c>
      <c r="AS18" s="40">
        <v>95.8</v>
      </c>
      <c r="AT18" s="40">
        <v>96.1</v>
      </c>
      <c r="AU18" s="40">
        <v>91</v>
      </c>
      <c r="AV18" s="40">
        <v>94.9</v>
      </c>
      <c r="AW18" s="40">
        <v>95.7</v>
      </c>
      <c r="AX18" s="40">
        <v>96</v>
      </c>
      <c r="AY18" s="40">
        <v>95.8</v>
      </c>
      <c r="AZ18" s="40">
        <v>95.5</v>
      </c>
      <c r="BA18" s="40">
        <v>95.6</v>
      </c>
      <c r="BB18" s="174">
        <v>42917</v>
      </c>
      <c r="BC18" s="174">
        <v>43388</v>
      </c>
    </row>
    <row r="19" spans="1:55" s="44" customFormat="1" ht="45">
      <c r="A19" s="18" t="s">
        <v>0</v>
      </c>
      <c r="B19" s="18" t="s">
        <v>309</v>
      </c>
      <c r="C19" s="23" t="s">
        <v>10</v>
      </c>
      <c r="D19" s="23" t="s">
        <v>10</v>
      </c>
      <c r="E19" s="23" t="s">
        <v>11</v>
      </c>
      <c r="F19" s="23" t="s">
        <v>11</v>
      </c>
      <c r="G19" s="18" t="s">
        <v>76</v>
      </c>
      <c r="H19" s="19">
        <v>3</v>
      </c>
      <c r="I19" s="19">
        <v>240</v>
      </c>
      <c r="J19" s="19">
        <v>96</v>
      </c>
      <c r="K19" s="21" t="s">
        <v>1215</v>
      </c>
      <c r="L19" s="49" t="s">
        <v>753</v>
      </c>
      <c r="M19" s="21" t="s">
        <v>413</v>
      </c>
      <c r="N19" s="174">
        <v>43388</v>
      </c>
      <c r="O19" s="23" t="s">
        <v>17</v>
      </c>
      <c r="P19" s="23" t="s">
        <v>17</v>
      </c>
      <c r="Q19" s="23" t="s">
        <v>17</v>
      </c>
      <c r="R19" s="150" t="s">
        <v>26</v>
      </c>
      <c r="S19" s="20" t="s">
        <v>10</v>
      </c>
      <c r="T19" s="20" t="s">
        <v>11</v>
      </c>
      <c r="U19" s="19">
        <v>0.1</v>
      </c>
      <c r="V19" s="19">
        <v>3</v>
      </c>
      <c r="W19" s="19">
        <v>0.1</v>
      </c>
      <c r="X19" s="19">
        <v>100</v>
      </c>
      <c r="Y19" s="19">
        <v>340</v>
      </c>
      <c r="Z19" s="19">
        <v>480</v>
      </c>
      <c r="AA19" s="40">
        <v>0.25</v>
      </c>
      <c r="AB19" s="40">
        <v>0.6</v>
      </c>
      <c r="AC19" s="40">
        <v>0.9</v>
      </c>
      <c r="AD19" s="40">
        <v>1.5</v>
      </c>
      <c r="AE19" s="40">
        <v>2.25</v>
      </c>
      <c r="AF19" s="40">
        <v>3</v>
      </c>
      <c r="AG19" s="40">
        <v>92.5</v>
      </c>
      <c r="AH19" s="40">
        <v>95.2</v>
      </c>
      <c r="AI19" s="40">
        <v>95.9</v>
      </c>
      <c r="AJ19" s="40">
        <v>96.1</v>
      </c>
      <c r="AK19" s="40">
        <v>95.9</v>
      </c>
      <c r="AL19" s="40">
        <v>95.5</v>
      </c>
      <c r="AM19" s="40">
        <v>95.7</v>
      </c>
      <c r="AN19" s="40">
        <v>93.1</v>
      </c>
      <c r="AO19" s="40">
        <v>95.9</v>
      </c>
      <c r="AP19" s="40">
        <v>96.5</v>
      </c>
      <c r="AQ19" s="40">
        <v>96.7</v>
      </c>
      <c r="AR19" s="40">
        <v>96.7</v>
      </c>
      <c r="AS19" s="40">
        <v>96.4</v>
      </c>
      <c r="AT19" s="40">
        <v>96.5</v>
      </c>
      <c r="AU19" s="40">
        <v>91.1</v>
      </c>
      <c r="AV19" s="40">
        <v>95.1</v>
      </c>
      <c r="AW19" s="40">
        <v>96</v>
      </c>
      <c r="AX19" s="40">
        <v>96.4</v>
      </c>
      <c r="AY19" s="40">
        <v>96.4</v>
      </c>
      <c r="AZ19" s="40">
        <v>96.2</v>
      </c>
      <c r="BA19" s="40">
        <v>96.1</v>
      </c>
      <c r="BB19" s="174">
        <v>42917</v>
      </c>
      <c r="BC19" s="174">
        <v>43388</v>
      </c>
    </row>
    <row r="20" spans="1:55" s="44" customFormat="1" ht="45">
      <c r="A20" s="18" t="s">
        <v>0</v>
      </c>
      <c r="B20" s="18" t="s">
        <v>310</v>
      </c>
      <c r="C20" s="23" t="s">
        <v>10</v>
      </c>
      <c r="D20" s="23" t="s">
        <v>10</v>
      </c>
      <c r="E20" s="23" t="s">
        <v>11</v>
      </c>
      <c r="F20" s="23" t="s">
        <v>11</v>
      </c>
      <c r="G20" s="18" t="s">
        <v>77</v>
      </c>
      <c r="H20" s="19">
        <v>3</v>
      </c>
      <c r="I20" s="19">
        <v>277</v>
      </c>
      <c r="J20" s="19">
        <v>96</v>
      </c>
      <c r="K20" s="21" t="s">
        <v>1215</v>
      </c>
      <c r="L20" s="49" t="s">
        <v>753</v>
      </c>
      <c r="M20" s="21" t="s">
        <v>413</v>
      </c>
      <c r="N20" s="174">
        <v>43388</v>
      </c>
      <c r="O20" s="23" t="s">
        <v>17</v>
      </c>
      <c r="P20" s="23" t="s">
        <v>17</v>
      </c>
      <c r="Q20" s="23" t="s">
        <v>17</v>
      </c>
      <c r="R20" s="150" t="s">
        <v>26</v>
      </c>
      <c r="S20" s="20" t="s">
        <v>10</v>
      </c>
      <c r="T20" s="20" t="s">
        <v>11</v>
      </c>
      <c r="U20" s="19">
        <v>0.2</v>
      </c>
      <c r="V20" s="19">
        <v>3</v>
      </c>
      <c r="W20" s="19">
        <v>0.2</v>
      </c>
      <c r="X20" s="19">
        <v>100</v>
      </c>
      <c r="Y20" s="19">
        <v>390</v>
      </c>
      <c r="Z20" s="19">
        <v>480</v>
      </c>
      <c r="AA20" s="40">
        <v>0.3</v>
      </c>
      <c r="AB20" s="40">
        <v>0.6</v>
      </c>
      <c r="AC20" s="40">
        <v>0.9</v>
      </c>
      <c r="AD20" s="40">
        <v>1.5</v>
      </c>
      <c r="AE20" s="40">
        <v>2.25</v>
      </c>
      <c r="AF20" s="40">
        <v>3</v>
      </c>
      <c r="AG20" s="40">
        <v>91.4</v>
      </c>
      <c r="AH20" s="40">
        <v>94.7</v>
      </c>
      <c r="AI20" s="40">
        <v>95.5</v>
      </c>
      <c r="AJ20" s="40">
        <v>96.1</v>
      </c>
      <c r="AK20" s="40">
        <v>95.9</v>
      </c>
      <c r="AL20" s="40">
        <v>95.6</v>
      </c>
      <c r="AM20" s="40">
        <v>95.7</v>
      </c>
      <c r="AN20" s="40">
        <v>92.5</v>
      </c>
      <c r="AO20" s="40">
        <v>95.8</v>
      </c>
      <c r="AP20" s="40">
        <v>96.5</v>
      </c>
      <c r="AQ20" s="40">
        <v>96.9</v>
      </c>
      <c r="AR20" s="40">
        <v>96.9</v>
      </c>
      <c r="AS20" s="40">
        <v>96.8</v>
      </c>
      <c r="AT20" s="40">
        <v>96.6</v>
      </c>
      <c r="AU20" s="40">
        <v>91.1</v>
      </c>
      <c r="AV20" s="40">
        <v>95.2</v>
      </c>
      <c r="AW20" s="40">
        <v>96.2</v>
      </c>
      <c r="AX20" s="40">
        <v>96.7</v>
      </c>
      <c r="AY20" s="40">
        <v>96.8</v>
      </c>
      <c r="AZ20" s="40">
        <v>96.7</v>
      </c>
      <c r="BA20" s="40">
        <v>96.4</v>
      </c>
      <c r="BB20" s="174">
        <v>42917</v>
      </c>
      <c r="BC20" s="174">
        <v>43388</v>
      </c>
    </row>
    <row r="21" spans="1:55" s="44" customFormat="1" ht="45">
      <c r="A21" s="18" t="s">
        <v>0</v>
      </c>
      <c r="B21" s="18" t="s">
        <v>765</v>
      </c>
      <c r="C21" s="23" t="s">
        <v>10</v>
      </c>
      <c r="D21" s="23" t="s">
        <v>10</v>
      </c>
      <c r="E21" s="23" t="s">
        <v>11</v>
      </c>
      <c r="F21" s="23" t="s">
        <v>11</v>
      </c>
      <c r="G21" s="18" t="s">
        <v>78</v>
      </c>
      <c r="H21" s="19">
        <v>3</v>
      </c>
      <c r="I21" s="19">
        <v>208</v>
      </c>
      <c r="J21" s="19">
        <v>96</v>
      </c>
      <c r="K21" s="21" t="s">
        <v>1215</v>
      </c>
      <c r="L21" s="49" t="s">
        <v>753</v>
      </c>
      <c r="M21" s="21" t="s">
        <v>413</v>
      </c>
      <c r="N21" s="174">
        <v>43388</v>
      </c>
      <c r="O21" s="23" t="s">
        <v>17</v>
      </c>
      <c r="P21" s="23" t="s">
        <v>17</v>
      </c>
      <c r="Q21" s="23" t="s">
        <v>17</v>
      </c>
      <c r="R21" s="150" t="s">
        <v>26</v>
      </c>
      <c r="S21" s="20" t="s">
        <v>10</v>
      </c>
      <c r="T21" s="20" t="s">
        <v>11</v>
      </c>
      <c r="U21" s="19">
        <v>0.1</v>
      </c>
      <c r="V21" s="19"/>
      <c r="W21" s="19"/>
      <c r="X21" s="19">
        <v>100</v>
      </c>
      <c r="Y21" s="19">
        <v>310</v>
      </c>
      <c r="Z21" s="19">
        <v>480</v>
      </c>
      <c r="AA21" s="40">
        <v>0.3</v>
      </c>
      <c r="AB21" s="40">
        <v>0.6</v>
      </c>
      <c r="AC21" s="40">
        <v>0.9</v>
      </c>
      <c r="AD21" s="40">
        <v>1.5</v>
      </c>
      <c r="AE21" s="40">
        <v>2.25</v>
      </c>
      <c r="AF21" s="40">
        <v>3</v>
      </c>
      <c r="AG21" s="40">
        <v>93.1</v>
      </c>
      <c r="AH21" s="40">
        <v>95.5</v>
      </c>
      <c r="AI21" s="40">
        <v>96</v>
      </c>
      <c r="AJ21" s="40">
        <v>95.9</v>
      </c>
      <c r="AK21" s="40">
        <v>95.7</v>
      </c>
      <c r="AL21" s="40">
        <v>95.1</v>
      </c>
      <c r="AM21" s="40">
        <v>95.6</v>
      </c>
      <c r="AN21" s="40">
        <v>93.3</v>
      </c>
      <c r="AO21" s="40">
        <v>95.9</v>
      </c>
      <c r="AP21" s="40">
        <v>96.4</v>
      </c>
      <c r="AQ21" s="40">
        <v>96.4</v>
      </c>
      <c r="AR21" s="40">
        <v>96.2</v>
      </c>
      <c r="AS21" s="40">
        <v>95.8</v>
      </c>
      <c r="AT21" s="40">
        <v>96.1</v>
      </c>
      <c r="AU21" s="40">
        <v>91</v>
      </c>
      <c r="AV21" s="40">
        <v>94.9</v>
      </c>
      <c r="AW21" s="40">
        <v>95.7</v>
      </c>
      <c r="AX21" s="40">
        <v>96</v>
      </c>
      <c r="AY21" s="40">
        <v>95.8</v>
      </c>
      <c r="AZ21" s="40">
        <v>95.5</v>
      </c>
      <c r="BA21" s="40">
        <v>95.6</v>
      </c>
      <c r="BB21" s="174">
        <v>42917</v>
      </c>
      <c r="BC21" s="174">
        <v>43388</v>
      </c>
    </row>
    <row r="22" spans="1:55" s="44" customFormat="1" ht="45">
      <c r="A22" s="18" t="s">
        <v>0</v>
      </c>
      <c r="B22" s="18" t="s">
        <v>766</v>
      </c>
      <c r="C22" s="23" t="s">
        <v>10</v>
      </c>
      <c r="D22" s="23" t="s">
        <v>10</v>
      </c>
      <c r="E22" s="23" t="s">
        <v>11</v>
      </c>
      <c r="F22" s="23" t="s">
        <v>11</v>
      </c>
      <c r="G22" s="18" t="s">
        <v>79</v>
      </c>
      <c r="H22" s="19">
        <v>3</v>
      </c>
      <c r="I22" s="19">
        <v>240</v>
      </c>
      <c r="J22" s="19">
        <v>96</v>
      </c>
      <c r="K22" s="21" t="s">
        <v>1215</v>
      </c>
      <c r="L22" s="49" t="s">
        <v>753</v>
      </c>
      <c r="M22" s="21" t="s">
        <v>413</v>
      </c>
      <c r="N22" s="174">
        <v>43388</v>
      </c>
      <c r="O22" s="23" t="s">
        <v>17</v>
      </c>
      <c r="P22" s="23" t="s">
        <v>17</v>
      </c>
      <c r="Q22" s="23" t="s">
        <v>17</v>
      </c>
      <c r="R22" s="150" t="s">
        <v>26</v>
      </c>
      <c r="S22" s="20" t="s">
        <v>10</v>
      </c>
      <c r="T22" s="20" t="s">
        <v>11</v>
      </c>
      <c r="U22" s="19">
        <v>0.1</v>
      </c>
      <c r="V22" s="19"/>
      <c r="W22" s="19"/>
      <c r="X22" s="19">
        <v>100</v>
      </c>
      <c r="Y22" s="19">
        <v>340</v>
      </c>
      <c r="Z22" s="19">
        <v>480</v>
      </c>
      <c r="AA22" s="40">
        <v>0.25</v>
      </c>
      <c r="AB22" s="40">
        <v>0.6</v>
      </c>
      <c r="AC22" s="40">
        <v>0.9</v>
      </c>
      <c r="AD22" s="40">
        <v>1.5</v>
      </c>
      <c r="AE22" s="40">
        <v>2.25</v>
      </c>
      <c r="AF22" s="40">
        <v>3</v>
      </c>
      <c r="AG22" s="40">
        <v>92.5</v>
      </c>
      <c r="AH22" s="40">
        <v>95.2</v>
      </c>
      <c r="AI22" s="40">
        <v>95.9</v>
      </c>
      <c r="AJ22" s="40">
        <v>96.1</v>
      </c>
      <c r="AK22" s="40">
        <v>95.9</v>
      </c>
      <c r="AL22" s="40">
        <v>95.5</v>
      </c>
      <c r="AM22" s="40">
        <v>95.7</v>
      </c>
      <c r="AN22" s="40">
        <v>93.1</v>
      </c>
      <c r="AO22" s="40">
        <v>95.9</v>
      </c>
      <c r="AP22" s="40">
        <v>96.5</v>
      </c>
      <c r="AQ22" s="40">
        <v>96.7</v>
      </c>
      <c r="AR22" s="40">
        <v>96.7</v>
      </c>
      <c r="AS22" s="40">
        <v>96.4</v>
      </c>
      <c r="AT22" s="40">
        <v>96.5</v>
      </c>
      <c r="AU22" s="40">
        <v>91.1</v>
      </c>
      <c r="AV22" s="40">
        <v>95.1</v>
      </c>
      <c r="AW22" s="40">
        <v>96</v>
      </c>
      <c r="AX22" s="40">
        <v>96.4</v>
      </c>
      <c r="AY22" s="40">
        <v>96.4</v>
      </c>
      <c r="AZ22" s="40">
        <v>96.2</v>
      </c>
      <c r="BA22" s="40">
        <v>96.1</v>
      </c>
      <c r="BB22" s="174">
        <v>42917</v>
      </c>
      <c r="BC22" s="174">
        <v>43388</v>
      </c>
    </row>
    <row r="23" spans="1:55" s="44" customFormat="1" ht="45">
      <c r="A23" s="18" t="s">
        <v>0</v>
      </c>
      <c r="B23" s="18" t="s">
        <v>767</v>
      </c>
      <c r="C23" s="23" t="s">
        <v>10</v>
      </c>
      <c r="D23" s="23" t="s">
        <v>10</v>
      </c>
      <c r="E23" s="23" t="s">
        <v>11</v>
      </c>
      <c r="F23" s="23" t="s">
        <v>11</v>
      </c>
      <c r="G23" s="18" t="s">
        <v>80</v>
      </c>
      <c r="H23" s="19">
        <v>3</v>
      </c>
      <c r="I23" s="19">
        <v>277</v>
      </c>
      <c r="J23" s="19">
        <v>96</v>
      </c>
      <c r="K23" s="21" t="s">
        <v>1215</v>
      </c>
      <c r="L23" s="49" t="s">
        <v>753</v>
      </c>
      <c r="M23" s="21" t="s">
        <v>413</v>
      </c>
      <c r="N23" s="174">
        <v>43388</v>
      </c>
      <c r="O23" s="23" t="s">
        <v>17</v>
      </c>
      <c r="P23" s="23" t="s">
        <v>17</v>
      </c>
      <c r="Q23" s="23" t="s">
        <v>17</v>
      </c>
      <c r="R23" s="150" t="s">
        <v>26</v>
      </c>
      <c r="S23" s="20" t="s">
        <v>10</v>
      </c>
      <c r="T23" s="20" t="s">
        <v>11</v>
      </c>
      <c r="U23" s="19">
        <v>0.2</v>
      </c>
      <c r="V23" s="19"/>
      <c r="W23" s="19"/>
      <c r="X23" s="19">
        <v>100</v>
      </c>
      <c r="Y23" s="19">
        <v>390</v>
      </c>
      <c r="Z23" s="19">
        <v>480</v>
      </c>
      <c r="AA23" s="40">
        <v>0.3</v>
      </c>
      <c r="AB23" s="40">
        <v>0.6</v>
      </c>
      <c r="AC23" s="40">
        <v>0.9</v>
      </c>
      <c r="AD23" s="40">
        <v>1.5</v>
      </c>
      <c r="AE23" s="40">
        <v>2.25</v>
      </c>
      <c r="AF23" s="40">
        <v>3</v>
      </c>
      <c r="AG23" s="40">
        <v>91.4</v>
      </c>
      <c r="AH23" s="40">
        <v>94.7</v>
      </c>
      <c r="AI23" s="40">
        <v>95.5</v>
      </c>
      <c r="AJ23" s="40">
        <v>96.1</v>
      </c>
      <c r="AK23" s="40">
        <v>95.9</v>
      </c>
      <c r="AL23" s="40">
        <v>95.6</v>
      </c>
      <c r="AM23" s="40">
        <v>95.7</v>
      </c>
      <c r="AN23" s="40">
        <v>92.5</v>
      </c>
      <c r="AO23" s="40">
        <v>95.8</v>
      </c>
      <c r="AP23" s="40">
        <v>96.5</v>
      </c>
      <c r="AQ23" s="40">
        <v>96.9</v>
      </c>
      <c r="AR23" s="40">
        <v>96.9</v>
      </c>
      <c r="AS23" s="40">
        <v>96.8</v>
      </c>
      <c r="AT23" s="40">
        <v>96.6</v>
      </c>
      <c r="AU23" s="40">
        <v>91.1</v>
      </c>
      <c r="AV23" s="40">
        <v>95.2</v>
      </c>
      <c r="AW23" s="40">
        <v>96.2</v>
      </c>
      <c r="AX23" s="40">
        <v>96.7</v>
      </c>
      <c r="AY23" s="40">
        <v>96.8</v>
      </c>
      <c r="AZ23" s="40">
        <v>96.7</v>
      </c>
      <c r="BA23" s="40">
        <v>96.4</v>
      </c>
      <c r="BB23" s="174">
        <v>42917</v>
      </c>
      <c r="BC23" s="174">
        <v>43388</v>
      </c>
    </row>
    <row r="24" spans="1:55" s="44" customFormat="1" ht="45">
      <c r="A24" s="18" t="s">
        <v>0</v>
      </c>
      <c r="B24" s="18" t="s">
        <v>311</v>
      </c>
      <c r="C24" s="23" t="s">
        <v>10</v>
      </c>
      <c r="D24" s="23" t="s">
        <v>10</v>
      </c>
      <c r="E24" s="23" t="s">
        <v>11</v>
      </c>
      <c r="F24" s="23" t="s">
        <v>11</v>
      </c>
      <c r="G24" s="18" t="s">
        <v>81</v>
      </c>
      <c r="H24" s="19">
        <v>3.6</v>
      </c>
      <c r="I24" s="19">
        <v>208</v>
      </c>
      <c r="J24" s="19">
        <v>96</v>
      </c>
      <c r="K24" s="21" t="s">
        <v>1215</v>
      </c>
      <c r="L24" s="49" t="s">
        <v>753</v>
      </c>
      <c r="M24" s="21" t="s">
        <v>413</v>
      </c>
      <c r="N24" s="174">
        <v>43388</v>
      </c>
      <c r="O24" s="23" t="s">
        <v>17</v>
      </c>
      <c r="P24" s="23" t="s">
        <v>17</v>
      </c>
      <c r="Q24" s="23" t="s">
        <v>17</v>
      </c>
      <c r="R24" s="150" t="s">
        <v>26</v>
      </c>
      <c r="S24" s="20" t="s">
        <v>10</v>
      </c>
      <c r="T24" s="20" t="s">
        <v>11</v>
      </c>
      <c r="U24" s="19">
        <v>0.1</v>
      </c>
      <c r="V24" s="19">
        <v>3.6</v>
      </c>
      <c r="W24" s="19">
        <v>0.1</v>
      </c>
      <c r="X24" s="19">
        <v>100</v>
      </c>
      <c r="Y24" s="19">
        <v>310</v>
      </c>
      <c r="Z24" s="19">
        <v>480</v>
      </c>
      <c r="AA24" s="40">
        <v>0.36</v>
      </c>
      <c r="AB24" s="40">
        <v>0.72</v>
      </c>
      <c r="AC24" s="40">
        <v>1.08</v>
      </c>
      <c r="AD24" s="40">
        <v>1.8</v>
      </c>
      <c r="AE24" s="40">
        <v>2.7</v>
      </c>
      <c r="AF24" s="40">
        <v>3.6</v>
      </c>
      <c r="AG24" s="40">
        <v>92.2</v>
      </c>
      <c r="AH24" s="40">
        <v>94.7</v>
      </c>
      <c r="AI24" s="40">
        <v>95.4</v>
      </c>
      <c r="AJ24" s="40">
        <v>95.9</v>
      </c>
      <c r="AK24" s="40">
        <v>95.9</v>
      </c>
      <c r="AL24" s="40">
        <v>95.6</v>
      </c>
      <c r="AM24" s="40">
        <v>95.6</v>
      </c>
      <c r="AN24" s="40">
        <v>92.7</v>
      </c>
      <c r="AO24" s="40">
        <v>95.5</v>
      </c>
      <c r="AP24" s="40">
        <v>96.1</v>
      </c>
      <c r="AQ24" s="40">
        <v>96.4</v>
      </c>
      <c r="AR24" s="40">
        <v>96.4</v>
      </c>
      <c r="AS24" s="40">
        <v>96.1</v>
      </c>
      <c r="AT24" s="40">
        <v>96.1</v>
      </c>
      <c r="AU24" s="40">
        <v>90.3</v>
      </c>
      <c r="AV24" s="40">
        <v>94.5</v>
      </c>
      <c r="AW24" s="40">
        <v>95.3</v>
      </c>
      <c r="AX24" s="40">
        <v>95.9</v>
      </c>
      <c r="AY24" s="40">
        <v>96</v>
      </c>
      <c r="AZ24" s="40">
        <v>95.7</v>
      </c>
      <c r="BA24" s="40">
        <v>95.6</v>
      </c>
      <c r="BB24" s="174">
        <v>42917</v>
      </c>
      <c r="BC24" s="174">
        <v>43388</v>
      </c>
    </row>
    <row r="25" spans="1:55" s="44" customFormat="1" ht="45">
      <c r="A25" s="18" t="s">
        <v>0</v>
      </c>
      <c r="B25" s="18" t="s">
        <v>312</v>
      </c>
      <c r="C25" s="23" t="s">
        <v>10</v>
      </c>
      <c r="D25" s="23" t="s">
        <v>10</v>
      </c>
      <c r="E25" s="23" t="s">
        <v>11</v>
      </c>
      <c r="F25" s="23" t="s">
        <v>11</v>
      </c>
      <c r="G25" s="18" t="s">
        <v>82</v>
      </c>
      <c r="H25" s="19">
        <v>3.6</v>
      </c>
      <c r="I25" s="19">
        <v>240</v>
      </c>
      <c r="J25" s="19">
        <v>96</v>
      </c>
      <c r="K25" s="21" t="s">
        <v>1215</v>
      </c>
      <c r="L25" s="49" t="s">
        <v>753</v>
      </c>
      <c r="M25" s="21" t="s">
        <v>413</v>
      </c>
      <c r="N25" s="174">
        <v>43388</v>
      </c>
      <c r="O25" s="23" t="s">
        <v>17</v>
      </c>
      <c r="P25" s="23" t="s">
        <v>17</v>
      </c>
      <c r="Q25" s="23" t="s">
        <v>17</v>
      </c>
      <c r="R25" s="150" t="s">
        <v>26</v>
      </c>
      <c r="S25" s="20" t="s">
        <v>10</v>
      </c>
      <c r="T25" s="20" t="s">
        <v>11</v>
      </c>
      <c r="U25" s="19">
        <v>0.2</v>
      </c>
      <c r="V25" s="19">
        <v>3.6</v>
      </c>
      <c r="W25" s="19">
        <v>0.2</v>
      </c>
      <c r="X25" s="19">
        <v>100</v>
      </c>
      <c r="Y25" s="19">
        <v>340</v>
      </c>
      <c r="Z25" s="19">
        <v>480</v>
      </c>
      <c r="AA25" s="40">
        <v>0.3</v>
      </c>
      <c r="AB25" s="40">
        <v>0.72</v>
      </c>
      <c r="AC25" s="40">
        <v>1.08</v>
      </c>
      <c r="AD25" s="40">
        <v>1.8</v>
      </c>
      <c r="AE25" s="40">
        <v>2.7</v>
      </c>
      <c r="AF25" s="40">
        <v>3.6</v>
      </c>
      <c r="AG25" s="40">
        <v>91.1</v>
      </c>
      <c r="AH25" s="40">
        <v>94.1</v>
      </c>
      <c r="AI25" s="40">
        <v>94.9</v>
      </c>
      <c r="AJ25" s="40">
        <v>95.6</v>
      </c>
      <c r="AK25" s="40">
        <v>95.8</v>
      </c>
      <c r="AL25" s="40">
        <v>95.7</v>
      </c>
      <c r="AM25" s="40">
        <v>95.4</v>
      </c>
      <c r="AN25" s="40">
        <v>92.4</v>
      </c>
      <c r="AO25" s="40">
        <v>95.5</v>
      </c>
      <c r="AP25" s="40">
        <v>96.3</v>
      </c>
      <c r="AQ25" s="40">
        <v>96.7</v>
      </c>
      <c r="AR25" s="40">
        <v>96.7</v>
      </c>
      <c r="AS25" s="40">
        <v>96.6</v>
      </c>
      <c r="AT25" s="40">
        <v>96.5</v>
      </c>
      <c r="AU25" s="40">
        <v>90.2</v>
      </c>
      <c r="AV25" s="40">
        <v>94.6</v>
      </c>
      <c r="AW25" s="40">
        <v>95.6</v>
      </c>
      <c r="AX25" s="40">
        <v>96.2</v>
      </c>
      <c r="AY25" s="40">
        <v>96.4</v>
      </c>
      <c r="AZ25" s="40">
        <v>96.3</v>
      </c>
      <c r="BA25" s="40">
        <v>95.9</v>
      </c>
      <c r="BB25" s="174">
        <v>42917</v>
      </c>
      <c r="BC25" s="174">
        <v>43388</v>
      </c>
    </row>
    <row r="26" spans="1:55" s="44" customFormat="1" ht="45">
      <c r="A26" s="18" t="s">
        <v>0</v>
      </c>
      <c r="B26" s="18" t="s">
        <v>313</v>
      </c>
      <c r="C26" s="23" t="s">
        <v>10</v>
      </c>
      <c r="D26" s="23" t="s">
        <v>10</v>
      </c>
      <c r="E26" s="23" t="s">
        <v>11</v>
      </c>
      <c r="F26" s="23" t="s">
        <v>11</v>
      </c>
      <c r="G26" s="18" t="s">
        <v>83</v>
      </c>
      <c r="H26" s="19">
        <v>3.6</v>
      </c>
      <c r="I26" s="19">
        <v>277</v>
      </c>
      <c r="J26" s="19">
        <v>96</v>
      </c>
      <c r="K26" s="21" t="s">
        <v>1215</v>
      </c>
      <c r="L26" s="49" t="s">
        <v>753</v>
      </c>
      <c r="M26" s="21" t="s">
        <v>413</v>
      </c>
      <c r="N26" s="174">
        <v>43388</v>
      </c>
      <c r="O26" s="23" t="s">
        <v>17</v>
      </c>
      <c r="P26" s="23" t="s">
        <v>17</v>
      </c>
      <c r="Q26" s="23" t="s">
        <v>17</v>
      </c>
      <c r="R26" s="150" t="s">
        <v>26</v>
      </c>
      <c r="S26" s="20" t="s">
        <v>10</v>
      </c>
      <c r="T26" s="20" t="s">
        <v>11</v>
      </c>
      <c r="U26" s="19">
        <v>0.2</v>
      </c>
      <c r="V26" s="19">
        <v>3.6</v>
      </c>
      <c r="W26" s="19">
        <v>0.2</v>
      </c>
      <c r="X26" s="19">
        <v>100</v>
      </c>
      <c r="Y26" s="19">
        <v>395</v>
      </c>
      <c r="Z26" s="19">
        <v>480</v>
      </c>
      <c r="AA26" s="40">
        <v>0.36</v>
      </c>
      <c r="AB26" s="40">
        <v>0.72</v>
      </c>
      <c r="AC26" s="40">
        <v>1.08</v>
      </c>
      <c r="AD26" s="40">
        <v>1.8</v>
      </c>
      <c r="AE26" s="40">
        <v>2.7</v>
      </c>
      <c r="AF26" s="40">
        <v>3.6</v>
      </c>
      <c r="AG26" s="40">
        <v>90</v>
      </c>
      <c r="AH26" s="40">
        <v>93.4</v>
      </c>
      <c r="AI26" s="40">
        <v>94.4</v>
      </c>
      <c r="AJ26" s="40">
        <v>95.4</v>
      </c>
      <c r="AK26" s="40">
        <v>95.7</v>
      </c>
      <c r="AL26" s="40">
        <v>95.6</v>
      </c>
      <c r="AM26" s="40">
        <v>95.1</v>
      </c>
      <c r="AN26" s="40">
        <v>91.9</v>
      </c>
      <c r="AO26" s="40">
        <v>95.4</v>
      </c>
      <c r="AP26" s="40">
        <v>96.3</v>
      </c>
      <c r="AQ26" s="40">
        <v>96.9</v>
      </c>
      <c r="AR26" s="40">
        <v>97</v>
      </c>
      <c r="AS26" s="40">
        <v>96.9</v>
      </c>
      <c r="AT26" s="40">
        <v>96.6</v>
      </c>
      <c r="AU26" s="40">
        <v>90.4</v>
      </c>
      <c r="AV26" s="40">
        <v>94.9</v>
      </c>
      <c r="AW26" s="40">
        <v>95.9</v>
      </c>
      <c r="AX26" s="40">
        <v>96.6</v>
      </c>
      <c r="AY26" s="40">
        <v>96.8</v>
      </c>
      <c r="AZ26" s="40">
        <v>96.8</v>
      </c>
      <c r="BA26" s="40">
        <v>96.3</v>
      </c>
      <c r="BB26" s="174">
        <v>42917</v>
      </c>
      <c r="BC26" s="174">
        <v>43388</v>
      </c>
    </row>
    <row r="27" spans="1:55" s="44" customFormat="1" ht="45">
      <c r="A27" s="18" t="s">
        <v>0</v>
      </c>
      <c r="B27" s="18" t="s">
        <v>314</v>
      </c>
      <c r="C27" s="23" t="s">
        <v>10</v>
      </c>
      <c r="D27" s="23" t="s">
        <v>10</v>
      </c>
      <c r="E27" s="23" t="s">
        <v>11</v>
      </c>
      <c r="F27" s="23" t="s">
        <v>11</v>
      </c>
      <c r="G27" s="18" t="s">
        <v>81</v>
      </c>
      <c r="H27" s="19">
        <v>3.6</v>
      </c>
      <c r="I27" s="19">
        <v>208</v>
      </c>
      <c r="J27" s="19">
        <v>96</v>
      </c>
      <c r="K27" s="21" t="s">
        <v>1215</v>
      </c>
      <c r="L27" s="49" t="s">
        <v>753</v>
      </c>
      <c r="M27" s="21" t="s">
        <v>413</v>
      </c>
      <c r="N27" s="174">
        <v>43388</v>
      </c>
      <c r="O27" s="23" t="s">
        <v>17</v>
      </c>
      <c r="P27" s="23" t="s">
        <v>17</v>
      </c>
      <c r="Q27" s="23" t="s">
        <v>17</v>
      </c>
      <c r="R27" s="150" t="s">
        <v>26</v>
      </c>
      <c r="S27" s="20" t="s">
        <v>10</v>
      </c>
      <c r="T27" s="20" t="s">
        <v>11</v>
      </c>
      <c r="U27" s="19">
        <v>0.1</v>
      </c>
      <c r="V27" s="19">
        <v>3.6</v>
      </c>
      <c r="W27" s="19">
        <v>0.1</v>
      </c>
      <c r="X27" s="19">
        <v>100</v>
      </c>
      <c r="Y27" s="19">
        <v>310</v>
      </c>
      <c r="Z27" s="19">
        <v>480</v>
      </c>
      <c r="AA27" s="40">
        <v>0.36</v>
      </c>
      <c r="AB27" s="40">
        <v>0.72</v>
      </c>
      <c r="AC27" s="40">
        <v>1.08</v>
      </c>
      <c r="AD27" s="40">
        <v>1.8</v>
      </c>
      <c r="AE27" s="40">
        <v>2.7</v>
      </c>
      <c r="AF27" s="40">
        <v>3.6</v>
      </c>
      <c r="AG27" s="40">
        <v>92.2</v>
      </c>
      <c r="AH27" s="40">
        <v>94.7</v>
      </c>
      <c r="AI27" s="40">
        <v>95.4</v>
      </c>
      <c r="AJ27" s="40">
        <v>95.9</v>
      </c>
      <c r="AK27" s="40">
        <v>95.9</v>
      </c>
      <c r="AL27" s="40">
        <v>95.6</v>
      </c>
      <c r="AM27" s="40">
        <v>95.6</v>
      </c>
      <c r="AN27" s="40">
        <v>92.7</v>
      </c>
      <c r="AO27" s="40">
        <v>95.5</v>
      </c>
      <c r="AP27" s="40">
        <v>96.1</v>
      </c>
      <c r="AQ27" s="40">
        <v>96.4</v>
      </c>
      <c r="AR27" s="40">
        <v>96.4</v>
      </c>
      <c r="AS27" s="40">
        <v>96.1</v>
      </c>
      <c r="AT27" s="40">
        <v>96.1</v>
      </c>
      <c r="AU27" s="40">
        <v>90.3</v>
      </c>
      <c r="AV27" s="40">
        <v>94.5</v>
      </c>
      <c r="AW27" s="40">
        <v>95.3</v>
      </c>
      <c r="AX27" s="40">
        <v>95.9</v>
      </c>
      <c r="AY27" s="40">
        <v>96</v>
      </c>
      <c r="AZ27" s="40">
        <v>95.7</v>
      </c>
      <c r="BA27" s="40">
        <v>95.6</v>
      </c>
      <c r="BB27" s="174">
        <v>42917</v>
      </c>
      <c r="BC27" s="174">
        <v>43388</v>
      </c>
    </row>
    <row r="28" spans="1:55" s="44" customFormat="1" ht="45">
      <c r="A28" s="18" t="s">
        <v>0</v>
      </c>
      <c r="B28" s="18" t="s">
        <v>315</v>
      </c>
      <c r="C28" s="23" t="s">
        <v>10</v>
      </c>
      <c r="D28" s="23" t="s">
        <v>10</v>
      </c>
      <c r="E28" s="23" t="s">
        <v>11</v>
      </c>
      <c r="F28" s="23" t="s">
        <v>11</v>
      </c>
      <c r="G28" s="18" t="s">
        <v>82</v>
      </c>
      <c r="H28" s="19">
        <v>3.6</v>
      </c>
      <c r="I28" s="19">
        <v>240</v>
      </c>
      <c r="J28" s="19">
        <v>96</v>
      </c>
      <c r="K28" s="21" t="s">
        <v>1215</v>
      </c>
      <c r="L28" s="49" t="s">
        <v>753</v>
      </c>
      <c r="M28" s="21" t="s">
        <v>413</v>
      </c>
      <c r="N28" s="174">
        <v>43388</v>
      </c>
      <c r="O28" s="23" t="s">
        <v>17</v>
      </c>
      <c r="P28" s="23" t="s">
        <v>17</v>
      </c>
      <c r="Q28" s="23" t="s">
        <v>17</v>
      </c>
      <c r="R28" s="150" t="s">
        <v>26</v>
      </c>
      <c r="S28" s="20" t="s">
        <v>10</v>
      </c>
      <c r="T28" s="20" t="s">
        <v>11</v>
      </c>
      <c r="U28" s="19">
        <v>0.2</v>
      </c>
      <c r="V28" s="19">
        <v>3.6</v>
      </c>
      <c r="W28" s="19">
        <v>0.2</v>
      </c>
      <c r="X28" s="19">
        <v>100</v>
      </c>
      <c r="Y28" s="19">
        <v>340</v>
      </c>
      <c r="Z28" s="19">
        <v>480</v>
      </c>
      <c r="AA28" s="40">
        <v>0.3</v>
      </c>
      <c r="AB28" s="40">
        <v>0.72</v>
      </c>
      <c r="AC28" s="40">
        <v>1.08</v>
      </c>
      <c r="AD28" s="40">
        <v>1.8</v>
      </c>
      <c r="AE28" s="40">
        <v>2.7</v>
      </c>
      <c r="AF28" s="40">
        <v>3.6</v>
      </c>
      <c r="AG28" s="40">
        <v>91.1</v>
      </c>
      <c r="AH28" s="40">
        <v>94.1</v>
      </c>
      <c r="AI28" s="40">
        <v>94.9</v>
      </c>
      <c r="AJ28" s="40">
        <v>95.6</v>
      </c>
      <c r="AK28" s="40">
        <v>95.8</v>
      </c>
      <c r="AL28" s="40">
        <v>95.7</v>
      </c>
      <c r="AM28" s="40">
        <v>95.4</v>
      </c>
      <c r="AN28" s="40">
        <v>92.4</v>
      </c>
      <c r="AO28" s="40">
        <v>95.5</v>
      </c>
      <c r="AP28" s="40">
        <v>96.3</v>
      </c>
      <c r="AQ28" s="40">
        <v>96.7</v>
      </c>
      <c r="AR28" s="40">
        <v>96.7</v>
      </c>
      <c r="AS28" s="40">
        <v>96.6</v>
      </c>
      <c r="AT28" s="40">
        <v>96.5</v>
      </c>
      <c r="AU28" s="40">
        <v>90.2</v>
      </c>
      <c r="AV28" s="40">
        <v>94.6</v>
      </c>
      <c r="AW28" s="40">
        <v>95.6</v>
      </c>
      <c r="AX28" s="40">
        <v>96.2</v>
      </c>
      <c r="AY28" s="40">
        <v>96.4</v>
      </c>
      <c r="AZ28" s="40">
        <v>96.3</v>
      </c>
      <c r="BA28" s="40">
        <v>95.9</v>
      </c>
      <c r="BB28" s="174">
        <v>42917</v>
      </c>
      <c r="BC28" s="174">
        <v>43388</v>
      </c>
    </row>
    <row r="29" spans="1:55" s="44" customFormat="1" ht="45">
      <c r="A29" s="18" t="s">
        <v>0</v>
      </c>
      <c r="B29" s="18" t="s">
        <v>316</v>
      </c>
      <c r="C29" s="23" t="s">
        <v>10</v>
      </c>
      <c r="D29" s="23" t="s">
        <v>10</v>
      </c>
      <c r="E29" s="23" t="s">
        <v>11</v>
      </c>
      <c r="F29" s="23" t="s">
        <v>11</v>
      </c>
      <c r="G29" s="18" t="s">
        <v>83</v>
      </c>
      <c r="H29" s="19">
        <v>3.6</v>
      </c>
      <c r="I29" s="19">
        <v>277</v>
      </c>
      <c r="J29" s="19">
        <v>96</v>
      </c>
      <c r="K29" s="21" t="s">
        <v>1215</v>
      </c>
      <c r="L29" s="49" t="s">
        <v>753</v>
      </c>
      <c r="M29" s="21" t="s">
        <v>413</v>
      </c>
      <c r="N29" s="174">
        <v>43388</v>
      </c>
      <c r="O29" s="23" t="s">
        <v>17</v>
      </c>
      <c r="P29" s="23" t="s">
        <v>17</v>
      </c>
      <c r="Q29" s="23" t="s">
        <v>17</v>
      </c>
      <c r="R29" s="150" t="s">
        <v>26</v>
      </c>
      <c r="S29" s="20" t="s">
        <v>10</v>
      </c>
      <c r="T29" s="20" t="s">
        <v>11</v>
      </c>
      <c r="U29" s="19">
        <v>0.2</v>
      </c>
      <c r="V29" s="19">
        <v>3.6</v>
      </c>
      <c r="W29" s="19">
        <v>0.2</v>
      </c>
      <c r="X29" s="19">
        <v>100</v>
      </c>
      <c r="Y29" s="19">
        <v>395</v>
      </c>
      <c r="Z29" s="19">
        <v>480</v>
      </c>
      <c r="AA29" s="40">
        <v>0.36</v>
      </c>
      <c r="AB29" s="40">
        <v>0.72</v>
      </c>
      <c r="AC29" s="40">
        <v>1.08</v>
      </c>
      <c r="AD29" s="40">
        <v>1.8</v>
      </c>
      <c r="AE29" s="40">
        <v>2.7</v>
      </c>
      <c r="AF29" s="40">
        <v>3.6</v>
      </c>
      <c r="AG29" s="40">
        <v>90</v>
      </c>
      <c r="AH29" s="40">
        <v>93.4</v>
      </c>
      <c r="AI29" s="40">
        <v>94.4</v>
      </c>
      <c r="AJ29" s="40">
        <v>95.4</v>
      </c>
      <c r="AK29" s="40">
        <v>95.7</v>
      </c>
      <c r="AL29" s="40">
        <v>95.6</v>
      </c>
      <c r="AM29" s="40">
        <v>95.1</v>
      </c>
      <c r="AN29" s="40">
        <v>91.9</v>
      </c>
      <c r="AO29" s="40">
        <v>95.4</v>
      </c>
      <c r="AP29" s="40">
        <v>96.3</v>
      </c>
      <c r="AQ29" s="40">
        <v>96.9</v>
      </c>
      <c r="AR29" s="40">
        <v>97</v>
      </c>
      <c r="AS29" s="40">
        <v>96.9</v>
      </c>
      <c r="AT29" s="40">
        <v>96.6</v>
      </c>
      <c r="AU29" s="40">
        <v>90.4</v>
      </c>
      <c r="AV29" s="40">
        <v>94.9</v>
      </c>
      <c r="AW29" s="40">
        <v>95.9</v>
      </c>
      <c r="AX29" s="40">
        <v>96.6</v>
      </c>
      <c r="AY29" s="40">
        <v>96.8</v>
      </c>
      <c r="AZ29" s="40">
        <v>96.8</v>
      </c>
      <c r="BA29" s="40">
        <v>96.3</v>
      </c>
      <c r="BB29" s="174">
        <v>42917</v>
      </c>
      <c r="BC29" s="174">
        <v>43388</v>
      </c>
    </row>
    <row r="30" spans="1:55" s="44" customFormat="1" ht="45">
      <c r="A30" s="18" t="s">
        <v>0</v>
      </c>
      <c r="B30" s="18" t="s">
        <v>780</v>
      </c>
      <c r="C30" s="23" t="s">
        <v>10</v>
      </c>
      <c r="D30" s="23" t="s">
        <v>10</v>
      </c>
      <c r="E30" s="23" t="s">
        <v>11</v>
      </c>
      <c r="F30" s="23" t="s">
        <v>11</v>
      </c>
      <c r="G30" s="18" t="s">
        <v>84</v>
      </c>
      <c r="H30" s="19">
        <v>3.6</v>
      </c>
      <c r="I30" s="19">
        <v>208</v>
      </c>
      <c r="J30" s="19">
        <v>96</v>
      </c>
      <c r="K30" s="21" t="s">
        <v>1215</v>
      </c>
      <c r="L30" s="49" t="s">
        <v>753</v>
      </c>
      <c r="M30" s="21" t="s">
        <v>413</v>
      </c>
      <c r="N30" s="174">
        <v>43388</v>
      </c>
      <c r="O30" s="23" t="s">
        <v>17</v>
      </c>
      <c r="P30" s="23" t="s">
        <v>17</v>
      </c>
      <c r="Q30" s="23" t="s">
        <v>17</v>
      </c>
      <c r="R30" s="150" t="s">
        <v>26</v>
      </c>
      <c r="S30" s="20" t="s">
        <v>10</v>
      </c>
      <c r="T30" s="20" t="s">
        <v>11</v>
      </c>
      <c r="U30" s="19">
        <v>0.1</v>
      </c>
      <c r="V30" s="19"/>
      <c r="W30" s="19"/>
      <c r="X30" s="19">
        <v>100</v>
      </c>
      <c r="Y30" s="19">
        <v>310</v>
      </c>
      <c r="Z30" s="19">
        <v>480</v>
      </c>
      <c r="AA30" s="40">
        <v>0.36</v>
      </c>
      <c r="AB30" s="40">
        <v>0.72</v>
      </c>
      <c r="AC30" s="40">
        <v>1.08</v>
      </c>
      <c r="AD30" s="40">
        <v>1.8</v>
      </c>
      <c r="AE30" s="40">
        <v>2.7</v>
      </c>
      <c r="AF30" s="40">
        <v>3.6</v>
      </c>
      <c r="AG30" s="40">
        <v>92.2</v>
      </c>
      <c r="AH30" s="40">
        <v>94.7</v>
      </c>
      <c r="AI30" s="40">
        <v>95.4</v>
      </c>
      <c r="AJ30" s="40">
        <v>95.9</v>
      </c>
      <c r="AK30" s="40">
        <v>95.9</v>
      </c>
      <c r="AL30" s="40">
        <v>95.6</v>
      </c>
      <c r="AM30" s="40">
        <v>95.6</v>
      </c>
      <c r="AN30" s="40">
        <v>92.7</v>
      </c>
      <c r="AO30" s="40">
        <v>95.5</v>
      </c>
      <c r="AP30" s="40">
        <v>96.1</v>
      </c>
      <c r="AQ30" s="40">
        <v>96.4</v>
      </c>
      <c r="AR30" s="40">
        <v>96.4</v>
      </c>
      <c r="AS30" s="40">
        <v>96.1</v>
      </c>
      <c r="AT30" s="40">
        <v>96.1</v>
      </c>
      <c r="AU30" s="40">
        <v>90.3</v>
      </c>
      <c r="AV30" s="40">
        <v>94.5</v>
      </c>
      <c r="AW30" s="40">
        <v>95.3</v>
      </c>
      <c r="AX30" s="40">
        <v>95.9</v>
      </c>
      <c r="AY30" s="40">
        <v>96</v>
      </c>
      <c r="AZ30" s="40">
        <v>95.7</v>
      </c>
      <c r="BA30" s="40">
        <v>95.6</v>
      </c>
      <c r="BB30" s="174">
        <v>42917</v>
      </c>
      <c r="BC30" s="174">
        <v>43388</v>
      </c>
    </row>
    <row r="31" spans="1:55" s="44" customFormat="1" ht="45">
      <c r="A31" s="18" t="s">
        <v>0</v>
      </c>
      <c r="B31" s="18" t="s">
        <v>781</v>
      </c>
      <c r="C31" s="23" t="s">
        <v>10</v>
      </c>
      <c r="D31" s="23" t="s">
        <v>10</v>
      </c>
      <c r="E31" s="23" t="s">
        <v>11</v>
      </c>
      <c r="F31" s="23" t="s">
        <v>11</v>
      </c>
      <c r="G31" s="18" t="s">
        <v>85</v>
      </c>
      <c r="H31" s="19">
        <v>3.6</v>
      </c>
      <c r="I31" s="19">
        <v>240</v>
      </c>
      <c r="J31" s="19">
        <v>96</v>
      </c>
      <c r="K31" s="21" t="s">
        <v>1215</v>
      </c>
      <c r="L31" s="49" t="s">
        <v>753</v>
      </c>
      <c r="M31" s="21" t="s">
        <v>413</v>
      </c>
      <c r="N31" s="174">
        <v>43388</v>
      </c>
      <c r="O31" s="23" t="s">
        <v>17</v>
      </c>
      <c r="P31" s="23" t="s">
        <v>17</v>
      </c>
      <c r="Q31" s="23" t="s">
        <v>17</v>
      </c>
      <c r="R31" s="150" t="s">
        <v>26</v>
      </c>
      <c r="S31" s="20" t="s">
        <v>10</v>
      </c>
      <c r="T31" s="20" t="s">
        <v>11</v>
      </c>
      <c r="U31" s="19">
        <v>0.2</v>
      </c>
      <c r="V31" s="19"/>
      <c r="W31" s="19"/>
      <c r="X31" s="19">
        <v>100</v>
      </c>
      <c r="Y31" s="19">
        <v>340</v>
      </c>
      <c r="Z31" s="19">
        <v>480</v>
      </c>
      <c r="AA31" s="40">
        <v>0.3</v>
      </c>
      <c r="AB31" s="40">
        <v>0.72</v>
      </c>
      <c r="AC31" s="40">
        <v>1.08</v>
      </c>
      <c r="AD31" s="40">
        <v>1.8</v>
      </c>
      <c r="AE31" s="40">
        <v>2.7</v>
      </c>
      <c r="AF31" s="40">
        <v>3.6</v>
      </c>
      <c r="AG31" s="40">
        <v>91.1</v>
      </c>
      <c r="AH31" s="40">
        <v>94.1</v>
      </c>
      <c r="AI31" s="40">
        <v>94.9</v>
      </c>
      <c r="AJ31" s="40">
        <v>95.6</v>
      </c>
      <c r="AK31" s="40">
        <v>95.8</v>
      </c>
      <c r="AL31" s="40">
        <v>95.7</v>
      </c>
      <c r="AM31" s="40">
        <v>95.4</v>
      </c>
      <c r="AN31" s="40">
        <v>92.4</v>
      </c>
      <c r="AO31" s="40">
        <v>95.5</v>
      </c>
      <c r="AP31" s="40">
        <v>96.3</v>
      </c>
      <c r="AQ31" s="40">
        <v>96.7</v>
      </c>
      <c r="AR31" s="40">
        <v>96.7</v>
      </c>
      <c r="AS31" s="40">
        <v>96.6</v>
      </c>
      <c r="AT31" s="40">
        <v>96.5</v>
      </c>
      <c r="AU31" s="40">
        <v>90.2</v>
      </c>
      <c r="AV31" s="40">
        <v>94.6</v>
      </c>
      <c r="AW31" s="40">
        <v>95.6</v>
      </c>
      <c r="AX31" s="40">
        <v>96.2</v>
      </c>
      <c r="AY31" s="40">
        <v>96.4</v>
      </c>
      <c r="AZ31" s="40">
        <v>96.3</v>
      </c>
      <c r="BA31" s="40">
        <v>95.9</v>
      </c>
      <c r="BB31" s="174">
        <v>42917</v>
      </c>
      <c r="BC31" s="174">
        <v>43388</v>
      </c>
    </row>
    <row r="32" spans="1:55" s="44" customFormat="1" ht="45">
      <c r="A32" s="18" t="s">
        <v>0</v>
      </c>
      <c r="B32" s="18" t="s">
        <v>782</v>
      </c>
      <c r="C32" s="23" t="s">
        <v>10</v>
      </c>
      <c r="D32" s="23" t="s">
        <v>10</v>
      </c>
      <c r="E32" s="23" t="s">
        <v>11</v>
      </c>
      <c r="F32" s="23" t="s">
        <v>11</v>
      </c>
      <c r="G32" s="18" t="s">
        <v>86</v>
      </c>
      <c r="H32" s="19">
        <v>3.6</v>
      </c>
      <c r="I32" s="19">
        <v>277</v>
      </c>
      <c r="J32" s="19">
        <v>96</v>
      </c>
      <c r="K32" s="21" t="s">
        <v>1215</v>
      </c>
      <c r="L32" s="49" t="s">
        <v>753</v>
      </c>
      <c r="M32" s="21" t="s">
        <v>413</v>
      </c>
      <c r="N32" s="174">
        <v>43388</v>
      </c>
      <c r="O32" s="23" t="s">
        <v>17</v>
      </c>
      <c r="P32" s="23" t="s">
        <v>17</v>
      </c>
      <c r="Q32" s="23" t="s">
        <v>17</v>
      </c>
      <c r="R32" s="150" t="s">
        <v>26</v>
      </c>
      <c r="S32" s="20" t="s">
        <v>10</v>
      </c>
      <c r="T32" s="20" t="s">
        <v>11</v>
      </c>
      <c r="U32" s="19">
        <v>0.2</v>
      </c>
      <c r="V32" s="19"/>
      <c r="W32" s="19"/>
      <c r="X32" s="19">
        <v>100</v>
      </c>
      <c r="Y32" s="19">
        <v>395</v>
      </c>
      <c r="Z32" s="19">
        <v>480</v>
      </c>
      <c r="AA32" s="40">
        <v>0.36</v>
      </c>
      <c r="AB32" s="40">
        <v>0.72</v>
      </c>
      <c r="AC32" s="40">
        <v>1.08</v>
      </c>
      <c r="AD32" s="40">
        <v>1.8</v>
      </c>
      <c r="AE32" s="40">
        <v>2.7</v>
      </c>
      <c r="AF32" s="40">
        <v>3.6</v>
      </c>
      <c r="AG32" s="40">
        <v>90</v>
      </c>
      <c r="AH32" s="40">
        <v>93.4</v>
      </c>
      <c r="AI32" s="40">
        <v>94.4</v>
      </c>
      <c r="AJ32" s="40">
        <v>95.4</v>
      </c>
      <c r="AK32" s="40">
        <v>95.7</v>
      </c>
      <c r="AL32" s="40">
        <v>95.6</v>
      </c>
      <c r="AM32" s="40">
        <v>95.1</v>
      </c>
      <c r="AN32" s="40">
        <v>91.9</v>
      </c>
      <c r="AO32" s="40">
        <v>95.4</v>
      </c>
      <c r="AP32" s="40">
        <v>96.3</v>
      </c>
      <c r="AQ32" s="40">
        <v>96.9</v>
      </c>
      <c r="AR32" s="40">
        <v>97</v>
      </c>
      <c r="AS32" s="40">
        <v>96.9</v>
      </c>
      <c r="AT32" s="40">
        <v>96.6</v>
      </c>
      <c r="AU32" s="40">
        <v>90.4</v>
      </c>
      <c r="AV32" s="40">
        <v>94.9</v>
      </c>
      <c r="AW32" s="40">
        <v>95.9</v>
      </c>
      <c r="AX32" s="40">
        <v>96.6</v>
      </c>
      <c r="AY32" s="40">
        <v>96.8</v>
      </c>
      <c r="AZ32" s="40">
        <v>96.8</v>
      </c>
      <c r="BA32" s="40">
        <v>96.3</v>
      </c>
      <c r="BB32" s="174">
        <v>42917</v>
      </c>
      <c r="BC32" s="174">
        <v>43388</v>
      </c>
    </row>
    <row r="33" spans="1:55" s="44" customFormat="1" ht="45">
      <c r="A33" s="18" t="s">
        <v>0</v>
      </c>
      <c r="B33" s="18" t="s">
        <v>317</v>
      </c>
      <c r="C33" s="23" t="s">
        <v>10</v>
      </c>
      <c r="D33" s="23" t="s">
        <v>10</v>
      </c>
      <c r="E33" s="23" t="s">
        <v>11</v>
      </c>
      <c r="F33" s="23" t="s">
        <v>11</v>
      </c>
      <c r="G33" s="18" t="s">
        <v>87</v>
      </c>
      <c r="H33" s="19">
        <v>3.8</v>
      </c>
      <c r="I33" s="19">
        <v>208</v>
      </c>
      <c r="J33" s="19">
        <v>95.5</v>
      </c>
      <c r="K33" s="21" t="s">
        <v>1215</v>
      </c>
      <c r="L33" s="49" t="s">
        <v>753</v>
      </c>
      <c r="M33" s="21" t="s">
        <v>413</v>
      </c>
      <c r="N33" s="174">
        <v>43388</v>
      </c>
      <c r="O33" s="23" t="s">
        <v>17</v>
      </c>
      <c r="P33" s="23" t="s">
        <v>17</v>
      </c>
      <c r="Q33" s="23" t="s">
        <v>17</v>
      </c>
      <c r="R33" s="150" t="s">
        <v>26</v>
      </c>
      <c r="S33" s="20" t="s">
        <v>10</v>
      </c>
      <c r="T33" s="20" t="s">
        <v>11</v>
      </c>
      <c r="U33" s="19">
        <v>0.12</v>
      </c>
      <c r="V33" s="19"/>
      <c r="W33" s="19"/>
      <c r="X33" s="19">
        <v>100</v>
      </c>
      <c r="Y33" s="19">
        <v>310</v>
      </c>
      <c r="Z33" s="19">
        <v>480</v>
      </c>
      <c r="AA33" s="40">
        <v>0.33</v>
      </c>
      <c r="AB33" s="40">
        <v>0.66</v>
      </c>
      <c r="AC33" s="40">
        <v>0.99</v>
      </c>
      <c r="AD33" s="40">
        <v>1.65</v>
      </c>
      <c r="AE33" s="40">
        <v>2.48</v>
      </c>
      <c r="AF33" s="40">
        <v>3.3</v>
      </c>
      <c r="AG33" s="40">
        <v>91.5</v>
      </c>
      <c r="AH33" s="40">
        <v>94.3</v>
      </c>
      <c r="AI33" s="40">
        <v>95.1</v>
      </c>
      <c r="AJ33" s="40">
        <v>95.6</v>
      </c>
      <c r="AK33" s="40">
        <v>95.6</v>
      </c>
      <c r="AL33" s="40">
        <v>95.4</v>
      </c>
      <c r="AM33" s="40">
        <v>95.3</v>
      </c>
      <c r="AN33" s="40">
        <v>92.1</v>
      </c>
      <c r="AO33" s="40">
        <v>95.1</v>
      </c>
      <c r="AP33" s="40">
        <v>95.9</v>
      </c>
      <c r="AQ33" s="40">
        <v>96.3</v>
      </c>
      <c r="AR33" s="40">
        <v>96.4</v>
      </c>
      <c r="AS33" s="40">
        <v>96.2</v>
      </c>
      <c r="AT33" s="40">
        <v>96.1</v>
      </c>
      <c r="AU33" s="40">
        <v>89.1</v>
      </c>
      <c r="AV33" s="40">
        <v>93.9</v>
      </c>
      <c r="AW33" s="40">
        <v>95</v>
      </c>
      <c r="AX33" s="40">
        <v>95.7</v>
      </c>
      <c r="AY33" s="40">
        <v>95.9</v>
      </c>
      <c r="AZ33" s="40">
        <v>95.8</v>
      </c>
      <c r="BA33" s="40">
        <v>95.4</v>
      </c>
      <c r="BB33" s="174">
        <v>42917</v>
      </c>
      <c r="BC33" s="174">
        <v>43388</v>
      </c>
    </row>
    <row r="34" spans="1:55" s="44" customFormat="1" ht="45">
      <c r="A34" s="18" t="s">
        <v>0</v>
      </c>
      <c r="B34" s="18" t="s">
        <v>318</v>
      </c>
      <c r="C34" s="23" t="s">
        <v>10</v>
      </c>
      <c r="D34" s="23" t="s">
        <v>10</v>
      </c>
      <c r="E34" s="23" t="s">
        <v>11</v>
      </c>
      <c r="F34" s="23" t="s">
        <v>11</v>
      </c>
      <c r="G34" s="18" t="s">
        <v>120</v>
      </c>
      <c r="H34" s="19">
        <v>3.8</v>
      </c>
      <c r="I34" s="19">
        <v>240</v>
      </c>
      <c r="J34" s="19">
        <v>96</v>
      </c>
      <c r="K34" s="21" t="s">
        <v>1215</v>
      </c>
      <c r="L34" s="49" t="s">
        <v>753</v>
      </c>
      <c r="M34" s="21" t="s">
        <v>413</v>
      </c>
      <c r="N34" s="174">
        <v>43388</v>
      </c>
      <c r="O34" s="23" t="s">
        <v>17</v>
      </c>
      <c r="P34" s="23" t="s">
        <v>17</v>
      </c>
      <c r="Q34" s="23" t="s">
        <v>17</v>
      </c>
      <c r="R34" s="150" t="s">
        <v>26</v>
      </c>
      <c r="S34" s="20" t="s">
        <v>10</v>
      </c>
      <c r="T34" s="20" t="s">
        <v>11</v>
      </c>
      <c r="U34" s="19">
        <v>0.16</v>
      </c>
      <c r="V34" s="19"/>
      <c r="W34" s="19"/>
      <c r="X34" s="19">
        <v>100</v>
      </c>
      <c r="Y34" s="19">
        <v>340</v>
      </c>
      <c r="Z34" s="19">
        <v>480</v>
      </c>
      <c r="AA34" s="40">
        <v>0.38</v>
      </c>
      <c r="AB34" s="40">
        <v>0.76</v>
      </c>
      <c r="AC34" s="40">
        <v>1.1399999999999999</v>
      </c>
      <c r="AD34" s="40">
        <v>1.9</v>
      </c>
      <c r="AE34" s="40">
        <v>2.85</v>
      </c>
      <c r="AF34" s="40">
        <v>3.8</v>
      </c>
      <c r="AG34" s="40">
        <v>91.4</v>
      </c>
      <c r="AH34" s="40">
        <v>94.2</v>
      </c>
      <c r="AI34" s="40">
        <v>94.9</v>
      </c>
      <c r="AJ34" s="40">
        <v>95.5</v>
      </c>
      <c r="AK34" s="40">
        <v>95.6</v>
      </c>
      <c r="AL34" s="40">
        <v>95.5</v>
      </c>
      <c r="AM34" s="40">
        <v>95.3</v>
      </c>
      <c r="AN34" s="40">
        <v>92.6</v>
      </c>
      <c r="AO34" s="40">
        <v>95.5</v>
      </c>
      <c r="AP34" s="40">
        <v>96.2</v>
      </c>
      <c r="AQ34" s="40">
        <v>96.6</v>
      </c>
      <c r="AR34" s="40">
        <v>96.7</v>
      </c>
      <c r="AS34" s="40">
        <v>96.6</v>
      </c>
      <c r="AT34" s="40">
        <v>96.4</v>
      </c>
      <c r="AU34" s="40">
        <v>90.3</v>
      </c>
      <c r="AV34" s="40">
        <v>94.5</v>
      </c>
      <c r="AW34" s="40">
        <v>95.5</v>
      </c>
      <c r="AX34" s="40">
        <v>96.2</v>
      </c>
      <c r="AY34" s="40">
        <v>96.3</v>
      </c>
      <c r="AZ34" s="40">
        <v>96.3</v>
      </c>
      <c r="BA34" s="40">
        <v>95.9</v>
      </c>
      <c r="BB34" s="174">
        <v>42917</v>
      </c>
      <c r="BC34" s="174">
        <v>43388</v>
      </c>
    </row>
    <row r="35" spans="1:55" s="44" customFormat="1" ht="45">
      <c r="A35" s="18" t="s">
        <v>0</v>
      </c>
      <c r="B35" s="18" t="s">
        <v>319</v>
      </c>
      <c r="C35" s="23" t="s">
        <v>10</v>
      </c>
      <c r="D35" s="23" t="s">
        <v>10</v>
      </c>
      <c r="E35" s="23" t="s">
        <v>11</v>
      </c>
      <c r="F35" s="23" t="s">
        <v>11</v>
      </c>
      <c r="G35" s="18" t="s">
        <v>121</v>
      </c>
      <c r="H35" s="19">
        <v>3.8</v>
      </c>
      <c r="I35" s="19">
        <v>277</v>
      </c>
      <c r="J35" s="19">
        <v>96</v>
      </c>
      <c r="K35" s="21" t="s">
        <v>1215</v>
      </c>
      <c r="L35" s="49" t="s">
        <v>753</v>
      </c>
      <c r="M35" s="21" t="s">
        <v>413</v>
      </c>
      <c r="N35" s="174">
        <v>43388</v>
      </c>
      <c r="O35" s="23" t="s">
        <v>17</v>
      </c>
      <c r="P35" s="23" t="s">
        <v>17</v>
      </c>
      <c r="Q35" s="23" t="s">
        <v>17</v>
      </c>
      <c r="R35" s="150" t="s">
        <v>26</v>
      </c>
      <c r="S35" s="20" t="s">
        <v>10</v>
      </c>
      <c r="T35" s="20" t="s">
        <v>11</v>
      </c>
      <c r="U35" s="19">
        <v>0.22</v>
      </c>
      <c r="V35" s="19"/>
      <c r="W35" s="19"/>
      <c r="X35" s="19">
        <v>100</v>
      </c>
      <c r="Y35" s="19">
        <v>395</v>
      </c>
      <c r="Z35" s="19">
        <v>480</v>
      </c>
      <c r="AA35" s="40">
        <v>0.38</v>
      </c>
      <c r="AB35" s="40">
        <v>0.76</v>
      </c>
      <c r="AC35" s="40">
        <v>1.1399999999999999</v>
      </c>
      <c r="AD35" s="40">
        <v>1.9</v>
      </c>
      <c r="AE35" s="40">
        <v>2.85</v>
      </c>
      <c r="AF35" s="40">
        <v>3.8</v>
      </c>
      <c r="AG35" s="40">
        <v>90.3</v>
      </c>
      <c r="AH35" s="40">
        <v>93.6</v>
      </c>
      <c r="AI35" s="40">
        <v>94.5</v>
      </c>
      <c r="AJ35" s="40">
        <v>95.3</v>
      </c>
      <c r="AK35" s="40">
        <v>95.6</v>
      </c>
      <c r="AL35" s="40">
        <v>95.5</v>
      </c>
      <c r="AM35" s="40">
        <v>95.1</v>
      </c>
      <c r="AN35" s="40">
        <v>92</v>
      </c>
      <c r="AO35" s="40">
        <v>95.3</v>
      </c>
      <c r="AP35" s="40">
        <v>96.2</v>
      </c>
      <c r="AQ35" s="40">
        <v>96.8</v>
      </c>
      <c r="AR35" s="40">
        <v>96.9</v>
      </c>
      <c r="AS35" s="40">
        <v>96.9</v>
      </c>
      <c r="AT35" s="40">
        <v>96.5</v>
      </c>
      <c r="AU35" s="40">
        <v>90.4</v>
      </c>
      <c r="AV35" s="40">
        <v>94.7</v>
      </c>
      <c r="AW35" s="40">
        <v>95.8</v>
      </c>
      <c r="AX35" s="40">
        <v>96.5</v>
      </c>
      <c r="AY35" s="40">
        <v>96.7</v>
      </c>
      <c r="AZ35" s="40">
        <v>96.8</v>
      </c>
      <c r="BA35" s="40">
        <v>96.2</v>
      </c>
      <c r="BB35" s="174">
        <v>42917</v>
      </c>
      <c r="BC35" s="174">
        <v>43388</v>
      </c>
    </row>
    <row r="36" spans="1:55" s="44" customFormat="1" ht="45">
      <c r="A36" s="18" t="s">
        <v>0</v>
      </c>
      <c r="B36" s="18" t="s">
        <v>320</v>
      </c>
      <c r="C36" s="23" t="s">
        <v>10</v>
      </c>
      <c r="D36" s="23" t="s">
        <v>10</v>
      </c>
      <c r="E36" s="23" t="s">
        <v>11</v>
      </c>
      <c r="F36" s="23" t="s">
        <v>11</v>
      </c>
      <c r="G36" s="18" t="s">
        <v>87</v>
      </c>
      <c r="H36" s="19">
        <v>3.8</v>
      </c>
      <c r="I36" s="19">
        <v>208</v>
      </c>
      <c r="J36" s="125">
        <v>95.5</v>
      </c>
      <c r="K36" s="21" t="s">
        <v>1215</v>
      </c>
      <c r="L36" s="49" t="s">
        <v>753</v>
      </c>
      <c r="M36" s="21" t="s">
        <v>413</v>
      </c>
      <c r="N36" s="174">
        <v>43388</v>
      </c>
      <c r="O36" s="23" t="s">
        <v>17</v>
      </c>
      <c r="P36" s="23" t="s">
        <v>17</v>
      </c>
      <c r="Q36" s="23" t="s">
        <v>17</v>
      </c>
      <c r="R36" s="150" t="s">
        <v>26</v>
      </c>
      <c r="S36" s="20" t="s">
        <v>10</v>
      </c>
      <c r="T36" s="21" t="s">
        <v>11</v>
      </c>
      <c r="U36" s="19">
        <v>0.12</v>
      </c>
      <c r="V36" s="19"/>
      <c r="W36" s="19"/>
      <c r="X36" s="19">
        <v>100</v>
      </c>
      <c r="Y36" s="19">
        <v>310</v>
      </c>
      <c r="Z36" s="19">
        <v>480</v>
      </c>
      <c r="AA36" s="40">
        <v>0.33</v>
      </c>
      <c r="AB36" s="40">
        <v>0.66</v>
      </c>
      <c r="AC36" s="40">
        <v>0.99</v>
      </c>
      <c r="AD36" s="40">
        <v>1.65</v>
      </c>
      <c r="AE36" s="40">
        <v>2.48</v>
      </c>
      <c r="AF36" s="40">
        <v>3.3</v>
      </c>
      <c r="AG36" s="40">
        <v>91.5</v>
      </c>
      <c r="AH36" s="40">
        <v>94.3</v>
      </c>
      <c r="AI36" s="40">
        <v>95.1</v>
      </c>
      <c r="AJ36" s="40">
        <v>95.6</v>
      </c>
      <c r="AK36" s="40">
        <v>95.6</v>
      </c>
      <c r="AL36" s="40">
        <v>95.4</v>
      </c>
      <c r="AM36" s="40">
        <v>95.3</v>
      </c>
      <c r="AN36" s="40">
        <v>92.1</v>
      </c>
      <c r="AO36" s="40">
        <v>95.1</v>
      </c>
      <c r="AP36" s="40">
        <v>95.9</v>
      </c>
      <c r="AQ36" s="40">
        <v>96.3</v>
      </c>
      <c r="AR36" s="40">
        <v>96.4</v>
      </c>
      <c r="AS36" s="40">
        <v>96.2</v>
      </c>
      <c r="AT36" s="40">
        <v>96.1</v>
      </c>
      <c r="AU36" s="40">
        <v>89.1</v>
      </c>
      <c r="AV36" s="40">
        <v>93.9</v>
      </c>
      <c r="AW36" s="40">
        <v>95</v>
      </c>
      <c r="AX36" s="40">
        <v>95.7</v>
      </c>
      <c r="AY36" s="40">
        <v>95.9</v>
      </c>
      <c r="AZ36" s="40">
        <v>95.8</v>
      </c>
      <c r="BA36" s="126">
        <v>95.4</v>
      </c>
      <c r="BB36" s="174">
        <v>42917</v>
      </c>
      <c r="BC36" s="174">
        <v>43388</v>
      </c>
    </row>
    <row r="37" spans="1:55" s="44" customFormat="1" ht="45">
      <c r="A37" s="18" t="s">
        <v>0</v>
      </c>
      <c r="B37" s="18" t="s">
        <v>321</v>
      </c>
      <c r="C37" s="23" t="s">
        <v>10</v>
      </c>
      <c r="D37" s="23" t="s">
        <v>10</v>
      </c>
      <c r="E37" s="23" t="s">
        <v>11</v>
      </c>
      <c r="F37" s="23" t="s">
        <v>11</v>
      </c>
      <c r="G37" s="18" t="s">
        <v>120</v>
      </c>
      <c r="H37" s="19">
        <v>3.8</v>
      </c>
      <c r="I37" s="19">
        <v>240</v>
      </c>
      <c r="J37" s="125">
        <v>96</v>
      </c>
      <c r="K37" s="21" t="s">
        <v>1215</v>
      </c>
      <c r="L37" s="49" t="s">
        <v>753</v>
      </c>
      <c r="M37" s="21" t="s">
        <v>413</v>
      </c>
      <c r="N37" s="174">
        <v>43388</v>
      </c>
      <c r="O37" s="23" t="s">
        <v>17</v>
      </c>
      <c r="P37" s="23" t="s">
        <v>17</v>
      </c>
      <c r="Q37" s="23" t="s">
        <v>17</v>
      </c>
      <c r="R37" s="150" t="s">
        <v>26</v>
      </c>
      <c r="S37" s="20" t="s">
        <v>10</v>
      </c>
      <c r="T37" s="21" t="s">
        <v>11</v>
      </c>
      <c r="U37" s="19">
        <v>0.16</v>
      </c>
      <c r="V37" s="19"/>
      <c r="W37" s="19"/>
      <c r="X37" s="19">
        <v>100</v>
      </c>
      <c r="Y37" s="19">
        <v>340</v>
      </c>
      <c r="Z37" s="19">
        <v>480</v>
      </c>
      <c r="AA37" s="40">
        <v>0.38</v>
      </c>
      <c r="AB37" s="40">
        <v>0.76</v>
      </c>
      <c r="AC37" s="40">
        <v>1.1399999999999999</v>
      </c>
      <c r="AD37" s="40">
        <v>1.9</v>
      </c>
      <c r="AE37" s="40">
        <v>2.85</v>
      </c>
      <c r="AF37" s="40">
        <v>3.8</v>
      </c>
      <c r="AG37" s="40">
        <v>91.4</v>
      </c>
      <c r="AH37" s="40">
        <v>94.2</v>
      </c>
      <c r="AI37" s="40">
        <v>94.9</v>
      </c>
      <c r="AJ37" s="40">
        <v>95.5</v>
      </c>
      <c r="AK37" s="40">
        <v>95.6</v>
      </c>
      <c r="AL37" s="40">
        <v>95.5</v>
      </c>
      <c r="AM37" s="40">
        <v>95.3</v>
      </c>
      <c r="AN37" s="40">
        <v>92.6</v>
      </c>
      <c r="AO37" s="40">
        <v>95.5</v>
      </c>
      <c r="AP37" s="40">
        <v>96.2</v>
      </c>
      <c r="AQ37" s="40">
        <v>96.6</v>
      </c>
      <c r="AR37" s="40">
        <v>96.7</v>
      </c>
      <c r="AS37" s="40">
        <v>96.6</v>
      </c>
      <c r="AT37" s="40">
        <v>96.4</v>
      </c>
      <c r="AU37" s="40">
        <v>90.3</v>
      </c>
      <c r="AV37" s="40">
        <v>94.5</v>
      </c>
      <c r="AW37" s="40">
        <v>95.5</v>
      </c>
      <c r="AX37" s="40">
        <v>96.2</v>
      </c>
      <c r="AY37" s="40">
        <v>96.3</v>
      </c>
      <c r="AZ37" s="40">
        <v>96.3</v>
      </c>
      <c r="BA37" s="126">
        <v>95.9</v>
      </c>
      <c r="BB37" s="174">
        <v>42917</v>
      </c>
      <c r="BC37" s="174">
        <v>43388</v>
      </c>
    </row>
    <row r="38" spans="1:55" s="44" customFormat="1" ht="45">
      <c r="A38" s="18" t="s">
        <v>0</v>
      </c>
      <c r="B38" s="18" t="s">
        <v>322</v>
      </c>
      <c r="C38" s="23" t="s">
        <v>10</v>
      </c>
      <c r="D38" s="23" t="s">
        <v>10</v>
      </c>
      <c r="E38" s="23" t="s">
        <v>11</v>
      </c>
      <c r="F38" s="23" t="s">
        <v>11</v>
      </c>
      <c r="G38" s="18" t="s">
        <v>121</v>
      </c>
      <c r="H38" s="19">
        <v>3.8</v>
      </c>
      <c r="I38" s="19">
        <v>277</v>
      </c>
      <c r="J38" s="125">
        <v>96</v>
      </c>
      <c r="K38" s="21" t="s">
        <v>1215</v>
      </c>
      <c r="L38" s="49" t="s">
        <v>753</v>
      </c>
      <c r="M38" s="21" t="s">
        <v>413</v>
      </c>
      <c r="N38" s="174">
        <v>43388</v>
      </c>
      <c r="O38" s="23" t="s">
        <v>17</v>
      </c>
      <c r="P38" s="23" t="s">
        <v>17</v>
      </c>
      <c r="Q38" s="23" t="s">
        <v>17</v>
      </c>
      <c r="R38" s="150" t="s">
        <v>26</v>
      </c>
      <c r="S38" s="20" t="s">
        <v>10</v>
      </c>
      <c r="T38" s="21" t="s">
        <v>11</v>
      </c>
      <c r="U38" s="19">
        <v>0.22</v>
      </c>
      <c r="V38" s="19"/>
      <c r="W38" s="19"/>
      <c r="X38" s="19">
        <v>100</v>
      </c>
      <c r="Y38" s="19">
        <v>395</v>
      </c>
      <c r="Z38" s="19">
        <v>480</v>
      </c>
      <c r="AA38" s="40">
        <v>0.38</v>
      </c>
      <c r="AB38" s="40">
        <v>0.76</v>
      </c>
      <c r="AC38" s="40">
        <v>1.1399999999999999</v>
      </c>
      <c r="AD38" s="40">
        <v>1.9</v>
      </c>
      <c r="AE38" s="40">
        <v>2.85</v>
      </c>
      <c r="AF38" s="40">
        <v>3.8</v>
      </c>
      <c r="AG38" s="40">
        <v>90.3</v>
      </c>
      <c r="AH38" s="40">
        <v>93.6</v>
      </c>
      <c r="AI38" s="40">
        <v>94.5</v>
      </c>
      <c r="AJ38" s="40">
        <v>95.3</v>
      </c>
      <c r="AK38" s="40">
        <v>95.6</v>
      </c>
      <c r="AL38" s="40">
        <v>95.5</v>
      </c>
      <c r="AM38" s="40">
        <v>95.1</v>
      </c>
      <c r="AN38" s="40">
        <v>92</v>
      </c>
      <c r="AO38" s="40">
        <v>95.3</v>
      </c>
      <c r="AP38" s="40">
        <v>96.2</v>
      </c>
      <c r="AQ38" s="40">
        <v>96.8</v>
      </c>
      <c r="AR38" s="40">
        <v>96.9</v>
      </c>
      <c r="AS38" s="40">
        <v>96.9</v>
      </c>
      <c r="AT38" s="40">
        <v>96.5</v>
      </c>
      <c r="AU38" s="40">
        <v>90.4</v>
      </c>
      <c r="AV38" s="40">
        <v>94.7</v>
      </c>
      <c r="AW38" s="40">
        <v>95.8</v>
      </c>
      <c r="AX38" s="40">
        <v>96.5</v>
      </c>
      <c r="AY38" s="40">
        <v>96.7</v>
      </c>
      <c r="AZ38" s="40">
        <v>96.8</v>
      </c>
      <c r="BA38" s="126">
        <v>96.2</v>
      </c>
      <c r="BB38" s="174">
        <v>42917</v>
      </c>
      <c r="BC38" s="174">
        <v>43388</v>
      </c>
    </row>
    <row r="39" spans="1:55" s="44" customFormat="1" ht="45">
      <c r="A39" s="18" t="s">
        <v>0</v>
      </c>
      <c r="B39" s="18" t="s">
        <v>783</v>
      </c>
      <c r="C39" s="23" t="s">
        <v>10</v>
      </c>
      <c r="D39" s="23" t="s">
        <v>10</v>
      </c>
      <c r="E39" s="23" t="s">
        <v>11</v>
      </c>
      <c r="F39" s="23" t="s">
        <v>11</v>
      </c>
      <c r="G39" s="18" t="s">
        <v>88</v>
      </c>
      <c r="H39" s="19">
        <v>3.8</v>
      </c>
      <c r="I39" s="19">
        <v>208</v>
      </c>
      <c r="J39" s="19">
        <v>95.5</v>
      </c>
      <c r="K39" s="21" t="s">
        <v>1215</v>
      </c>
      <c r="L39" s="49" t="s">
        <v>412</v>
      </c>
      <c r="M39" s="21" t="s">
        <v>413</v>
      </c>
      <c r="N39" s="174">
        <v>43388</v>
      </c>
      <c r="O39" s="23" t="s">
        <v>17</v>
      </c>
      <c r="P39" s="23" t="s">
        <v>17</v>
      </c>
      <c r="Q39" s="23" t="s">
        <v>17</v>
      </c>
      <c r="R39" s="150" t="s">
        <v>26</v>
      </c>
      <c r="S39" s="20" t="s">
        <v>10</v>
      </c>
      <c r="T39" s="20" t="s">
        <v>11</v>
      </c>
      <c r="U39" s="19">
        <v>0.12</v>
      </c>
      <c r="V39" s="19"/>
      <c r="W39" s="19"/>
      <c r="X39" s="19">
        <v>100</v>
      </c>
      <c r="Y39" s="19">
        <v>310</v>
      </c>
      <c r="Z39" s="19">
        <v>480</v>
      </c>
      <c r="AA39" s="40">
        <v>0.33</v>
      </c>
      <c r="AB39" s="40">
        <v>0.66</v>
      </c>
      <c r="AC39" s="40">
        <v>0.99</v>
      </c>
      <c r="AD39" s="40">
        <v>1.65</v>
      </c>
      <c r="AE39" s="40">
        <v>2.48</v>
      </c>
      <c r="AF39" s="40">
        <v>3.3</v>
      </c>
      <c r="AG39" s="40">
        <v>91.5</v>
      </c>
      <c r="AH39" s="40">
        <v>94.3</v>
      </c>
      <c r="AI39" s="40">
        <v>95.1</v>
      </c>
      <c r="AJ39" s="40">
        <v>95.6</v>
      </c>
      <c r="AK39" s="40">
        <v>95.6</v>
      </c>
      <c r="AL39" s="40">
        <v>95.4</v>
      </c>
      <c r="AM39" s="40">
        <v>95.3</v>
      </c>
      <c r="AN39" s="40">
        <v>92.1</v>
      </c>
      <c r="AO39" s="40">
        <v>95.1</v>
      </c>
      <c r="AP39" s="40">
        <v>95.9</v>
      </c>
      <c r="AQ39" s="40">
        <v>96.3</v>
      </c>
      <c r="AR39" s="40">
        <v>96.4</v>
      </c>
      <c r="AS39" s="40">
        <v>96.2</v>
      </c>
      <c r="AT39" s="40">
        <v>96.1</v>
      </c>
      <c r="AU39" s="40">
        <v>89.1</v>
      </c>
      <c r="AV39" s="40">
        <v>93.9</v>
      </c>
      <c r="AW39" s="40">
        <v>95</v>
      </c>
      <c r="AX39" s="40">
        <v>95.7</v>
      </c>
      <c r="AY39" s="40">
        <v>95.9</v>
      </c>
      <c r="AZ39" s="40">
        <v>95.8</v>
      </c>
      <c r="BA39" s="40">
        <v>95.4</v>
      </c>
      <c r="BB39" s="174">
        <v>42917</v>
      </c>
      <c r="BC39" s="174">
        <v>43388</v>
      </c>
    </row>
    <row r="40" spans="1:55" s="44" customFormat="1" ht="45">
      <c r="A40" s="18" t="s">
        <v>0</v>
      </c>
      <c r="B40" s="18" t="s">
        <v>784</v>
      </c>
      <c r="C40" s="23" t="s">
        <v>10</v>
      </c>
      <c r="D40" s="23" t="s">
        <v>10</v>
      </c>
      <c r="E40" s="23" t="s">
        <v>11</v>
      </c>
      <c r="F40" s="23" t="s">
        <v>11</v>
      </c>
      <c r="G40" s="18" t="s">
        <v>89</v>
      </c>
      <c r="H40" s="19">
        <v>3.8</v>
      </c>
      <c r="I40" s="19">
        <v>240</v>
      </c>
      <c r="J40" s="19">
        <v>96</v>
      </c>
      <c r="K40" s="21" t="s">
        <v>1215</v>
      </c>
      <c r="L40" s="49" t="s">
        <v>412</v>
      </c>
      <c r="M40" s="21" t="s">
        <v>413</v>
      </c>
      <c r="N40" s="174">
        <v>43388</v>
      </c>
      <c r="O40" s="23" t="s">
        <v>17</v>
      </c>
      <c r="P40" s="23" t="s">
        <v>17</v>
      </c>
      <c r="Q40" s="23" t="s">
        <v>17</v>
      </c>
      <c r="R40" s="150" t="s">
        <v>26</v>
      </c>
      <c r="S40" s="20" t="s">
        <v>10</v>
      </c>
      <c r="T40" s="20" t="s">
        <v>11</v>
      </c>
      <c r="U40" s="19">
        <v>0.16</v>
      </c>
      <c r="V40" s="19"/>
      <c r="W40" s="19"/>
      <c r="X40" s="19">
        <v>100</v>
      </c>
      <c r="Y40" s="19">
        <v>340</v>
      </c>
      <c r="Z40" s="19">
        <v>480</v>
      </c>
      <c r="AA40" s="40">
        <v>0.38</v>
      </c>
      <c r="AB40" s="40">
        <v>0.76</v>
      </c>
      <c r="AC40" s="40">
        <v>1.1399999999999999</v>
      </c>
      <c r="AD40" s="40">
        <v>1.9</v>
      </c>
      <c r="AE40" s="40">
        <v>2.85</v>
      </c>
      <c r="AF40" s="40">
        <v>3.8</v>
      </c>
      <c r="AG40" s="40">
        <v>91.4</v>
      </c>
      <c r="AH40" s="40">
        <v>94.2</v>
      </c>
      <c r="AI40" s="40">
        <v>94.9</v>
      </c>
      <c r="AJ40" s="40">
        <v>95.5</v>
      </c>
      <c r="AK40" s="40">
        <v>95.6</v>
      </c>
      <c r="AL40" s="40">
        <v>95.5</v>
      </c>
      <c r="AM40" s="40">
        <v>95.3</v>
      </c>
      <c r="AN40" s="40">
        <v>92.6</v>
      </c>
      <c r="AO40" s="40">
        <v>95.5</v>
      </c>
      <c r="AP40" s="40">
        <v>96.2</v>
      </c>
      <c r="AQ40" s="40">
        <v>96.6</v>
      </c>
      <c r="AR40" s="40">
        <v>96.7</v>
      </c>
      <c r="AS40" s="40">
        <v>96.6</v>
      </c>
      <c r="AT40" s="40">
        <v>96.4</v>
      </c>
      <c r="AU40" s="40">
        <v>90.3</v>
      </c>
      <c r="AV40" s="40">
        <v>94.5</v>
      </c>
      <c r="AW40" s="40">
        <v>95.5</v>
      </c>
      <c r="AX40" s="40">
        <v>96.2</v>
      </c>
      <c r="AY40" s="40">
        <v>96.3</v>
      </c>
      <c r="AZ40" s="40">
        <v>96.3</v>
      </c>
      <c r="BA40" s="40">
        <v>95.9</v>
      </c>
      <c r="BB40" s="174">
        <v>42917</v>
      </c>
      <c r="BC40" s="174">
        <v>43388</v>
      </c>
    </row>
    <row r="41" spans="1:55" s="44" customFormat="1" ht="45">
      <c r="A41" s="18" t="s">
        <v>0</v>
      </c>
      <c r="B41" s="18" t="s">
        <v>785</v>
      </c>
      <c r="C41" s="23" t="s">
        <v>10</v>
      </c>
      <c r="D41" s="23" t="s">
        <v>10</v>
      </c>
      <c r="E41" s="23" t="s">
        <v>11</v>
      </c>
      <c r="F41" s="23" t="s">
        <v>11</v>
      </c>
      <c r="G41" s="18" t="s">
        <v>90</v>
      </c>
      <c r="H41" s="19">
        <v>3.8</v>
      </c>
      <c r="I41" s="19">
        <v>277</v>
      </c>
      <c r="J41" s="19">
        <v>96</v>
      </c>
      <c r="K41" s="21" t="s">
        <v>1215</v>
      </c>
      <c r="L41" s="49" t="s">
        <v>753</v>
      </c>
      <c r="M41" s="21" t="s">
        <v>413</v>
      </c>
      <c r="N41" s="174">
        <v>43388</v>
      </c>
      <c r="O41" s="23" t="s">
        <v>17</v>
      </c>
      <c r="P41" s="23" t="s">
        <v>17</v>
      </c>
      <c r="Q41" s="23" t="s">
        <v>17</v>
      </c>
      <c r="R41" s="150" t="s">
        <v>26</v>
      </c>
      <c r="S41" s="20" t="s">
        <v>10</v>
      </c>
      <c r="T41" s="20" t="s">
        <v>11</v>
      </c>
      <c r="U41" s="19">
        <v>0.22</v>
      </c>
      <c r="V41" s="19"/>
      <c r="W41" s="19"/>
      <c r="X41" s="19">
        <v>100</v>
      </c>
      <c r="Y41" s="19">
        <v>395</v>
      </c>
      <c r="Z41" s="19">
        <v>480</v>
      </c>
      <c r="AA41" s="40">
        <v>0.38</v>
      </c>
      <c r="AB41" s="40">
        <v>0.76</v>
      </c>
      <c r="AC41" s="40">
        <v>1.1399999999999999</v>
      </c>
      <c r="AD41" s="40">
        <v>1.9</v>
      </c>
      <c r="AE41" s="40">
        <v>2.85</v>
      </c>
      <c r="AF41" s="40">
        <v>3.8</v>
      </c>
      <c r="AG41" s="40">
        <v>90.3</v>
      </c>
      <c r="AH41" s="40">
        <v>93.6</v>
      </c>
      <c r="AI41" s="40">
        <v>94.5</v>
      </c>
      <c r="AJ41" s="40">
        <v>95.3</v>
      </c>
      <c r="AK41" s="40">
        <v>95.6</v>
      </c>
      <c r="AL41" s="40">
        <v>95.5</v>
      </c>
      <c r="AM41" s="40">
        <v>95.1</v>
      </c>
      <c r="AN41" s="40">
        <v>92</v>
      </c>
      <c r="AO41" s="40">
        <v>95.3</v>
      </c>
      <c r="AP41" s="40">
        <v>96.2</v>
      </c>
      <c r="AQ41" s="40">
        <v>96.8</v>
      </c>
      <c r="AR41" s="40">
        <v>96.9</v>
      </c>
      <c r="AS41" s="40">
        <v>96.9</v>
      </c>
      <c r="AT41" s="40">
        <v>96.5</v>
      </c>
      <c r="AU41" s="40">
        <v>90.4</v>
      </c>
      <c r="AV41" s="40">
        <v>94.7</v>
      </c>
      <c r="AW41" s="40">
        <v>95.8</v>
      </c>
      <c r="AX41" s="40">
        <v>96.5</v>
      </c>
      <c r="AY41" s="40">
        <v>96.7</v>
      </c>
      <c r="AZ41" s="40">
        <v>96.8</v>
      </c>
      <c r="BA41" s="40">
        <v>96.2</v>
      </c>
      <c r="BB41" s="174">
        <v>42917</v>
      </c>
      <c r="BC41" s="174">
        <v>43388</v>
      </c>
    </row>
    <row r="42" spans="1:55" s="44" customFormat="1" ht="45">
      <c r="A42" s="18" t="s">
        <v>0</v>
      </c>
      <c r="B42" s="18" t="s">
        <v>324</v>
      </c>
      <c r="C42" s="23" t="s">
        <v>10</v>
      </c>
      <c r="D42" s="23" t="s">
        <v>10</v>
      </c>
      <c r="E42" s="23" t="s">
        <v>11</v>
      </c>
      <c r="F42" s="23" t="s">
        <v>11</v>
      </c>
      <c r="G42" s="18" t="s">
        <v>95</v>
      </c>
      <c r="H42" s="19">
        <v>4.2</v>
      </c>
      <c r="I42" s="19">
        <v>208</v>
      </c>
      <c r="J42" s="19">
        <v>96</v>
      </c>
      <c r="K42" s="21" t="s">
        <v>1215</v>
      </c>
      <c r="L42" s="49" t="s">
        <v>753</v>
      </c>
      <c r="M42" s="21" t="s">
        <v>413</v>
      </c>
      <c r="N42" s="174">
        <v>43388</v>
      </c>
      <c r="O42" s="23" t="s">
        <v>17</v>
      </c>
      <c r="P42" s="23" t="s">
        <v>17</v>
      </c>
      <c r="Q42" s="23" t="s">
        <v>17</v>
      </c>
      <c r="R42" s="150" t="s">
        <v>26</v>
      </c>
      <c r="S42" s="20" t="s">
        <v>10</v>
      </c>
      <c r="T42" s="20" t="s">
        <v>11</v>
      </c>
      <c r="U42" s="19">
        <v>0.1</v>
      </c>
      <c r="V42" s="19">
        <v>4.2</v>
      </c>
      <c r="W42" s="19">
        <v>0.1</v>
      </c>
      <c r="X42" s="19">
        <v>100</v>
      </c>
      <c r="Y42" s="19">
        <v>310</v>
      </c>
      <c r="Z42" s="19">
        <v>480</v>
      </c>
      <c r="AA42" s="40">
        <v>0.42</v>
      </c>
      <c r="AB42" s="40">
        <v>0.84</v>
      </c>
      <c r="AC42" s="40">
        <v>1.26</v>
      </c>
      <c r="AD42" s="40">
        <v>2.1</v>
      </c>
      <c r="AE42" s="40">
        <v>3.15</v>
      </c>
      <c r="AF42" s="40">
        <v>4.2</v>
      </c>
      <c r="AG42" s="40">
        <v>92.9</v>
      </c>
      <c r="AH42" s="40">
        <v>95</v>
      </c>
      <c r="AI42" s="40">
        <v>95.6</v>
      </c>
      <c r="AJ42" s="40">
        <v>95.9</v>
      </c>
      <c r="AK42" s="40">
        <v>95.8</v>
      </c>
      <c r="AL42" s="40">
        <v>95.4</v>
      </c>
      <c r="AM42" s="40">
        <v>95.6</v>
      </c>
      <c r="AN42" s="40">
        <v>93.5</v>
      </c>
      <c r="AO42" s="40">
        <v>95.8</v>
      </c>
      <c r="AP42" s="40">
        <v>96.3</v>
      </c>
      <c r="AQ42" s="40">
        <v>96.4</v>
      </c>
      <c r="AR42" s="40">
        <v>96.3</v>
      </c>
      <c r="AS42" s="40">
        <v>95.9</v>
      </c>
      <c r="AT42" s="40">
        <v>96.1</v>
      </c>
      <c r="AU42" s="40">
        <v>91.4</v>
      </c>
      <c r="AV42" s="40">
        <v>94.9</v>
      </c>
      <c r="AW42" s="40">
        <v>95.6</v>
      </c>
      <c r="AX42" s="40">
        <v>95.9</v>
      </c>
      <c r="AY42" s="40">
        <v>95.8</v>
      </c>
      <c r="AZ42" s="40">
        <v>95.5</v>
      </c>
      <c r="BA42" s="40">
        <v>95.6</v>
      </c>
      <c r="BB42" s="174">
        <v>42917</v>
      </c>
      <c r="BC42" s="174">
        <v>43388</v>
      </c>
    </row>
    <row r="43" spans="1:55" s="44" customFormat="1" ht="45">
      <c r="A43" s="18" t="s">
        <v>0</v>
      </c>
      <c r="B43" s="18" t="s">
        <v>325</v>
      </c>
      <c r="C43" s="23" t="s">
        <v>10</v>
      </c>
      <c r="D43" s="23" t="s">
        <v>10</v>
      </c>
      <c r="E43" s="23" t="s">
        <v>11</v>
      </c>
      <c r="F43" s="23" t="s">
        <v>11</v>
      </c>
      <c r="G43" s="18" t="s">
        <v>96</v>
      </c>
      <c r="H43" s="19">
        <v>4.2</v>
      </c>
      <c r="I43" s="19">
        <v>240</v>
      </c>
      <c r="J43" s="19">
        <v>96</v>
      </c>
      <c r="K43" s="21" t="s">
        <v>1215</v>
      </c>
      <c r="L43" s="49" t="s">
        <v>753</v>
      </c>
      <c r="M43" s="21" t="s">
        <v>413</v>
      </c>
      <c r="N43" s="174">
        <v>43388</v>
      </c>
      <c r="O43" s="23" t="s">
        <v>17</v>
      </c>
      <c r="P43" s="23" t="s">
        <v>17</v>
      </c>
      <c r="Q43" s="23" t="s">
        <v>17</v>
      </c>
      <c r="R43" s="150" t="s">
        <v>26</v>
      </c>
      <c r="S43" s="20" t="s">
        <v>10</v>
      </c>
      <c r="T43" s="20" t="s">
        <v>11</v>
      </c>
      <c r="U43" s="19">
        <v>0.2</v>
      </c>
      <c r="V43" s="19">
        <v>4.2</v>
      </c>
      <c r="W43" s="19">
        <v>0.2</v>
      </c>
      <c r="X43" s="19">
        <v>100</v>
      </c>
      <c r="Y43" s="19">
        <v>340</v>
      </c>
      <c r="Z43" s="19">
        <v>480</v>
      </c>
      <c r="AA43" s="40">
        <v>0.42</v>
      </c>
      <c r="AB43" s="40">
        <v>0.84</v>
      </c>
      <c r="AC43" s="40">
        <v>1.26</v>
      </c>
      <c r="AD43" s="40">
        <v>2.1</v>
      </c>
      <c r="AE43" s="40">
        <v>3.15</v>
      </c>
      <c r="AF43" s="40">
        <v>4.2</v>
      </c>
      <c r="AG43" s="40">
        <v>91.8</v>
      </c>
      <c r="AH43" s="40">
        <v>94.4</v>
      </c>
      <c r="AI43" s="40">
        <v>95.2</v>
      </c>
      <c r="AJ43" s="40">
        <v>95.8</v>
      </c>
      <c r="AK43" s="40">
        <v>95.8</v>
      </c>
      <c r="AL43" s="40">
        <v>95.4</v>
      </c>
      <c r="AM43" s="40">
        <v>95.5</v>
      </c>
      <c r="AN43" s="40">
        <v>93.3</v>
      </c>
      <c r="AO43" s="40">
        <v>95.9</v>
      </c>
      <c r="AP43" s="40">
        <v>96.5</v>
      </c>
      <c r="AQ43" s="40">
        <v>96.7</v>
      </c>
      <c r="AR43" s="40">
        <v>96.7</v>
      </c>
      <c r="AS43" s="40">
        <v>96.5</v>
      </c>
      <c r="AT43" s="40">
        <v>96.5</v>
      </c>
      <c r="AU43" s="40">
        <v>91.3</v>
      </c>
      <c r="AV43" s="40">
        <v>95.1</v>
      </c>
      <c r="AW43" s="40">
        <v>95.9</v>
      </c>
      <c r="AX43" s="40">
        <v>96.3</v>
      </c>
      <c r="AY43" s="40">
        <v>96.4</v>
      </c>
      <c r="AZ43" s="40">
        <v>96.2</v>
      </c>
      <c r="BA43" s="40">
        <v>96</v>
      </c>
      <c r="BB43" s="174">
        <v>42917</v>
      </c>
      <c r="BC43" s="174">
        <v>43388</v>
      </c>
    </row>
    <row r="44" spans="1:55" s="44" customFormat="1" ht="45">
      <c r="A44" s="18" t="s">
        <v>0</v>
      </c>
      <c r="B44" s="18" t="s">
        <v>326</v>
      </c>
      <c r="C44" s="23" t="s">
        <v>10</v>
      </c>
      <c r="D44" s="23" t="s">
        <v>10</v>
      </c>
      <c r="E44" s="23" t="s">
        <v>11</v>
      </c>
      <c r="F44" s="23" t="s">
        <v>11</v>
      </c>
      <c r="G44" s="18" t="s">
        <v>97</v>
      </c>
      <c r="H44" s="19">
        <v>4.2</v>
      </c>
      <c r="I44" s="19">
        <v>277</v>
      </c>
      <c r="J44" s="19">
        <v>96</v>
      </c>
      <c r="K44" s="21" t="s">
        <v>1215</v>
      </c>
      <c r="L44" s="49" t="s">
        <v>753</v>
      </c>
      <c r="M44" s="21" t="s">
        <v>413</v>
      </c>
      <c r="N44" s="174">
        <v>43388</v>
      </c>
      <c r="O44" s="23" t="s">
        <v>17</v>
      </c>
      <c r="P44" s="23" t="s">
        <v>17</v>
      </c>
      <c r="Q44" s="23" t="s">
        <v>17</v>
      </c>
      <c r="R44" s="150" t="s">
        <v>26</v>
      </c>
      <c r="S44" s="20" t="s">
        <v>10</v>
      </c>
      <c r="T44" s="20" t="s">
        <v>11</v>
      </c>
      <c r="U44" s="19">
        <v>0.2</v>
      </c>
      <c r="V44" s="19">
        <v>4.2</v>
      </c>
      <c r="W44" s="19">
        <v>0.2</v>
      </c>
      <c r="X44" s="19">
        <v>100</v>
      </c>
      <c r="Y44" s="19">
        <v>395</v>
      </c>
      <c r="Z44" s="19">
        <v>480</v>
      </c>
      <c r="AA44" s="40">
        <v>0.42</v>
      </c>
      <c r="AB44" s="40">
        <v>0.84</v>
      </c>
      <c r="AC44" s="40">
        <v>1.26</v>
      </c>
      <c r="AD44" s="40">
        <v>2.1</v>
      </c>
      <c r="AE44" s="40">
        <v>3.15</v>
      </c>
      <c r="AF44" s="40">
        <v>4.2</v>
      </c>
      <c r="AG44" s="40">
        <v>90.8</v>
      </c>
      <c r="AH44" s="40">
        <v>93.9</v>
      </c>
      <c r="AI44" s="40">
        <v>94.8</v>
      </c>
      <c r="AJ44" s="40">
        <v>95.6</v>
      </c>
      <c r="AK44" s="40">
        <v>95.7</v>
      </c>
      <c r="AL44" s="40">
        <v>95.6</v>
      </c>
      <c r="AM44" s="40">
        <v>95.3</v>
      </c>
      <c r="AN44" s="40">
        <v>92.8</v>
      </c>
      <c r="AO44" s="40">
        <v>95.8</v>
      </c>
      <c r="AP44" s="40">
        <v>96.6</v>
      </c>
      <c r="AQ44" s="40">
        <v>97</v>
      </c>
      <c r="AR44" s="40">
        <v>97</v>
      </c>
      <c r="AS44" s="40">
        <v>96.9</v>
      </c>
      <c r="AT44" s="40">
        <v>96.7</v>
      </c>
      <c r="AU44" s="40">
        <v>91.6</v>
      </c>
      <c r="AV44" s="40">
        <v>95.4</v>
      </c>
      <c r="AW44" s="40">
        <v>96.2</v>
      </c>
      <c r="AX44" s="40">
        <v>96.7</v>
      </c>
      <c r="AY44" s="40">
        <v>96.8</v>
      </c>
      <c r="AZ44" s="40">
        <v>96.7</v>
      </c>
      <c r="BA44" s="40">
        <v>96.4</v>
      </c>
      <c r="BB44" s="174">
        <v>42917</v>
      </c>
      <c r="BC44" s="174">
        <v>43388</v>
      </c>
    </row>
    <row r="45" spans="1:55" s="44" customFormat="1" ht="45">
      <c r="A45" s="18" t="s">
        <v>0</v>
      </c>
      <c r="B45" s="18" t="s">
        <v>327</v>
      </c>
      <c r="C45" s="23" t="s">
        <v>10</v>
      </c>
      <c r="D45" s="23" t="s">
        <v>10</v>
      </c>
      <c r="E45" s="23" t="s">
        <v>11</v>
      </c>
      <c r="F45" s="23" t="s">
        <v>11</v>
      </c>
      <c r="G45" s="18" t="s">
        <v>95</v>
      </c>
      <c r="H45" s="19">
        <v>4.2</v>
      </c>
      <c r="I45" s="19">
        <v>208</v>
      </c>
      <c r="J45" s="19">
        <v>96</v>
      </c>
      <c r="K45" s="21" t="s">
        <v>1215</v>
      </c>
      <c r="L45" s="49" t="s">
        <v>753</v>
      </c>
      <c r="M45" s="21" t="s">
        <v>413</v>
      </c>
      <c r="N45" s="174">
        <v>43388</v>
      </c>
      <c r="O45" s="23" t="s">
        <v>17</v>
      </c>
      <c r="P45" s="23" t="s">
        <v>17</v>
      </c>
      <c r="Q45" s="23" t="s">
        <v>17</v>
      </c>
      <c r="R45" s="150" t="s">
        <v>26</v>
      </c>
      <c r="S45" s="20" t="s">
        <v>10</v>
      </c>
      <c r="T45" s="20" t="s">
        <v>11</v>
      </c>
      <c r="U45" s="19">
        <v>0.1</v>
      </c>
      <c r="V45" s="19">
        <v>4.2</v>
      </c>
      <c r="W45" s="19">
        <v>0.1</v>
      </c>
      <c r="X45" s="19">
        <v>100</v>
      </c>
      <c r="Y45" s="19">
        <v>310</v>
      </c>
      <c r="Z45" s="19">
        <v>480</v>
      </c>
      <c r="AA45" s="40">
        <v>0.42</v>
      </c>
      <c r="AB45" s="40">
        <v>0.84</v>
      </c>
      <c r="AC45" s="40">
        <v>1.26</v>
      </c>
      <c r="AD45" s="40">
        <v>2.1</v>
      </c>
      <c r="AE45" s="40">
        <v>3.15</v>
      </c>
      <c r="AF45" s="40">
        <v>4.2</v>
      </c>
      <c r="AG45" s="40">
        <v>92.9</v>
      </c>
      <c r="AH45" s="40">
        <v>95</v>
      </c>
      <c r="AI45" s="40">
        <v>95.6</v>
      </c>
      <c r="AJ45" s="40">
        <v>95.9</v>
      </c>
      <c r="AK45" s="40">
        <v>95.8</v>
      </c>
      <c r="AL45" s="40">
        <v>95.4</v>
      </c>
      <c r="AM45" s="40">
        <v>95.6</v>
      </c>
      <c r="AN45" s="40">
        <v>93.5</v>
      </c>
      <c r="AO45" s="40">
        <v>95.8</v>
      </c>
      <c r="AP45" s="40">
        <v>96.3</v>
      </c>
      <c r="AQ45" s="40">
        <v>96.4</v>
      </c>
      <c r="AR45" s="40">
        <v>96.3</v>
      </c>
      <c r="AS45" s="40">
        <v>95.9</v>
      </c>
      <c r="AT45" s="40">
        <v>96.1</v>
      </c>
      <c r="AU45" s="40">
        <v>91.4</v>
      </c>
      <c r="AV45" s="40">
        <v>94.9</v>
      </c>
      <c r="AW45" s="40">
        <v>95.6</v>
      </c>
      <c r="AX45" s="40">
        <v>95.9</v>
      </c>
      <c r="AY45" s="40">
        <v>95.8</v>
      </c>
      <c r="AZ45" s="40">
        <v>95.5</v>
      </c>
      <c r="BA45" s="40">
        <v>95.6</v>
      </c>
      <c r="BB45" s="174">
        <v>42917</v>
      </c>
      <c r="BC45" s="174">
        <v>43388</v>
      </c>
    </row>
    <row r="46" spans="1:55" s="44" customFormat="1" ht="45">
      <c r="A46" s="18" t="s">
        <v>0</v>
      </c>
      <c r="B46" s="18" t="s">
        <v>328</v>
      </c>
      <c r="C46" s="23" t="s">
        <v>10</v>
      </c>
      <c r="D46" s="23" t="s">
        <v>10</v>
      </c>
      <c r="E46" s="23" t="s">
        <v>11</v>
      </c>
      <c r="F46" s="23" t="s">
        <v>11</v>
      </c>
      <c r="G46" s="18" t="s">
        <v>96</v>
      </c>
      <c r="H46" s="19">
        <v>4.2</v>
      </c>
      <c r="I46" s="19">
        <v>240</v>
      </c>
      <c r="J46" s="19">
        <v>96</v>
      </c>
      <c r="K46" s="21" t="s">
        <v>1215</v>
      </c>
      <c r="L46" s="49" t="s">
        <v>753</v>
      </c>
      <c r="M46" s="21" t="s">
        <v>413</v>
      </c>
      <c r="N46" s="174">
        <v>43388</v>
      </c>
      <c r="O46" s="23" t="s">
        <v>17</v>
      </c>
      <c r="P46" s="23" t="s">
        <v>17</v>
      </c>
      <c r="Q46" s="23" t="s">
        <v>17</v>
      </c>
      <c r="R46" s="150" t="s">
        <v>26</v>
      </c>
      <c r="S46" s="20" t="s">
        <v>10</v>
      </c>
      <c r="T46" s="20" t="s">
        <v>11</v>
      </c>
      <c r="U46" s="19">
        <v>0.2</v>
      </c>
      <c r="V46" s="19">
        <v>4.2</v>
      </c>
      <c r="W46" s="19">
        <v>0.2</v>
      </c>
      <c r="X46" s="19">
        <v>100</v>
      </c>
      <c r="Y46" s="19">
        <v>340</v>
      </c>
      <c r="Z46" s="19">
        <v>480</v>
      </c>
      <c r="AA46" s="40">
        <v>0.42</v>
      </c>
      <c r="AB46" s="40">
        <v>0.84</v>
      </c>
      <c r="AC46" s="40">
        <v>1.26</v>
      </c>
      <c r="AD46" s="40">
        <v>2.1</v>
      </c>
      <c r="AE46" s="40">
        <v>3.15</v>
      </c>
      <c r="AF46" s="40">
        <v>4.2</v>
      </c>
      <c r="AG46" s="40">
        <v>91.8</v>
      </c>
      <c r="AH46" s="40">
        <v>94.4</v>
      </c>
      <c r="AI46" s="40">
        <v>95.2</v>
      </c>
      <c r="AJ46" s="40">
        <v>95.8</v>
      </c>
      <c r="AK46" s="40">
        <v>95.8</v>
      </c>
      <c r="AL46" s="40">
        <v>95.4</v>
      </c>
      <c r="AM46" s="40">
        <v>95.5</v>
      </c>
      <c r="AN46" s="40">
        <v>93.3</v>
      </c>
      <c r="AO46" s="40">
        <v>95.9</v>
      </c>
      <c r="AP46" s="40">
        <v>96.5</v>
      </c>
      <c r="AQ46" s="40">
        <v>96.7</v>
      </c>
      <c r="AR46" s="40">
        <v>96.7</v>
      </c>
      <c r="AS46" s="40">
        <v>96.5</v>
      </c>
      <c r="AT46" s="40">
        <v>96.5</v>
      </c>
      <c r="AU46" s="40">
        <v>91.3</v>
      </c>
      <c r="AV46" s="40">
        <v>95.1</v>
      </c>
      <c r="AW46" s="40">
        <v>95.9</v>
      </c>
      <c r="AX46" s="40">
        <v>96.3</v>
      </c>
      <c r="AY46" s="40">
        <v>96.4</v>
      </c>
      <c r="AZ46" s="40">
        <v>96.2</v>
      </c>
      <c r="BA46" s="40">
        <v>96</v>
      </c>
      <c r="BB46" s="174">
        <v>42917</v>
      </c>
      <c r="BC46" s="174">
        <v>43388</v>
      </c>
    </row>
    <row r="47" spans="1:55" s="44" customFormat="1" ht="45">
      <c r="A47" s="18" t="s">
        <v>0</v>
      </c>
      <c r="B47" s="18" t="s">
        <v>329</v>
      </c>
      <c r="C47" s="23" t="s">
        <v>10</v>
      </c>
      <c r="D47" s="23" t="s">
        <v>10</v>
      </c>
      <c r="E47" s="23" t="s">
        <v>11</v>
      </c>
      <c r="F47" s="23" t="s">
        <v>11</v>
      </c>
      <c r="G47" s="18" t="s">
        <v>97</v>
      </c>
      <c r="H47" s="19">
        <v>4.2</v>
      </c>
      <c r="I47" s="19">
        <v>277</v>
      </c>
      <c r="J47" s="19">
        <v>96</v>
      </c>
      <c r="K47" s="21" t="s">
        <v>1215</v>
      </c>
      <c r="L47" s="49" t="s">
        <v>753</v>
      </c>
      <c r="M47" s="21" t="s">
        <v>413</v>
      </c>
      <c r="N47" s="174">
        <v>43388</v>
      </c>
      <c r="O47" s="23" t="s">
        <v>17</v>
      </c>
      <c r="P47" s="23" t="s">
        <v>17</v>
      </c>
      <c r="Q47" s="23" t="s">
        <v>17</v>
      </c>
      <c r="R47" s="150" t="s">
        <v>26</v>
      </c>
      <c r="S47" s="20" t="s">
        <v>10</v>
      </c>
      <c r="T47" s="20" t="s">
        <v>11</v>
      </c>
      <c r="U47" s="19">
        <v>0.2</v>
      </c>
      <c r="V47" s="19">
        <v>4.2</v>
      </c>
      <c r="W47" s="19">
        <v>0.2</v>
      </c>
      <c r="X47" s="19">
        <v>100</v>
      </c>
      <c r="Y47" s="19">
        <v>395</v>
      </c>
      <c r="Z47" s="19">
        <v>480</v>
      </c>
      <c r="AA47" s="40">
        <v>0.42</v>
      </c>
      <c r="AB47" s="40">
        <v>0.84</v>
      </c>
      <c r="AC47" s="40">
        <v>1.26</v>
      </c>
      <c r="AD47" s="40">
        <v>2.1</v>
      </c>
      <c r="AE47" s="40">
        <v>3.15</v>
      </c>
      <c r="AF47" s="40">
        <v>4.2</v>
      </c>
      <c r="AG47" s="40">
        <v>90.8</v>
      </c>
      <c r="AH47" s="40">
        <v>93.9</v>
      </c>
      <c r="AI47" s="40">
        <v>94.8</v>
      </c>
      <c r="AJ47" s="40">
        <v>95.6</v>
      </c>
      <c r="AK47" s="40">
        <v>95.7</v>
      </c>
      <c r="AL47" s="40">
        <v>95.6</v>
      </c>
      <c r="AM47" s="40">
        <v>95.3</v>
      </c>
      <c r="AN47" s="40">
        <v>92.8</v>
      </c>
      <c r="AO47" s="40">
        <v>95.8</v>
      </c>
      <c r="AP47" s="40">
        <v>96.6</v>
      </c>
      <c r="AQ47" s="40">
        <v>97</v>
      </c>
      <c r="AR47" s="40">
        <v>97</v>
      </c>
      <c r="AS47" s="40">
        <v>96.9</v>
      </c>
      <c r="AT47" s="40">
        <v>96.7</v>
      </c>
      <c r="AU47" s="40">
        <v>91.6</v>
      </c>
      <c r="AV47" s="40">
        <v>95.4</v>
      </c>
      <c r="AW47" s="40">
        <v>96.2</v>
      </c>
      <c r="AX47" s="40">
        <v>96.7</v>
      </c>
      <c r="AY47" s="40">
        <v>96.8</v>
      </c>
      <c r="AZ47" s="40">
        <v>96.7</v>
      </c>
      <c r="BA47" s="40">
        <v>96.4</v>
      </c>
      <c r="BB47" s="174">
        <v>42917</v>
      </c>
      <c r="BC47" s="174">
        <v>43388</v>
      </c>
    </row>
    <row r="48" spans="1:55" s="44" customFormat="1" ht="45">
      <c r="A48" s="18" t="s">
        <v>0</v>
      </c>
      <c r="B48" s="18" t="s">
        <v>789</v>
      </c>
      <c r="C48" s="23" t="s">
        <v>10</v>
      </c>
      <c r="D48" s="23" t="s">
        <v>10</v>
      </c>
      <c r="E48" s="23" t="s">
        <v>11</v>
      </c>
      <c r="F48" s="23" t="s">
        <v>11</v>
      </c>
      <c r="G48" s="18" t="s">
        <v>98</v>
      </c>
      <c r="H48" s="19">
        <v>4.2</v>
      </c>
      <c r="I48" s="19">
        <v>208</v>
      </c>
      <c r="J48" s="19">
        <v>96</v>
      </c>
      <c r="K48" s="21" t="s">
        <v>1215</v>
      </c>
      <c r="L48" s="49" t="s">
        <v>753</v>
      </c>
      <c r="M48" s="21" t="s">
        <v>413</v>
      </c>
      <c r="N48" s="174">
        <v>43388</v>
      </c>
      <c r="O48" s="23" t="s">
        <v>17</v>
      </c>
      <c r="P48" s="23" t="s">
        <v>17</v>
      </c>
      <c r="Q48" s="23" t="s">
        <v>17</v>
      </c>
      <c r="R48" s="150" t="s">
        <v>26</v>
      </c>
      <c r="S48" s="20" t="s">
        <v>10</v>
      </c>
      <c r="T48" s="20" t="s">
        <v>11</v>
      </c>
      <c r="U48" s="19">
        <v>0.1</v>
      </c>
      <c r="V48" s="19"/>
      <c r="W48" s="19"/>
      <c r="X48" s="19">
        <v>100</v>
      </c>
      <c r="Y48" s="19">
        <v>310</v>
      </c>
      <c r="Z48" s="19">
        <v>480</v>
      </c>
      <c r="AA48" s="40">
        <v>0.42</v>
      </c>
      <c r="AB48" s="40">
        <v>0.84</v>
      </c>
      <c r="AC48" s="40">
        <v>1.26</v>
      </c>
      <c r="AD48" s="40">
        <v>2.1</v>
      </c>
      <c r="AE48" s="40">
        <v>3.15</v>
      </c>
      <c r="AF48" s="40">
        <v>4.2</v>
      </c>
      <c r="AG48" s="40">
        <v>92.9</v>
      </c>
      <c r="AH48" s="40">
        <v>95</v>
      </c>
      <c r="AI48" s="40">
        <v>95.6</v>
      </c>
      <c r="AJ48" s="40">
        <v>95.9</v>
      </c>
      <c r="AK48" s="40">
        <v>95.8</v>
      </c>
      <c r="AL48" s="40">
        <v>95.4</v>
      </c>
      <c r="AM48" s="40">
        <v>95.6</v>
      </c>
      <c r="AN48" s="40">
        <v>93.5</v>
      </c>
      <c r="AO48" s="40">
        <v>95.8</v>
      </c>
      <c r="AP48" s="40">
        <v>96.3</v>
      </c>
      <c r="AQ48" s="40">
        <v>96.4</v>
      </c>
      <c r="AR48" s="40">
        <v>96.3</v>
      </c>
      <c r="AS48" s="40">
        <v>95.9</v>
      </c>
      <c r="AT48" s="40">
        <v>96.1</v>
      </c>
      <c r="AU48" s="40">
        <v>91.4</v>
      </c>
      <c r="AV48" s="40">
        <v>94.9</v>
      </c>
      <c r="AW48" s="40">
        <v>95.6</v>
      </c>
      <c r="AX48" s="40">
        <v>95.9</v>
      </c>
      <c r="AY48" s="40">
        <v>95.8</v>
      </c>
      <c r="AZ48" s="40">
        <v>95.5</v>
      </c>
      <c r="BA48" s="40">
        <v>95.6</v>
      </c>
      <c r="BB48" s="174">
        <v>42917</v>
      </c>
      <c r="BC48" s="174">
        <v>43388</v>
      </c>
    </row>
    <row r="49" spans="1:55" s="44" customFormat="1" ht="45">
      <c r="A49" s="18" t="s">
        <v>0</v>
      </c>
      <c r="B49" s="18" t="s">
        <v>790</v>
      </c>
      <c r="C49" s="23" t="s">
        <v>10</v>
      </c>
      <c r="D49" s="23" t="s">
        <v>10</v>
      </c>
      <c r="E49" s="23" t="s">
        <v>11</v>
      </c>
      <c r="F49" s="23" t="s">
        <v>11</v>
      </c>
      <c r="G49" s="18" t="s">
        <v>99</v>
      </c>
      <c r="H49" s="19">
        <v>4.2</v>
      </c>
      <c r="I49" s="19">
        <v>240</v>
      </c>
      <c r="J49" s="19">
        <v>96</v>
      </c>
      <c r="K49" s="21" t="s">
        <v>1215</v>
      </c>
      <c r="L49" s="49" t="s">
        <v>753</v>
      </c>
      <c r="M49" s="21" t="s">
        <v>413</v>
      </c>
      <c r="N49" s="174">
        <v>43388</v>
      </c>
      <c r="O49" s="23" t="s">
        <v>17</v>
      </c>
      <c r="P49" s="23" t="s">
        <v>17</v>
      </c>
      <c r="Q49" s="23" t="s">
        <v>17</v>
      </c>
      <c r="R49" s="150" t="s">
        <v>26</v>
      </c>
      <c r="S49" s="20" t="s">
        <v>10</v>
      </c>
      <c r="T49" s="20" t="s">
        <v>11</v>
      </c>
      <c r="U49" s="19">
        <v>0.2</v>
      </c>
      <c r="V49" s="19"/>
      <c r="W49" s="19"/>
      <c r="X49" s="19">
        <v>100</v>
      </c>
      <c r="Y49" s="19">
        <v>340</v>
      </c>
      <c r="Z49" s="19">
        <v>480</v>
      </c>
      <c r="AA49" s="40">
        <v>0.42</v>
      </c>
      <c r="AB49" s="40">
        <v>0.84</v>
      </c>
      <c r="AC49" s="40">
        <v>1.26</v>
      </c>
      <c r="AD49" s="40">
        <v>2.1</v>
      </c>
      <c r="AE49" s="40">
        <v>3.15</v>
      </c>
      <c r="AF49" s="40">
        <v>4.2</v>
      </c>
      <c r="AG49" s="40">
        <v>91.8</v>
      </c>
      <c r="AH49" s="40">
        <v>94.4</v>
      </c>
      <c r="AI49" s="40">
        <v>95.2</v>
      </c>
      <c r="AJ49" s="40">
        <v>95.8</v>
      </c>
      <c r="AK49" s="40">
        <v>95.8</v>
      </c>
      <c r="AL49" s="40">
        <v>95.4</v>
      </c>
      <c r="AM49" s="40">
        <v>95.5</v>
      </c>
      <c r="AN49" s="40">
        <v>93.3</v>
      </c>
      <c r="AO49" s="40">
        <v>95.9</v>
      </c>
      <c r="AP49" s="40">
        <v>96.5</v>
      </c>
      <c r="AQ49" s="40">
        <v>96.7</v>
      </c>
      <c r="AR49" s="40">
        <v>96.7</v>
      </c>
      <c r="AS49" s="40">
        <v>96.5</v>
      </c>
      <c r="AT49" s="40">
        <v>96.5</v>
      </c>
      <c r="AU49" s="40">
        <v>91.3</v>
      </c>
      <c r="AV49" s="40">
        <v>95.1</v>
      </c>
      <c r="AW49" s="40">
        <v>95.9</v>
      </c>
      <c r="AX49" s="40">
        <v>96.3</v>
      </c>
      <c r="AY49" s="40">
        <v>96.4</v>
      </c>
      <c r="AZ49" s="40">
        <v>96.2</v>
      </c>
      <c r="BA49" s="40">
        <v>96</v>
      </c>
      <c r="BB49" s="174">
        <v>42917</v>
      </c>
      <c r="BC49" s="174">
        <v>43388</v>
      </c>
    </row>
    <row r="50" spans="1:55" s="44" customFormat="1" ht="45">
      <c r="A50" s="18" t="s">
        <v>0</v>
      </c>
      <c r="B50" s="18" t="s">
        <v>791</v>
      </c>
      <c r="C50" s="23" t="s">
        <v>10</v>
      </c>
      <c r="D50" s="23" t="s">
        <v>10</v>
      </c>
      <c r="E50" s="23" t="s">
        <v>11</v>
      </c>
      <c r="F50" s="23" t="s">
        <v>11</v>
      </c>
      <c r="G50" s="18" t="s">
        <v>100</v>
      </c>
      <c r="H50" s="19">
        <v>4.2</v>
      </c>
      <c r="I50" s="19">
        <v>277</v>
      </c>
      <c r="J50" s="19">
        <v>96</v>
      </c>
      <c r="K50" s="21" t="s">
        <v>1215</v>
      </c>
      <c r="L50" s="49" t="s">
        <v>753</v>
      </c>
      <c r="M50" s="21" t="s">
        <v>413</v>
      </c>
      <c r="N50" s="174">
        <v>43388</v>
      </c>
      <c r="O50" s="23" t="s">
        <v>17</v>
      </c>
      <c r="P50" s="23" t="s">
        <v>17</v>
      </c>
      <c r="Q50" s="23" t="s">
        <v>17</v>
      </c>
      <c r="R50" s="150" t="s">
        <v>26</v>
      </c>
      <c r="S50" s="20" t="s">
        <v>10</v>
      </c>
      <c r="T50" s="20" t="s">
        <v>11</v>
      </c>
      <c r="U50" s="19">
        <v>0.2</v>
      </c>
      <c r="V50" s="19"/>
      <c r="W50" s="19"/>
      <c r="X50" s="19">
        <v>100</v>
      </c>
      <c r="Y50" s="19">
        <v>395</v>
      </c>
      <c r="Z50" s="19">
        <v>480</v>
      </c>
      <c r="AA50" s="40">
        <v>0.42</v>
      </c>
      <c r="AB50" s="40">
        <v>0.84</v>
      </c>
      <c r="AC50" s="40">
        <v>1.26</v>
      </c>
      <c r="AD50" s="40">
        <v>2.1</v>
      </c>
      <c r="AE50" s="40">
        <v>3.15</v>
      </c>
      <c r="AF50" s="40">
        <v>4.2</v>
      </c>
      <c r="AG50" s="40">
        <v>90.8</v>
      </c>
      <c r="AH50" s="40">
        <v>93.9</v>
      </c>
      <c r="AI50" s="40">
        <v>94.8</v>
      </c>
      <c r="AJ50" s="40">
        <v>95.6</v>
      </c>
      <c r="AK50" s="40">
        <v>95.7</v>
      </c>
      <c r="AL50" s="40">
        <v>95.6</v>
      </c>
      <c r="AM50" s="40">
        <v>95.3</v>
      </c>
      <c r="AN50" s="40">
        <v>92.8</v>
      </c>
      <c r="AO50" s="40">
        <v>95.8</v>
      </c>
      <c r="AP50" s="40">
        <v>96.6</v>
      </c>
      <c r="AQ50" s="40">
        <v>97</v>
      </c>
      <c r="AR50" s="40">
        <v>97</v>
      </c>
      <c r="AS50" s="40">
        <v>96.9</v>
      </c>
      <c r="AT50" s="40">
        <v>96.7</v>
      </c>
      <c r="AU50" s="40">
        <v>91.6</v>
      </c>
      <c r="AV50" s="40">
        <v>95.4</v>
      </c>
      <c r="AW50" s="40">
        <v>96.2</v>
      </c>
      <c r="AX50" s="40">
        <v>96.7</v>
      </c>
      <c r="AY50" s="40">
        <v>96.8</v>
      </c>
      <c r="AZ50" s="40">
        <v>96.7</v>
      </c>
      <c r="BA50" s="40">
        <v>96.4</v>
      </c>
      <c r="BB50" s="174">
        <v>42917</v>
      </c>
      <c r="BC50" s="174">
        <v>43388</v>
      </c>
    </row>
    <row r="51" spans="1:55" s="44" customFormat="1" ht="45">
      <c r="A51" s="18" t="s">
        <v>0</v>
      </c>
      <c r="B51" s="18" t="s">
        <v>330</v>
      </c>
      <c r="C51" s="23" t="s">
        <v>10</v>
      </c>
      <c r="D51" s="23" t="s">
        <v>10</v>
      </c>
      <c r="E51" s="23" t="s">
        <v>11</v>
      </c>
      <c r="F51" s="23" t="s">
        <v>11</v>
      </c>
      <c r="G51" s="18" t="s">
        <v>105</v>
      </c>
      <c r="H51" s="19">
        <v>5</v>
      </c>
      <c r="I51" s="19">
        <v>208</v>
      </c>
      <c r="J51" s="19">
        <v>96</v>
      </c>
      <c r="K51" s="21" t="s">
        <v>1215</v>
      </c>
      <c r="L51" s="49" t="s">
        <v>416</v>
      </c>
      <c r="M51" s="21" t="s">
        <v>417</v>
      </c>
      <c r="N51" s="174">
        <v>43388</v>
      </c>
      <c r="O51" s="23" t="s">
        <v>17</v>
      </c>
      <c r="P51" s="23" t="s">
        <v>17</v>
      </c>
      <c r="Q51" s="23" t="s">
        <v>17</v>
      </c>
      <c r="R51" s="150" t="s">
        <v>26</v>
      </c>
      <c r="S51" s="20" t="s">
        <v>10</v>
      </c>
      <c r="T51" s="20" t="s">
        <v>11</v>
      </c>
      <c r="U51" s="19">
        <v>0.18</v>
      </c>
      <c r="V51" s="19"/>
      <c r="W51" s="19"/>
      <c r="X51" s="19">
        <v>100</v>
      </c>
      <c r="Y51" s="19">
        <v>310</v>
      </c>
      <c r="Z51" s="19">
        <v>480</v>
      </c>
      <c r="AA51" s="40">
        <v>0.5</v>
      </c>
      <c r="AB51" s="40">
        <v>1</v>
      </c>
      <c r="AC51" s="40">
        <v>1.5</v>
      </c>
      <c r="AD51" s="40">
        <v>2.5</v>
      </c>
      <c r="AE51" s="40">
        <v>3.75</v>
      </c>
      <c r="AF51" s="40">
        <v>5</v>
      </c>
      <c r="AG51" s="40">
        <v>93.4</v>
      </c>
      <c r="AH51" s="40">
        <v>95.7</v>
      </c>
      <c r="AI51" s="40">
        <v>96.2</v>
      </c>
      <c r="AJ51" s="40">
        <v>96.4</v>
      </c>
      <c r="AK51" s="40">
        <v>96.2</v>
      </c>
      <c r="AL51" s="40">
        <v>95.8</v>
      </c>
      <c r="AM51" s="40">
        <v>96.1</v>
      </c>
      <c r="AN51" s="40">
        <v>93.6</v>
      </c>
      <c r="AO51" s="40">
        <v>95.9</v>
      </c>
      <c r="AP51" s="40">
        <v>96.5</v>
      </c>
      <c r="AQ51" s="40">
        <v>96.7</v>
      </c>
      <c r="AR51" s="40">
        <v>96.6</v>
      </c>
      <c r="AS51" s="40">
        <v>96.3</v>
      </c>
      <c r="AT51" s="40">
        <v>96.4</v>
      </c>
      <c r="AU51" s="40">
        <v>90.9</v>
      </c>
      <c r="AV51" s="40">
        <v>94.7</v>
      </c>
      <c r="AW51" s="40">
        <v>95.6</v>
      </c>
      <c r="AX51" s="40">
        <v>96.1</v>
      </c>
      <c r="AY51" s="40">
        <v>96.1</v>
      </c>
      <c r="AZ51" s="40">
        <v>95.9</v>
      </c>
      <c r="BA51" s="40">
        <v>95.8</v>
      </c>
      <c r="BB51" s="174">
        <v>42917</v>
      </c>
      <c r="BC51" s="174">
        <v>43388</v>
      </c>
    </row>
    <row r="52" spans="1:55" s="44" customFormat="1" ht="45">
      <c r="A52" s="18" t="s">
        <v>0</v>
      </c>
      <c r="B52" s="18" t="s">
        <v>331</v>
      </c>
      <c r="C52" s="23" t="s">
        <v>10</v>
      </c>
      <c r="D52" s="23" t="s">
        <v>10</v>
      </c>
      <c r="E52" s="23" t="s">
        <v>11</v>
      </c>
      <c r="F52" s="23" t="s">
        <v>11</v>
      </c>
      <c r="G52" s="18" t="s">
        <v>106</v>
      </c>
      <c r="H52" s="19">
        <v>5</v>
      </c>
      <c r="I52" s="19">
        <v>240</v>
      </c>
      <c r="J52" s="19">
        <v>96.5</v>
      </c>
      <c r="K52" s="21" t="s">
        <v>1215</v>
      </c>
      <c r="L52" s="49" t="s">
        <v>416</v>
      </c>
      <c r="M52" s="21" t="s">
        <v>417</v>
      </c>
      <c r="N52" s="174">
        <v>43388</v>
      </c>
      <c r="O52" s="23" t="s">
        <v>17</v>
      </c>
      <c r="P52" s="23" t="s">
        <v>17</v>
      </c>
      <c r="Q52" s="23" t="s">
        <v>17</v>
      </c>
      <c r="R52" s="150" t="s">
        <v>26</v>
      </c>
      <c r="S52" s="20" t="s">
        <v>10</v>
      </c>
      <c r="T52" s="20" t="s">
        <v>11</v>
      </c>
      <c r="U52" s="19">
        <v>0.24</v>
      </c>
      <c r="V52" s="19"/>
      <c r="W52" s="19"/>
      <c r="X52" s="19">
        <v>100</v>
      </c>
      <c r="Y52" s="19">
        <v>345</v>
      </c>
      <c r="Z52" s="19">
        <v>480</v>
      </c>
      <c r="AA52" s="40">
        <v>0.5</v>
      </c>
      <c r="AB52" s="40">
        <v>1</v>
      </c>
      <c r="AC52" s="40">
        <v>1.5</v>
      </c>
      <c r="AD52" s="40">
        <v>2.5</v>
      </c>
      <c r="AE52" s="40">
        <v>3.75</v>
      </c>
      <c r="AF52" s="40">
        <v>5</v>
      </c>
      <c r="AG52" s="40">
        <v>92.5</v>
      </c>
      <c r="AH52" s="40">
        <v>95.5</v>
      </c>
      <c r="AI52" s="40">
        <v>96.1</v>
      </c>
      <c r="AJ52" s="40">
        <v>96.4</v>
      </c>
      <c r="AK52" s="40">
        <v>96.3</v>
      </c>
      <c r="AL52" s="40">
        <v>96</v>
      </c>
      <c r="AM52" s="40">
        <v>96.1</v>
      </c>
      <c r="AN52" s="40">
        <v>93.8</v>
      </c>
      <c r="AO52" s="40">
        <v>96.2</v>
      </c>
      <c r="AP52" s="40">
        <v>96.7</v>
      </c>
      <c r="AQ52" s="40">
        <v>97</v>
      </c>
      <c r="AR52" s="40">
        <v>96.9</v>
      </c>
      <c r="AS52" s="40">
        <v>96.6</v>
      </c>
      <c r="AT52" s="40">
        <v>96.7</v>
      </c>
      <c r="AU52" s="40">
        <v>91.5</v>
      </c>
      <c r="AV52" s="40">
        <v>95</v>
      </c>
      <c r="AW52" s="40">
        <v>95.9</v>
      </c>
      <c r="AX52" s="40">
        <v>96.4</v>
      </c>
      <c r="AY52" s="40">
        <v>96.5</v>
      </c>
      <c r="AZ52" s="40">
        <v>96.3</v>
      </c>
      <c r="BA52" s="40">
        <v>96.1</v>
      </c>
      <c r="BB52" s="174">
        <v>42917</v>
      </c>
      <c r="BC52" s="174">
        <v>43388</v>
      </c>
    </row>
    <row r="53" spans="1:55" s="44" customFormat="1" ht="45">
      <c r="A53" s="18" t="s">
        <v>0</v>
      </c>
      <c r="B53" s="18" t="s">
        <v>332</v>
      </c>
      <c r="C53" s="23" t="s">
        <v>10</v>
      </c>
      <c r="D53" s="23" t="s">
        <v>10</v>
      </c>
      <c r="E53" s="23" t="s">
        <v>11</v>
      </c>
      <c r="F53" s="23" t="s">
        <v>11</v>
      </c>
      <c r="G53" s="18" t="s">
        <v>107</v>
      </c>
      <c r="H53" s="19">
        <v>5</v>
      </c>
      <c r="I53" s="19">
        <v>277</v>
      </c>
      <c r="J53" s="19">
        <v>96.5</v>
      </c>
      <c r="K53" s="21" t="s">
        <v>1215</v>
      </c>
      <c r="L53" s="49" t="s">
        <v>416</v>
      </c>
      <c r="M53" s="21" t="s">
        <v>417</v>
      </c>
      <c r="N53" s="174">
        <v>43388</v>
      </c>
      <c r="O53" s="23" t="s">
        <v>17</v>
      </c>
      <c r="P53" s="23" t="s">
        <v>17</v>
      </c>
      <c r="Q53" s="23" t="s">
        <v>17</v>
      </c>
      <c r="R53" s="150" t="s">
        <v>26</v>
      </c>
      <c r="S53" s="20" t="s">
        <v>10</v>
      </c>
      <c r="T53" s="20" t="s">
        <v>11</v>
      </c>
      <c r="U53" s="19">
        <v>0.32</v>
      </c>
      <c r="V53" s="19"/>
      <c r="W53" s="19"/>
      <c r="X53" s="19">
        <v>100</v>
      </c>
      <c r="Y53" s="19">
        <v>400</v>
      </c>
      <c r="Z53" s="19">
        <v>480</v>
      </c>
      <c r="AA53" s="40">
        <v>0.5</v>
      </c>
      <c r="AB53" s="40">
        <v>1</v>
      </c>
      <c r="AC53" s="40">
        <v>1.5</v>
      </c>
      <c r="AD53" s="40">
        <v>2.5</v>
      </c>
      <c r="AE53" s="40">
        <v>3.75</v>
      </c>
      <c r="AF53" s="40">
        <v>5</v>
      </c>
      <c r="AG53" s="40">
        <v>91.6</v>
      </c>
      <c r="AH53" s="40">
        <v>95</v>
      </c>
      <c r="AI53" s="40">
        <v>95.9</v>
      </c>
      <c r="AJ53" s="40">
        <v>96.4</v>
      </c>
      <c r="AK53" s="40">
        <v>96.5</v>
      </c>
      <c r="AL53" s="40">
        <v>96.3</v>
      </c>
      <c r="AM53" s="40">
        <v>96.1</v>
      </c>
      <c r="AN53" s="40">
        <v>92.5</v>
      </c>
      <c r="AO53" s="40">
        <v>95.7</v>
      </c>
      <c r="AP53" s="40">
        <v>96.5</v>
      </c>
      <c r="AQ53" s="40">
        <v>97.1</v>
      </c>
      <c r="AR53" s="40">
        <v>97.1</v>
      </c>
      <c r="AS53" s="40">
        <v>97</v>
      </c>
      <c r="AT53" s="40">
        <v>96.8</v>
      </c>
      <c r="AU53" s="40">
        <v>90.9</v>
      </c>
      <c r="AV53" s="40">
        <v>95</v>
      </c>
      <c r="AW53" s="40">
        <v>95.9</v>
      </c>
      <c r="AX53" s="40">
        <v>96.7</v>
      </c>
      <c r="AY53" s="40">
        <v>96.9</v>
      </c>
      <c r="AZ53" s="40">
        <v>96.9</v>
      </c>
      <c r="BA53" s="40">
        <v>96.4</v>
      </c>
      <c r="BB53" s="174">
        <v>42917</v>
      </c>
      <c r="BC53" s="174">
        <v>43388</v>
      </c>
    </row>
    <row r="54" spans="1:55" s="44" customFormat="1" ht="45">
      <c r="A54" s="18" t="s">
        <v>0</v>
      </c>
      <c r="B54" s="18" t="s">
        <v>333</v>
      </c>
      <c r="C54" s="23" t="s">
        <v>10</v>
      </c>
      <c r="D54" s="23" t="s">
        <v>10</v>
      </c>
      <c r="E54" s="23" t="s">
        <v>11</v>
      </c>
      <c r="F54" s="23" t="s">
        <v>11</v>
      </c>
      <c r="G54" s="18" t="s">
        <v>108</v>
      </c>
      <c r="H54" s="19">
        <v>5</v>
      </c>
      <c r="I54" s="19">
        <v>208</v>
      </c>
      <c r="J54" s="19">
        <v>96</v>
      </c>
      <c r="K54" s="21" t="s">
        <v>1215</v>
      </c>
      <c r="L54" s="49" t="s">
        <v>416</v>
      </c>
      <c r="M54" s="21" t="s">
        <v>417</v>
      </c>
      <c r="N54" s="174">
        <v>43388</v>
      </c>
      <c r="O54" s="23" t="s">
        <v>17</v>
      </c>
      <c r="P54" s="23" t="s">
        <v>17</v>
      </c>
      <c r="Q54" s="23" t="s">
        <v>17</v>
      </c>
      <c r="R54" s="150" t="s">
        <v>26</v>
      </c>
      <c r="S54" s="20" t="s">
        <v>10</v>
      </c>
      <c r="T54" s="20" t="s">
        <v>11</v>
      </c>
      <c r="U54" s="19">
        <v>0.18</v>
      </c>
      <c r="V54" s="19"/>
      <c r="W54" s="19"/>
      <c r="X54" s="19">
        <v>100</v>
      </c>
      <c r="Y54" s="19">
        <v>310</v>
      </c>
      <c r="Z54" s="19">
        <v>480</v>
      </c>
      <c r="AA54" s="40">
        <v>0.5</v>
      </c>
      <c r="AB54" s="40">
        <v>1</v>
      </c>
      <c r="AC54" s="40">
        <v>1.5</v>
      </c>
      <c r="AD54" s="40">
        <v>2.5</v>
      </c>
      <c r="AE54" s="40">
        <v>3.75</v>
      </c>
      <c r="AF54" s="40">
        <v>5</v>
      </c>
      <c r="AG54" s="40">
        <v>93.4</v>
      </c>
      <c r="AH54" s="40">
        <v>95.7</v>
      </c>
      <c r="AI54" s="40">
        <v>96.2</v>
      </c>
      <c r="AJ54" s="40">
        <v>96.4</v>
      </c>
      <c r="AK54" s="40">
        <v>96.2</v>
      </c>
      <c r="AL54" s="40">
        <v>95.8</v>
      </c>
      <c r="AM54" s="40">
        <v>96.1</v>
      </c>
      <c r="AN54" s="40">
        <v>93.6</v>
      </c>
      <c r="AO54" s="40">
        <v>95.9</v>
      </c>
      <c r="AP54" s="40">
        <v>96.5</v>
      </c>
      <c r="AQ54" s="40">
        <v>96.7</v>
      </c>
      <c r="AR54" s="40">
        <v>96.6</v>
      </c>
      <c r="AS54" s="40">
        <v>96.3</v>
      </c>
      <c r="AT54" s="40">
        <v>96.4</v>
      </c>
      <c r="AU54" s="40">
        <v>90.9</v>
      </c>
      <c r="AV54" s="40">
        <v>94.7</v>
      </c>
      <c r="AW54" s="40">
        <v>95.6</v>
      </c>
      <c r="AX54" s="40">
        <v>96.1</v>
      </c>
      <c r="AY54" s="40">
        <v>96.1</v>
      </c>
      <c r="AZ54" s="40">
        <v>95.9</v>
      </c>
      <c r="BA54" s="40">
        <v>95.8</v>
      </c>
      <c r="BB54" s="174">
        <v>42917</v>
      </c>
      <c r="BC54" s="174">
        <v>43388</v>
      </c>
    </row>
    <row r="55" spans="1:55" s="44" customFormat="1" ht="45">
      <c r="A55" s="18" t="s">
        <v>0</v>
      </c>
      <c r="B55" s="18" t="s">
        <v>334</v>
      </c>
      <c r="C55" s="23" t="s">
        <v>10</v>
      </c>
      <c r="D55" s="23" t="s">
        <v>10</v>
      </c>
      <c r="E55" s="23" t="s">
        <v>11</v>
      </c>
      <c r="F55" s="23" t="s">
        <v>11</v>
      </c>
      <c r="G55" s="18" t="s">
        <v>109</v>
      </c>
      <c r="H55" s="19">
        <v>5</v>
      </c>
      <c r="I55" s="19">
        <v>240</v>
      </c>
      <c r="J55" s="19">
        <v>96.5</v>
      </c>
      <c r="K55" s="21" t="s">
        <v>1215</v>
      </c>
      <c r="L55" s="49" t="s">
        <v>416</v>
      </c>
      <c r="M55" s="21" t="s">
        <v>417</v>
      </c>
      <c r="N55" s="174">
        <v>43388</v>
      </c>
      <c r="O55" s="23" t="s">
        <v>17</v>
      </c>
      <c r="P55" s="23" t="s">
        <v>17</v>
      </c>
      <c r="Q55" s="23" t="s">
        <v>17</v>
      </c>
      <c r="R55" s="150" t="s">
        <v>26</v>
      </c>
      <c r="S55" s="20" t="s">
        <v>10</v>
      </c>
      <c r="T55" s="20" t="s">
        <v>11</v>
      </c>
      <c r="U55" s="19">
        <v>0.24</v>
      </c>
      <c r="V55" s="19"/>
      <c r="W55" s="19"/>
      <c r="X55" s="19">
        <v>100</v>
      </c>
      <c r="Y55" s="19">
        <v>345</v>
      </c>
      <c r="Z55" s="19">
        <v>480</v>
      </c>
      <c r="AA55" s="40">
        <v>0.5</v>
      </c>
      <c r="AB55" s="40">
        <v>1</v>
      </c>
      <c r="AC55" s="40">
        <v>1.5</v>
      </c>
      <c r="AD55" s="40">
        <v>2.5</v>
      </c>
      <c r="AE55" s="40">
        <v>3.75</v>
      </c>
      <c r="AF55" s="40">
        <v>5</v>
      </c>
      <c r="AG55" s="40">
        <v>92.5</v>
      </c>
      <c r="AH55" s="40">
        <v>95.5</v>
      </c>
      <c r="AI55" s="40">
        <v>96.1</v>
      </c>
      <c r="AJ55" s="40">
        <v>96.4</v>
      </c>
      <c r="AK55" s="40">
        <v>96.3</v>
      </c>
      <c r="AL55" s="40">
        <v>96</v>
      </c>
      <c r="AM55" s="40">
        <v>96.1</v>
      </c>
      <c r="AN55" s="40">
        <v>93.8</v>
      </c>
      <c r="AO55" s="40">
        <v>96.2</v>
      </c>
      <c r="AP55" s="40">
        <v>96.7</v>
      </c>
      <c r="AQ55" s="40">
        <v>97</v>
      </c>
      <c r="AR55" s="40">
        <v>96.9</v>
      </c>
      <c r="AS55" s="40">
        <v>96.6</v>
      </c>
      <c r="AT55" s="40">
        <v>96.7</v>
      </c>
      <c r="AU55" s="40">
        <v>91.5</v>
      </c>
      <c r="AV55" s="40">
        <v>95</v>
      </c>
      <c r="AW55" s="40">
        <v>95.9</v>
      </c>
      <c r="AX55" s="40">
        <v>96.4</v>
      </c>
      <c r="AY55" s="40">
        <v>96.5</v>
      </c>
      <c r="AZ55" s="40">
        <v>96.3</v>
      </c>
      <c r="BA55" s="40">
        <v>96.1</v>
      </c>
      <c r="BB55" s="174">
        <v>42917</v>
      </c>
      <c r="BC55" s="174">
        <v>43388</v>
      </c>
    </row>
    <row r="56" spans="1:55" s="44" customFormat="1" ht="45">
      <c r="A56" s="18" t="s">
        <v>0</v>
      </c>
      <c r="B56" s="18" t="s">
        <v>335</v>
      </c>
      <c r="C56" s="23" t="s">
        <v>10</v>
      </c>
      <c r="D56" s="23" t="s">
        <v>10</v>
      </c>
      <c r="E56" s="23" t="s">
        <v>11</v>
      </c>
      <c r="F56" s="23" t="s">
        <v>11</v>
      </c>
      <c r="G56" s="18" t="s">
        <v>110</v>
      </c>
      <c r="H56" s="19">
        <v>5</v>
      </c>
      <c r="I56" s="19">
        <v>277</v>
      </c>
      <c r="J56" s="19">
        <v>96.5</v>
      </c>
      <c r="K56" s="21" t="s">
        <v>1215</v>
      </c>
      <c r="L56" s="49" t="s">
        <v>416</v>
      </c>
      <c r="M56" s="21" t="s">
        <v>417</v>
      </c>
      <c r="N56" s="174">
        <v>43388</v>
      </c>
      <c r="O56" s="23" t="s">
        <v>17</v>
      </c>
      <c r="P56" s="23" t="s">
        <v>17</v>
      </c>
      <c r="Q56" s="23" t="s">
        <v>17</v>
      </c>
      <c r="R56" s="150" t="s">
        <v>26</v>
      </c>
      <c r="S56" s="20" t="s">
        <v>10</v>
      </c>
      <c r="T56" s="20" t="s">
        <v>11</v>
      </c>
      <c r="U56" s="19">
        <v>0.32</v>
      </c>
      <c r="V56" s="19"/>
      <c r="W56" s="19"/>
      <c r="X56" s="19">
        <v>100</v>
      </c>
      <c r="Y56" s="19">
        <v>400</v>
      </c>
      <c r="Z56" s="19">
        <v>480</v>
      </c>
      <c r="AA56" s="40">
        <v>0.5</v>
      </c>
      <c r="AB56" s="40">
        <v>1</v>
      </c>
      <c r="AC56" s="40">
        <v>1.5</v>
      </c>
      <c r="AD56" s="40">
        <v>2.5</v>
      </c>
      <c r="AE56" s="40">
        <v>3.75</v>
      </c>
      <c r="AF56" s="40">
        <v>5</v>
      </c>
      <c r="AG56" s="40">
        <v>91.6</v>
      </c>
      <c r="AH56" s="40">
        <v>95</v>
      </c>
      <c r="AI56" s="40">
        <v>95.9</v>
      </c>
      <c r="AJ56" s="40">
        <v>96.4</v>
      </c>
      <c r="AK56" s="40">
        <v>96.5</v>
      </c>
      <c r="AL56" s="40">
        <v>96.3</v>
      </c>
      <c r="AM56" s="40">
        <v>96.1</v>
      </c>
      <c r="AN56" s="40">
        <v>92.5</v>
      </c>
      <c r="AO56" s="40">
        <v>95.7</v>
      </c>
      <c r="AP56" s="40">
        <v>96.5</v>
      </c>
      <c r="AQ56" s="40">
        <v>97.1</v>
      </c>
      <c r="AR56" s="40">
        <v>97.1</v>
      </c>
      <c r="AS56" s="40">
        <v>97</v>
      </c>
      <c r="AT56" s="40">
        <v>96.8</v>
      </c>
      <c r="AU56" s="40">
        <v>90.9</v>
      </c>
      <c r="AV56" s="40">
        <v>95</v>
      </c>
      <c r="AW56" s="40">
        <v>95.9</v>
      </c>
      <c r="AX56" s="40">
        <v>96.7</v>
      </c>
      <c r="AY56" s="40">
        <v>96.9</v>
      </c>
      <c r="AZ56" s="40">
        <v>96.9</v>
      </c>
      <c r="BA56" s="40">
        <v>96.4</v>
      </c>
      <c r="BB56" s="174">
        <v>42917</v>
      </c>
      <c r="BC56" s="174">
        <v>43388</v>
      </c>
    </row>
    <row r="57" spans="1:55" s="44" customFormat="1" ht="45">
      <c r="A57" s="18" t="s">
        <v>0</v>
      </c>
      <c r="B57" s="18" t="s">
        <v>804</v>
      </c>
      <c r="C57" s="23" t="s">
        <v>10</v>
      </c>
      <c r="D57" s="23" t="s">
        <v>10</v>
      </c>
      <c r="E57" s="23" t="s">
        <v>11</v>
      </c>
      <c r="F57" s="23" t="s">
        <v>11</v>
      </c>
      <c r="G57" s="18" t="s">
        <v>111</v>
      </c>
      <c r="H57" s="19">
        <v>5</v>
      </c>
      <c r="I57" s="19">
        <v>208</v>
      </c>
      <c r="J57" s="19">
        <v>96</v>
      </c>
      <c r="K57" s="21" t="s">
        <v>1215</v>
      </c>
      <c r="L57" s="49" t="s">
        <v>416</v>
      </c>
      <c r="M57" s="21" t="s">
        <v>417</v>
      </c>
      <c r="N57" s="174">
        <v>43388</v>
      </c>
      <c r="O57" s="23" t="s">
        <v>17</v>
      </c>
      <c r="P57" s="23" t="s">
        <v>17</v>
      </c>
      <c r="Q57" s="23" t="s">
        <v>17</v>
      </c>
      <c r="R57" s="150" t="s">
        <v>26</v>
      </c>
      <c r="S57" s="20" t="s">
        <v>10</v>
      </c>
      <c r="T57" s="20" t="s">
        <v>11</v>
      </c>
      <c r="U57" s="19">
        <v>0.18</v>
      </c>
      <c r="V57" s="19"/>
      <c r="W57" s="19"/>
      <c r="X57" s="125">
        <v>100</v>
      </c>
      <c r="Y57" s="19">
        <v>310</v>
      </c>
      <c r="Z57" s="19">
        <v>480</v>
      </c>
      <c r="AA57" s="40">
        <v>0.5</v>
      </c>
      <c r="AB57" s="40">
        <v>1</v>
      </c>
      <c r="AC57" s="40">
        <v>1.5</v>
      </c>
      <c r="AD57" s="40">
        <v>2.5</v>
      </c>
      <c r="AE57" s="40">
        <v>3.75</v>
      </c>
      <c r="AF57" s="40">
        <v>5</v>
      </c>
      <c r="AG57" s="40">
        <v>93.4</v>
      </c>
      <c r="AH57" s="40">
        <v>95.7</v>
      </c>
      <c r="AI57" s="40">
        <v>96.2</v>
      </c>
      <c r="AJ57" s="40">
        <v>96.4</v>
      </c>
      <c r="AK57" s="40">
        <v>96.2</v>
      </c>
      <c r="AL57" s="40">
        <v>95.8</v>
      </c>
      <c r="AM57" s="40">
        <v>96.1</v>
      </c>
      <c r="AN57" s="40">
        <v>93.6</v>
      </c>
      <c r="AO57" s="40">
        <v>95.9</v>
      </c>
      <c r="AP57" s="40">
        <v>96.5</v>
      </c>
      <c r="AQ57" s="40">
        <v>96.7</v>
      </c>
      <c r="AR57" s="40">
        <v>96.6</v>
      </c>
      <c r="AS57" s="40">
        <v>96.3</v>
      </c>
      <c r="AT57" s="40">
        <v>96.4</v>
      </c>
      <c r="AU57" s="40">
        <v>90.9</v>
      </c>
      <c r="AV57" s="40">
        <v>94.7</v>
      </c>
      <c r="AW57" s="40">
        <v>95.6</v>
      </c>
      <c r="AX57" s="40">
        <v>96.1</v>
      </c>
      <c r="AY57" s="40">
        <v>96.1</v>
      </c>
      <c r="AZ57" s="40">
        <v>95.9</v>
      </c>
      <c r="BA57" s="40">
        <v>95.8</v>
      </c>
      <c r="BB57" s="174">
        <v>42917</v>
      </c>
      <c r="BC57" s="174">
        <v>43388</v>
      </c>
    </row>
    <row r="58" spans="1:55" s="44" customFormat="1" ht="45">
      <c r="A58" s="18" t="s">
        <v>0</v>
      </c>
      <c r="B58" s="18" t="s">
        <v>805</v>
      </c>
      <c r="C58" s="23" t="s">
        <v>10</v>
      </c>
      <c r="D58" s="23" t="s">
        <v>10</v>
      </c>
      <c r="E58" s="23" t="s">
        <v>11</v>
      </c>
      <c r="F58" s="23" t="s">
        <v>11</v>
      </c>
      <c r="G58" s="18" t="s">
        <v>112</v>
      </c>
      <c r="H58" s="19">
        <v>5</v>
      </c>
      <c r="I58" s="19">
        <v>240</v>
      </c>
      <c r="J58" s="19">
        <v>96.5</v>
      </c>
      <c r="K58" s="21" t="s">
        <v>1215</v>
      </c>
      <c r="L58" s="49" t="s">
        <v>416</v>
      </c>
      <c r="M58" s="21" t="s">
        <v>417</v>
      </c>
      <c r="N58" s="174">
        <v>43388</v>
      </c>
      <c r="O58" s="23" t="s">
        <v>17</v>
      </c>
      <c r="P58" s="23" t="s">
        <v>17</v>
      </c>
      <c r="Q58" s="23" t="s">
        <v>17</v>
      </c>
      <c r="R58" s="150" t="s">
        <v>26</v>
      </c>
      <c r="S58" s="20" t="s">
        <v>10</v>
      </c>
      <c r="T58" s="20" t="s">
        <v>11</v>
      </c>
      <c r="U58" s="19">
        <v>0.24</v>
      </c>
      <c r="V58" s="19"/>
      <c r="W58" s="19"/>
      <c r="X58" s="125">
        <v>100</v>
      </c>
      <c r="Y58" s="19">
        <v>345</v>
      </c>
      <c r="Z58" s="19">
        <v>480</v>
      </c>
      <c r="AA58" s="40">
        <v>0.5</v>
      </c>
      <c r="AB58" s="40">
        <v>1</v>
      </c>
      <c r="AC58" s="40">
        <v>1.5</v>
      </c>
      <c r="AD58" s="40">
        <v>2.5</v>
      </c>
      <c r="AE58" s="40">
        <v>3.75</v>
      </c>
      <c r="AF58" s="40">
        <v>5</v>
      </c>
      <c r="AG58" s="40">
        <v>92.5</v>
      </c>
      <c r="AH58" s="40">
        <v>95.5</v>
      </c>
      <c r="AI58" s="40">
        <v>96.1</v>
      </c>
      <c r="AJ58" s="40">
        <v>96.4</v>
      </c>
      <c r="AK58" s="40">
        <v>96.3</v>
      </c>
      <c r="AL58" s="40">
        <v>96</v>
      </c>
      <c r="AM58" s="40">
        <v>96.1</v>
      </c>
      <c r="AN58" s="40">
        <v>93.8</v>
      </c>
      <c r="AO58" s="40">
        <v>96.2</v>
      </c>
      <c r="AP58" s="40">
        <v>96.7</v>
      </c>
      <c r="AQ58" s="40">
        <v>97</v>
      </c>
      <c r="AR58" s="40">
        <v>96.9</v>
      </c>
      <c r="AS58" s="40">
        <v>96.6</v>
      </c>
      <c r="AT58" s="40">
        <v>96.7</v>
      </c>
      <c r="AU58" s="40">
        <v>91.5</v>
      </c>
      <c r="AV58" s="40">
        <v>95</v>
      </c>
      <c r="AW58" s="40">
        <v>95.9</v>
      </c>
      <c r="AX58" s="40">
        <v>96.4</v>
      </c>
      <c r="AY58" s="40">
        <v>96.5</v>
      </c>
      <c r="AZ58" s="40">
        <v>96.3</v>
      </c>
      <c r="BA58" s="40">
        <v>96.1</v>
      </c>
      <c r="BB58" s="174">
        <v>42917</v>
      </c>
      <c r="BC58" s="174">
        <v>43388</v>
      </c>
    </row>
    <row r="59" spans="1:55" s="44" customFormat="1" ht="45">
      <c r="A59" s="18" t="s">
        <v>0</v>
      </c>
      <c r="B59" s="18" t="s">
        <v>806</v>
      </c>
      <c r="C59" s="23" t="s">
        <v>10</v>
      </c>
      <c r="D59" s="23" t="s">
        <v>10</v>
      </c>
      <c r="E59" s="23" t="s">
        <v>11</v>
      </c>
      <c r="F59" s="23" t="s">
        <v>11</v>
      </c>
      <c r="G59" s="18" t="s">
        <v>113</v>
      </c>
      <c r="H59" s="19">
        <v>5</v>
      </c>
      <c r="I59" s="19">
        <v>277</v>
      </c>
      <c r="J59" s="19">
        <v>96.5</v>
      </c>
      <c r="K59" s="21" t="s">
        <v>1215</v>
      </c>
      <c r="L59" s="49" t="s">
        <v>416</v>
      </c>
      <c r="M59" s="21" t="s">
        <v>417</v>
      </c>
      <c r="N59" s="174">
        <v>43388</v>
      </c>
      <c r="O59" s="23" t="s">
        <v>17</v>
      </c>
      <c r="P59" s="23" t="s">
        <v>17</v>
      </c>
      <c r="Q59" s="23" t="s">
        <v>17</v>
      </c>
      <c r="R59" s="150" t="s">
        <v>26</v>
      </c>
      <c r="S59" s="20" t="s">
        <v>10</v>
      </c>
      <c r="T59" s="20" t="s">
        <v>11</v>
      </c>
      <c r="U59" s="19">
        <v>0.32</v>
      </c>
      <c r="V59" s="19"/>
      <c r="W59" s="19"/>
      <c r="X59" s="125">
        <v>100</v>
      </c>
      <c r="Y59" s="19">
        <v>400</v>
      </c>
      <c r="Z59" s="19">
        <v>480</v>
      </c>
      <c r="AA59" s="40">
        <v>0.5</v>
      </c>
      <c r="AB59" s="40">
        <v>1</v>
      </c>
      <c r="AC59" s="40">
        <v>1.5</v>
      </c>
      <c r="AD59" s="40">
        <v>2.5</v>
      </c>
      <c r="AE59" s="40">
        <v>3.75</v>
      </c>
      <c r="AF59" s="40">
        <v>5</v>
      </c>
      <c r="AG59" s="40">
        <v>91.6</v>
      </c>
      <c r="AH59" s="40">
        <v>95</v>
      </c>
      <c r="AI59" s="40">
        <v>95.9</v>
      </c>
      <c r="AJ59" s="40">
        <v>96.4</v>
      </c>
      <c r="AK59" s="40">
        <v>96.5</v>
      </c>
      <c r="AL59" s="40">
        <v>96.3</v>
      </c>
      <c r="AM59" s="40">
        <v>96.1</v>
      </c>
      <c r="AN59" s="40">
        <v>92.5</v>
      </c>
      <c r="AO59" s="40">
        <v>95.7</v>
      </c>
      <c r="AP59" s="40">
        <v>96.5</v>
      </c>
      <c r="AQ59" s="40">
        <v>97.1</v>
      </c>
      <c r="AR59" s="40">
        <v>97.1</v>
      </c>
      <c r="AS59" s="40">
        <v>97</v>
      </c>
      <c r="AT59" s="40">
        <v>96.8</v>
      </c>
      <c r="AU59" s="40">
        <v>90.9</v>
      </c>
      <c r="AV59" s="40">
        <v>95</v>
      </c>
      <c r="AW59" s="40">
        <v>95.9</v>
      </c>
      <c r="AX59" s="40">
        <v>96.7</v>
      </c>
      <c r="AY59" s="40">
        <v>96.9</v>
      </c>
      <c r="AZ59" s="40">
        <v>96.9</v>
      </c>
      <c r="BA59" s="40">
        <v>96.4</v>
      </c>
      <c r="BB59" s="174">
        <v>42917</v>
      </c>
      <c r="BC59" s="174">
        <v>43388</v>
      </c>
    </row>
    <row r="60" spans="1:55" s="44" customFormat="1" ht="45">
      <c r="A60" s="18" t="s">
        <v>0</v>
      </c>
      <c r="B60" s="18" t="s">
        <v>336</v>
      </c>
      <c r="C60" s="23" t="s">
        <v>10</v>
      </c>
      <c r="D60" s="23" t="s">
        <v>10</v>
      </c>
      <c r="E60" s="23" t="s">
        <v>11</v>
      </c>
      <c r="F60" s="23" t="s">
        <v>11</v>
      </c>
      <c r="G60" s="18" t="s">
        <v>114</v>
      </c>
      <c r="H60" s="19">
        <v>6</v>
      </c>
      <c r="I60" s="19">
        <v>208</v>
      </c>
      <c r="J60" s="19">
        <v>96</v>
      </c>
      <c r="K60" s="21" t="s">
        <v>1215</v>
      </c>
      <c r="L60" s="49" t="s">
        <v>416</v>
      </c>
      <c r="M60" s="21" t="s">
        <v>417</v>
      </c>
      <c r="N60" s="174">
        <v>43388</v>
      </c>
      <c r="O60" s="23" t="s">
        <v>17</v>
      </c>
      <c r="P60" s="23" t="s">
        <v>17</v>
      </c>
      <c r="Q60" s="23" t="s">
        <v>17</v>
      </c>
      <c r="R60" s="150" t="s">
        <v>26</v>
      </c>
      <c r="S60" s="20" t="s">
        <v>10</v>
      </c>
      <c r="T60" s="20" t="s">
        <v>11</v>
      </c>
      <c r="U60" s="19">
        <v>0.18</v>
      </c>
      <c r="V60" s="19"/>
      <c r="W60" s="19"/>
      <c r="X60" s="19">
        <v>100</v>
      </c>
      <c r="Y60" s="19">
        <v>310</v>
      </c>
      <c r="Z60" s="19">
        <v>480</v>
      </c>
      <c r="AA60" s="40">
        <v>0.6</v>
      </c>
      <c r="AB60" s="40">
        <v>1.2</v>
      </c>
      <c r="AC60" s="40">
        <v>1.8</v>
      </c>
      <c r="AD60" s="40">
        <v>3</v>
      </c>
      <c r="AE60" s="40">
        <v>4.5</v>
      </c>
      <c r="AF60" s="40">
        <v>6</v>
      </c>
      <c r="AG60" s="40">
        <v>94</v>
      </c>
      <c r="AH60" s="40">
        <v>96</v>
      </c>
      <c r="AI60" s="40">
        <v>96.4</v>
      </c>
      <c r="AJ60" s="40">
        <v>96.3</v>
      </c>
      <c r="AK60" s="40">
        <v>96</v>
      </c>
      <c r="AL60" s="40">
        <v>95.5</v>
      </c>
      <c r="AM60" s="40">
        <v>96</v>
      </c>
      <c r="AN60" s="40">
        <v>94.3</v>
      </c>
      <c r="AO60" s="40">
        <v>96.2</v>
      </c>
      <c r="AP60" s="40">
        <v>96.6</v>
      </c>
      <c r="AQ60" s="40">
        <v>96.7</v>
      </c>
      <c r="AR60" s="40">
        <v>96.4</v>
      </c>
      <c r="AS60" s="40">
        <v>96</v>
      </c>
      <c r="AT60" s="40">
        <v>96.4</v>
      </c>
      <c r="AU60" s="40">
        <v>92.1</v>
      </c>
      <c r="AV60" s="40">
        <v>95.1</v>
      </c>
      <c r="AW60" s="40">
        <v>95.9</v>
      </c>
      <c r="AX60" s="40">
        <v>96.1</v>
      </c>
      <c r="AY60" s="40">
        <v>96</v>
      </c>
      <c r="AZ60" s="40">
        <v>95.7</v>
      </c>
      <c r="BA60" s="40">
        <v>95.8</v>
      </c>
      <c r="BB60" s="174">
        <v>42917</v>
      </c>
      <c r="BC60" s="174">
        <v>43388</v>
      </c>
    </row>
    <row r="61" spans="1:55" s="44" customFormat="1" ht="45">
      <c r="A61" s="18" t="s">
        <v>0</v>
      </c>
      <c r="B61" s="18" t="s">
        <v>337</v>
      </c>
      <c r="C61" s="23" t="s">
        <v>10</v>
      </c>
      <c r="D61" s="23" t="s">
        <v>10</v>
      </c>
      <c r="E61" s="23" t="s">
        <v>11</v>
      </c>
      <c r="F61" s="23" t="s">
        <v>11</v>
      </c>
      <c r="G61" s="18" t="s">
        <v>115</v>
      </c>
      <c r="H61" s="19">
        <v>6</v>
      </c>
      <c r="I61" s="19">
        <v>240</v>
      </c>
      <c r="J61" s="19">
        <v>96.5</v>
      </c>
      <c r="K61" s="21" t="s">
        <v>1215</v>
      </c>
      <c r="L61" s="49" t="s">
        <v>416</v>
      </c>
      <c r="M61" s="21" t="s">
        <v>417</v>
      </c>
      <c r="N61" s="174">
        <v>43388</v>
      </c>
      <c r="O61" s="23" t="s">
        <v>17</v>
      </c>
      <c r="P61" s="23" t="s">
        <v>17</v>
      </c>
      <c r="Q61" s="23" t="s">
        <v>17</v>
      </c>
      <c r="R61" s="150" t="s">
        <v>26</v>
      </c>
      <c r="S61" s="20" t="s">
        <v>10</v>
      </c>
      <c r="T61" s="20" t="s">
        <v>11</v>
      </c>
      <c r="U61" s="19">
        <v>0.24</v>
      </c>
      <c r="V61" s="19"/>
      <c r="W61" s="19"/>
      <c r="X61" s="19">
        <v>100</v>
      </c>
      <c r="Y61" s="19">
        <v>345</v>
      </c>
      <c r="Z61" s="19">
        <v>480</v>
      </c>
      <c r="AA61" s="40">
        <v>0.6</v>
      </c>
      <c r="AB61" s="40">
        <v>1.2</v>
      </c>
      <c r="AC61" s="40">
        <v>1.8</v>
      </c>
      <c r="AD61" s="40">
        <v>3</v>
      </c>
      <c r="AE61" s="40">
        <v>4.5</v>
      </c>
      <c r="AF61" s="40">
        <v>6</v>
      </c>
      <c r="AG61" s="40">
        <v>93.5</v>
      </c>
      <c r="AH61" s="40">
        <v>95.8</v>
      </c>
      <c r="AI61" s="40">
        <v>96.3</v>
      </c>
      <c r="AJ61" s="40">
        <v>96.4</v>
      </c>
      <c r="AK61" s="40">
        <v>96.2</v>
      </c>
      <c r="AL61" s="40">
        <v>95.8</v>
      </c>
      <c r="AM61" s="40">
        <v>96.1</v>
      </c>
      <c r="AN61" s="40">
        <v>94.6</v>
      </c>
      <c r="AO61" s="40">
        <v>96.5</v>
      </c>
      <c r="AP61" s="40">
        <v>96.9</v>
      </c>
      <c r="AQ61" s="40">
        <v>96.9</v>
      </c>
      <c r="AR61" s="40">
        <v>96.8</v>
      </c>
      <c r="AS61" s="40">
        <v>96.5</v>
      </c>
      <c r="AT61" s="40">
        <v>96.7</v>
      </c>
      <c r="AU61" s="40">
        <v>92.6</v>
      </c>
      <c r="AV61" s="40">
        <v>95.5</v>
      </c>
      <c r="AW61" s="40">
        <v>96.1</v>
      </c>
      <c r="AX61" s="40">
        <v>96.5</v>
      </c>
      <c r="AY61" s="40">
        <v>96.4</v>
      </c>
      <c r="AZ61" s="40">
        <v>96.2</v>
      </c>
      <c r="BA61" s="40">
        <v>96.2</v>
      </c>
      <c r="BB61" s="174">
        <v>42917</v>
      </c>
      <c r="BC61" s="174">
        <v>43388</v>
      </c>
    </row>
    <row r="62" spans="1:55" s="44" customFormat="1" ht="45">
      <c r="A62" s="18" t="s">
        <v>0</v>
      </c>
      <c r="B62" s="18" t="s">
        <v>338</v>
      </c>
      <c r="C62" s="23" t="s">
        <v>10</v>
      </c>
      <c r="D62" s="23" t="s">
        <v>10</v>
      </c>
      <c r="E62" s="23" t="s">
        <v>11</v>
      </c>
      <c r="F62" s="23" t="s">
        <v>11</v>
      </c>
      <c r="G62" s="18" t="s">
        <v>116</v>
      </c>
      <c r="H62" s="19">
        <v>6</v>
      </c>
      <c r="I62" s="19">
        <v>277</v>
      </c>
      <c r="J62" s="19">
        <v>96.5</v>
      </c>
      <c r="K62" s="21" t="s">
        <v>1215</v>
      </c>
      <c r="L62" s="49" t="s">
        <v>416</v>
      </c>
      <c r="M62" s="21" t="s">
        <v>417</v>
      </c>
      <c r="N62" s="174">
        <v>43388</v>
      </c>
      <c r="O62" s="23" t="s">
        <v>17</v>
      </c>
      <c r="P62" s="23" t="s">
        <v>17</v>
      </c>
      <c r="Q62" s="23" t="s">
        <v>17</v>
      </c>
      <c r="R62" s="150" t="s">
        <v>26</v>
      </c>
      <c r="S62" s="20" t="s">
        <v>10</v>
      </c>
      <c r="T62" s="20" t="s">
        <v>11</v>
      </c>
      <c r="U62" s="19">
        <v>0.32</v>
      </c>
      <c r="V62" s="19"/>
      <c r="W62" s="19"/>
      <c r="X62" s="19">
        <v>100</v>
      </c>
      <c r="Y62" s="19">
        <v>400</v>
      </c>
      <c r="Z62" s="19">
        <v>480</v>
      </c>
      <c r="AA62" s="40">
        <v>0.6</v>
      </c>
      <c r="AB62" s="40">
        <v>1.2</v>
      </c>
      <c r="AC62" s="40">
        <v>1.8</v>
      </c>
      <c r="AD62" s="40">
        <v>3</v>
      </c>
      <c r="AE62" s="40">
        <v>4.5</v>
      </c>
      <c r="AF62" s="40">
        <v>6</v>
      </c>
      <c r="AG62" s="40">
        <v>92.5</v>
      </c>
      <c r="AH62" s="40">
        <v>95.5</v>
      </c>
      <c r="AI62" s="40">
        <v>96.2</v>
      </c>
      <c r="AJ62" s="40">
        <v>96.4</v>
      </c>
      <c r="AK62" s="40">
        <v>96.4</v>
      </c>
      <c r="AL62" s="40">
        <v>96.1</v>
      </c>
      <c r="AM62" s="40">
        <v>96.1</v>
      </c>
      <c r="AN62" s="40">
        <v>93.5</v>
      </c>
      <c r="AO62" s="40">
        <v>96.2</v>
      </c>
      <c r="AP62" s="40">
        <v>96.8</v>
      </c>
      <c r="AQ62" s="40">
        <v>97.1</v>
      </c>
      <c r="AR62" s="40">
        <v>97.1</v>
      </c>
      <c r="AS62" s="40">
        <v>97</v>
      </c>
      <c r="AT62" s="40">
        <v>96.9</v>
      </c>
      <c r="AU62" s="40">
        <v>92.2</v>
      </c>
      <c r="AV62" s="40">
        <v>95.5</v>
      </c>
      <c r="AW62" s="40">
        <v>96.3</v>
      </c>
      <c r="AX62" s="40">
        <v>96.8</v>
      </c>
      <c r="AY62" s="40">
        <v>96.9</v>
      </c>
      <c r="AZ62" s="40">
        <v>96.9</v>
      </c>
      <c r="BA62" s="40">
        <v>96.5</v>
      </c>
      <c r="BB62" s="174">
        <v>42917</v>
      </c>
      <c r="BC62" s="174">
        <v>43388</v>
      </c>
    </row>
    <row r="63" spans="1:55" s="44" customFormat="1" ht="45">
      <c r="A63" s="18" t="s">
        <v>0</v>
      </c>
      <c r="B63" s="18" t="s">
        <v>339</v>
      </c>
      <c r="C63" s="23" t="s">
        <v>10</v>
      </c>
      <c r="D63" s="23" t="s">
        <v>10</v>
      </c>
      <c r="E63" s="23" t="s">
        <v>11</v>
      </c>
      <c r="F63" s="23" t="s">
        <v>11</v>
      </c>
      <c r="G63" s="18" t="s">
        <v>114</v>
      </c>
      <c r="H63" s="19">
        <v>6</v>
      </c>
      <c r="I63" s="19">
        <v>208</v>
      </c>
      <c r="J63" s="19">
        <v>96</v>
      </c>
      <c r="K63" s="21" t="s">
        <v>1215</v>
      </c>
      <c r="L63" s="49" t="s">
        <v>416</v>
      </c>
      <c r="M63" s="21" t="s">
        <v>417</v>
      </c>
      <c r="N63" s="174">
        <v>43388</v>
      </c>
      <c r="O63" s="23" t="s">
        <v>17</v>
      </c>
      <c r="P63" s="23" t="s">
        <v>17</v>
      </c>
      <c r="Q63" s="23" t="s">
        <v>17</v>
      </c>
      <c r="R63" s="150" t="s">
        <v>26</v>
      </c>
      <c r="S63" s="20" t="s">
        <v>10</v>
      </c>
      <c r="T63" s="20" t="s">
        <v>11</v>
      </c>
      <c r="U63" s="19">
        <v>0.18</v>
      </c>
      <c r="V63" s="19"/>
      <c r="W63" s="19"/>
      <c r="X63" s="19">
        <v>100</v>
      </c>
      <c r="Y63" s="19">
        <v>310</v>
      </c>
      <c r="Z63" s="19">
        <v>480</v>
      </c>
      <c r="AA63" s="40">
        <v>0.6</v>
      </c>
      <c r="AB63" s="40">
        <v>1.2</v>
      </c>
      <c r="AC63" s="40">
        <v>1.8</v>
      </c>
      <c r="AD63" s="40">
        <v>3</v>
      </c>
      <c r="AE63" s="40">
        <v>4.5</v>
      </c>
      <c r="AF63" s="40">
        <v>6</v>
      </c>
      <c r="AG63" s="40">
        <v>94</v>
      </c>
      <c r="AH63" s="40">
        <v>96</v>
      </c>
      <c r="AI63" s="40">
        <v>96.4</v>
      </c>
      <c r="AJ63" s="40">
        <v>96.3</v>
      </c>
      <c r="AK63" s="40">
        <v>96</v>
      </c>
      <c r="AL63" s="40">
        <v>95.5</v>
      </c>
      <c r="AM63" s="40">
        <v>96</v>
      </c>
      <c r="AN63" s="40">
        <v>94.3</v>
      </c>
      <c r="AO63" s="40">
        <v>96.2</v>
      </c>
      <c r="AP63" s="40">
        <v>96.6</v>
      </c>
      <c r="AQ63" s="40">
        <v>96.7</v>
      </c>
      <c r="AR63" s="40">
        <v>96.4</v>
      </c>
      <c r="AS63" s="40">
        <v>96</v>
      </c>
      <c r="AT63" s="40">
        <v>96.4</v>
      </c>
      <c r="AU63" s="40">
        <v>92.1</v>
      </c>
      <c r="AV63" s="40">
        <v>95.1</v>
      </c>
      <c r="AW63" s="40">
        <v>95.9</v>
      </c>
      <c r="AX63" s="40">
        <v>96.1</v>
      </c>
      <c r="AY63" s="40">
        <v>96</v>
      </c>
      <c r="AZ63" s="40">
        <v>95.7</v>
      </c>
      <c r="BA63" s="40">
        <v>95.8</v>
      </c>
      <c r="BB63" s="174">
        <v>42917</v>
      </c>
      <c r="BC63" s="174">
        <v>43388</v>
      </c>
    </row>
    <row r="64" spans="1:55" s="44" customFormat="1" ht="45">
      <c r="A64" s="18" t="s">
        <v>0</v>
      </c>
      <c r="B64" s="18" t="s">
        <v>340</v>
      </c>
      <c r="C64" s="23" t="s">
        <v>10</v>
      </c>
      <c r="D64" s="23" t="s">
        <v>10</v>
      </c>
      <c r="E64" s="23" t="s">
        <v>11</v>
      </c>
      <c r="F64" s="23" t="s">
        <v>11</v>
      </c>
      <c r="G64" s="18" t="s">
        <v>115</v>
      </c>
      <c r="H64" s="19">
        <v>6</v>
      </c>
      <c r="I64" s="19">
        <v>240</v>
      </c>
      <c r="J64" s="19">
        <v>96.5</v>
      </c>
      <c r="K64" s="21" t="s">
        <v>1215</v>
      </c>
      <c r="L64" s="49" t="s">
        <v>416</v>
      </c>
      <c r="M64" s="21" t="s">
        <v>417</v>
      </c>
      <c r="N64" s="174">
        <v>43388</v>
      </c>
      <c r="O64" s="23" t="s">
        <v>17</v>
      </c>
      <c r="P64" s="23" t="s">
        <v>17</v>
      </c>
      <c r="Q64" s="23" t="s">
        <v>17</v>
      </c>
      <c r="R64" s="150" t="s">
        <v>26</v>
      </c>
      <c r="S64" s="20" t="s">
        <v>10</v>
      </c>
      <c r="T64" s="20" t="s">
        <v>11</v>
      </c>
      <c r="U64" s="19">
        <v>0.24</v>
      </c>
      <c r="V64" s="19"/>
      <c r="W64" s="19"/>
      <c r="X64" s="19">
        <v>100</v>
      </c>
      <c r="Y64" s="19">
        <v>345</v>
      </c>
      <c r="Z64" s="19">
        <v>480</v>
      </c>
      <c r="AA64" s="40">
        <v>0.6</v>
      </c>
      <c r="AB64" s="40">
        <v>1.2</v>
      </c>
      <c r="AC64" s="40">
        <v>1.8</v>
      </c>
      <c r="AD64" s="40">
        <v>3</v>
      </c>
      <c r="AE64" s="40">
        <v>4.5</v>
      </c>
      <c r="AF64" s="40">
        <v>6</v>
      </c>
      <c r="AG64" s="40">
        <v>93.5</v>
      </c>
      <c r="AH64" s="40">
        <v>95.8</v>
      </c>
      <c r="AI64" s="40">
        <v>96.3</v>
      </c>
      <c r="AJ64" s="40">
        <v>96.4</v>
      </c>
      <c r="AK64" s="40">
        <v>96.2</v>
      </c>
      <c r="AL64" s="40">
        <v>95.8</v>
      </c>
      <c r="AM64" s="40">
        <v>96.1</v>
      </c>
      <c r="AN64" s="40">
        <v>94.6</v>
      </c>
      <c r="AO64" s="40">
        <v>96.5</v>
      </c>
      <c r="AP64" s="40">
        <v>96.9</v>
      </c>
      <c r="AQ64" s="40">
        <v>96.9</v>
      </c>
      <c r="AR64" s="40">
        <v>96.8</v>
      </c>
      <c r="AS64" s="40">
        <v>96.5</v>
      </c>
      <c r="AT64" s="40">
        <v>96.7</v>
      </c>
      <c r="AU64" s="40">
        <v>92.6</v>
      </c>
      <c r="AV64" s="40">
        <v>95.5</v>
      </c>
      <c r="AW64" s="40">
        <v>96.1</v>
      </c>
      <c r="AX64" s="40">
        <v>96.5</v>
      </c>
      <c r="AY64" s="40">
        <v>96.4</v>
      </c>
      <c r="AZ64" s="40">
        <v>96.2</v>
      </c>
      <c r="BA64" s="40">
        <v>96.2</v>
      </c>
      <c r="BB64" s="174">
        <v>42917</v>
      </c>
      <c r="BC64" s="174">
        <v>43388</v>
      </c>
    </row>
    <row r="65" spans="1:55" s="44" customFormat="1" ht="45">
      <c r="A65" s="18" t="s">
        <v>0</v>
      </c>
      <c r="B65" s="18" t="s">
        <v>341</v>
      </c>
      <c r="C65" s="23" t="s">
        <v>10</v>
      </c>
      <c r="D65" s="23" t="s">
        <v>10</v>
      </c>
      <c r="E65" s="23" t="s">
        <v>11</v>
      </c>
      <c r="F65" s="23" t="s">
        <v>11</v>
      </c>
      <c r="G65" s="18" t="s">
        <v>116</v>
      </c>
      <c r="H65" s="19">
        <v>6</v>
      </c>
      <c r="I65" s="19">
        <v>277</v>
      </c>
      <c r="J65" s="19">
        <v>96.5</v>
      </c>
      <c r="K65" s="21" t="s">
        <v>1215</v>
      </c>
      <c r="L65" s="49" t="s">
        <v>416</v>
      </c>
      <c r="M65" s="21" t="s">
        <v>417</v>
      </c>
      <c r="N65" s="174">
        <v>43388</v>
      </c>
      <c r="O65" s="23" t="s">
        <v>17</v>
      </c>
      <c r="P65" s="23" t="s">
        <v>17</v>
      </c>
      <c r="Q65" s="23" t="s">
        <v>17</v>
      </c>
      <c r="R65" s="150" t="s">
        <v>26</v>
      </c>
      <c r="S65" s="20" t="s">
        <v>10</v>
      </c>
      <c r="T65" s="20" t="s">
        <v>11</v>
      </c>
      <c r="U65" s="19">
        <v>0.32</v>
      </c>
      <c r="V65" s="19"/>
      <c r="W65" s="19"/>
      <c r="X65" s="19">
        <v>100</v>
      </c>
      <c r="Y65" s="19">
        <v>400</v>
      </c>
      <c r="Z65" s="19">
        <v>480</v>
      </c>
      <c r="AA65" s="40">
        <v>0.6</v>
      </c>
      <c r="AB65" s="40">
        <v>1.2</v>
      </c>
      <c r="AC65" s="40">
        <v>1.8</v>
      </c>
      <c r="AD65" s="40">
        <v>3</v>
      </c>
      <c r="AE65" s="40">
        <v>4.5</v>
      </c>
      <c r="AF65" s="40">
        <v>6</v>
      </c>
      <c r="AG65" s="40">
        <v>92.5</v>
      </c>
      <c r="AH65" s="40">
        <v>95.5</v>
      </c>
      <c r="AI65" s="40">
        <v>96.2</v>
      </c>
      <c r="AJ65" s="40">
        <v>96.4</v>
      </c>
      <c r="AK65" s="40">
        <v>96.4</v>
      </c>
      <c r="AL65" s="40">
        <v>96.1</v>
      </c>
      <c r="AM65" s="40">
        <v>96.1</v>
      </c>
      <c r="AN65" s="40">
        <v>93.5</v>
      </c>
      <c r="AO65" s="40">
        <v>96.2</v>
      </c>
      <c r="AP65" s="40">
        <v>96.8</v>
      </c>
      <c r="AQ65" s="40">
        <v>97.1</v>
      </c>
      <c r="AR65" s="40">
        <v>97.1</v>
      </c>
      <c r="AS65" s="40">
        <v>97</v>
      </c>
      <c r="AT65" s="40">
        <v>96.9</v>
      </c>
      <c r="AU65" s="40">
        <v>92.2</v>
      </c>
      <c r="AV65" s="40">
        <v>95.5</v>
      </c>
      <c r="AW65" s="40">
        <v>96.3</v>
      </c>
      <c r="AX65" s="40">
        <v>96.8</v>
      </c>
      <c r="AY65" s="40">
        <v>96.9</v>
      </c>
      <c r="AZ65" s="40">
        <v>96.9</v>
      </c>
      <c r="BA65" s="40">
        <v>96.5</v>
      </c>
      <c r="BB65" s="174">
        <v>42917</v>
      </c>
      <c r="BC65" s="174">
        <v>43388</v>
      </c>
    </row>
    <row r="66" spans="1:55" s="44" customFormat="1" ht="45">
      <c r="A66" s="18" t="s">
        <v>0</v>
      </c>
      <c r="B66" s="18" t="s">
        <v>811</v>
      </c>
      <c r="C66" s="23" t="s">
        <v>10</v>
      </c>
      <c r="D66" s="23" t="s">
        <v>10</v>
      </c>
      <c r="E66" s="23" t="s">
        <v>11</v>
      </c>
      <c r="F66" s="23" t="s">
        <v>11</v>
      </c>
      <c r="G66" s="18" t="s">
        <v>117</v>
      </c>
      <c r="H66" s="19">
        <v>6</v>
      </c>
      <c r="I66" s="19">
        <v>208</v>
      </c>
      <c r="J66" s="19">
        <v>96</v>
      </c>
      <c r="K66" s="21" t="s">
        <v>1215</v>
      </c>
      <c r="L66" s="49" t="s">
        <v>416</v>
      </c>
      <c r="M66" s="21" t="s">
        <v>417</v>
      </c>
      <c r="N66" s="174">
        <v>43388</v>
      </c>
      <c r="O66" s="23" t="s">
        <v>17</v>
      </c>
      <c r="P66" s="23" t="s">
        <v>17</v>
      </c>
      <c r="Q66" s="23" t="s">
        <v>17</v>
      </c>
      <c r="R66" s="150" t="s">
        <v>26</v>
      </c>
      <c r="S66" s="20" t="s">
        <v>10</v>
      </c>
      <c r="T66" s="20" t="s">
        <v>11</v>
      </c>
      <c r="U66" s="19">
        <v>0.18</v>
      </c>
      <c r="V66" s="19"/>
      <c r="W66" s="19"/>
      <c r="X66" s="19">
        <v>100</v>
      </c>
      <c r="Y66" s="19">
        <v>310</v>
      </c>
      <c r="Z66" s="19">
        <v>480</v>
      </c>
      <c r="AA66" s="40">
        <v>0.6</v>
      </c>
      <c r="AB66" s="40">
        <v>1.2</v>
      </c>
      <c r="AC66" s="40">
        <v>1.8</v>
      </c>
      <c r="AD66" s="40">
        <v>3</v>
      </c>
      <c r="AE66" s="40">
        <v>4.5</v>
      </c>
      <c r="AF66" s="40">
        <v>6</v>
      </c>
      <c r="AG66" s="40">
        <v>94</v>
      </c>
      <c r="AH66" s="40">
        <v>96</v>
      </c>
      <c r="AI66" s="40">
        <v>96.4</v>
      </c>
      <c r="AJ66" s="40">
        <v>96.3</v>
      </c>
      <c r="AK66" s="40">
        <v>96</v>
      </c>
      <c r="AL66" s="40">
        <v>95.5</v>
      </c>
      <c r="AM66" s="40">
        <v>96</v>
      </c>
      <c r="AN66" s="40">
        <v>94.3</v>
      </c>
      <c r="AO66" s="40">
        <v>96.2</v>
      </c>
      <c r="AP66" s="40">
        <v>96.6</v>
      </c>
      <c r="AQ66" s="40">
        <v>96.7</v>
      </c>
      <c r="AR66" s="40">
        <v>96.4</v>
      </c>
      <c r="AS66" s="40">
        <v>96</v>
      </c>
      <c r="AT66" s="40">
        <v>96.4</v>
      </c>
      <c r="AU66" s="40">
        <v>92.1</v>
      </c>
      <c r="AV66" s="40">
        <v>95.1</v>
      </c>
      <c r="AW66" s="40">
        <v>95.9</v>
      </c>
      <c r="AX66" s="40">
        <v>96.1</v>
      </c>
      <c r="AY66" s="40">
        <v>96</v>
      </c>
      <c r="AZ66" s="40">
        <v>95.7</v>
      </c>
      <c r="BA66" s="40">
        <v>95.8</v>
      </c>
      <c r="BB66" s="174">
        <v>42917</v>
      </c>
      <c r="BC66" s="174">
        <v>43388</v>
      </c>
    </row>
    <row r="67" spans="1:55" s="44" customFormat="1" ht="45">
      <c r="A67" s="18" t="s">
        <v>0</v>
      </c>
      <c r="B67" s="18" t="s">
        <v>812</v>
      </c>
      <c r="C67" s="23" t="s">
        <v>10</v>
      </c>
      <c r="D67" s="23" t="s">
        <v>10</v>
      </c>
      <c r="E67" s="23" t="s">
        <v>11</v>
      </c>
      <c r="F67" s="23" t="s">
        <v>11</v>
      </c>
      <c r="G67" s="18" t="s">
        <v>118</v>
      </c>
      <c r="H67" s="19">
        <v>6</v>
      </c>
      <c r="I67" s="19">
        <v>240</v>
      </c>
      <c r="J67" s="19">
        <v>96.5</v>
      </c>
      <c r="K67" s="21" t="s">
        <v>1215</v>
      </c>
      <c r="L67" s="49" t="s">
        <v>416</v>
      </c>
      <c r="M67" s="21" t="s">
        <v>417</v>
      </c>
      <c r="N67" s="174">
        <v>43388</v>
      </c>
      <c r="O67" s="23" t="s">
        <v>17</v>
      </c>
      <c r="P67" s="23" t="s">
        <v>17</v>
      </c>
      <c r="Q67" s="23" t="s">
        <v>17</v>
      </c>
      <c r="R67" s="150" t="s">
        <v>26</v>
      </c>
      <c r="S67" s="20" t="s">
        <v>10</v>
      </c>
      <c r="T67" s="20" t="s">
        <v>11</v>
      </c>
      <c r="U67" s="19">
        <v>0.24</v>
      </c>
      <c r="V67" s="19"/>
      <c r="W67" s="19"/>
      <c r="X67" s="19">
        <v>100</v>
      </c>
      <c r="Y67" s="19">
        <v>345</v>
      </c>
      <c r="Z67" s="19">
        <v>480</v>
      </c>
      <c r="AA67" s="40">
        <v>0.6</v>
      </c>
      <c r="AB67" s="40">
        <v>1.2</v>
      </c>
      <c r="AC67" s="40">
        <v>1.8</v>
      </c>
      <c r="AD67" s="40">
        <v>3</v>
      </c>
      <c r="AE67" s="40">
        <v>4.5</v>
      </c>
      <c r="AF67" s="40">
        <v>6</v>
      </c>
      <c r="AG67" s="40">
        <v>93.5</v>
      </c>
      <c r="AH67" s="40">
        <v>95.8</v>
      </c>
      <c r="AI67" s="40">
        <v>96.3</v>
      </c>
      <c r="AJ67" s="40">
        <v>96.4</v>
      </c>
      <c r="AK67" s="40">
        <v>96.2</v>
      </c>
      <c r="AL67" s="40">
        <v>95.8</v>
      </c>
      <c r="AM67" s="40">
        <v>96.1</v>
      </c>
      <c r="AN67" s="40">
        <v>94.6</v>
      </c>
      <c r="AO67" s="40">
        <v>96.5</v>
      </c>
      <c r="AP67" s="40">
        <v>96.9</v>
      </c>
      <c r="AQ67" s="40">
        <v>96.9</v>
      </c>
      <c r="AR67" s="40">
        <v>96.8</v>
      </c>
      <c r="AS67" s="40">
        <v>96.5</v>
      </c>
      <c r="AT67" s="40">
        <v>96.7</v>
      </c>
      <c r="AU67" s="40">
        <v>92.6</v>
      </c>
      <c r="AV67" s="40">
        <v>95.5</v>
      </c>
      <c r="AW67" s="40">
        <v>96.1</v>
      </c>
      <c r="AX67" s="40">
        <v>96.5</v>
      </c>
      <c r="AY67" s="40">
        <v>96.4</v>
      </c>
      <c r="AZ67" s="40">
        <v>96.2</v>
      </c>
      <c r="BA67" s="40">
        <v>96.2</v>
      </c>
      <c r="BB67" s="174">
        <v>42917</v>
      </c>
      <c r="BC67" s="174">
        <v>43388</v>
      </c>
    </row>
    <row r="68" spans="1:55" s="44" customFormat="1" ht="45">
      <c r="A68" s="18" t="s">
        <v>0</v>
      </c>
      <c r="B68" s="18" t="s">
        <v>813</v>
      </c>
      <c r="C68" s="23" t="s">
        <v>10</v>
      </c>
      <c r="D68" s="23" t="s">
        <v>10</v>
      </c>
      <c r="E68" s="23" t="s">
        <v>11</v>
      </c>
      <c r="F68" s="23" t="s">
        <v>11</v>
      </c>
      <c r="G68" s="18" t="s">
        <v>119</v>
      </c>
      <c r="H68" s="19">
        <v>6</v>
      </c>
      <c r="I68" s="19">
        <v>277</v>
      </c>
      <c r="J68" s="19">
        <v>96.5</v>
      </c>
      <c r="K68" s="21" t="s">
        <v>1215</v>
      </c>
      <c r="L68" s="49" t="s">
        <v>416</v>
      </c>
      <c r="M68" s="21" t="s">
        <v>417</v>
      </c>
      <c r="N68" s="174">
        <v>43388</v>
      </c>
      <c r="O68" s="23" t="s">
        <v>17</v>
      </c>
      <c r="P68" s="23" t="s">
        <v>17</v>
      </c>
      <c r="Q68" s="23" t="s">
        <v>17</v>
      </c>
      <c r="R68" s="150" t="s">
        <v>26</v>
      </c>
      <c r="S68" s="20" t="s">
        <v>10</v>
      </c>
      <c r="T68" s="20" t="s">
        <v>11</v>
      </c>
      <c r="U68" s="19">
        <v>0.32</v>
      </c>
      <c r="V68" s="19"/>
      <c r="W68" s="19"/>
      <c r="X68" s="19">
        <v>100</v>
      </c>
      <c r="Y68" s="19">
        <v>400</v>
      </c>
      <c r="Z68" s="19">
        <v>480</v>
      </c>
      <c r="AA68" s="40">
        <v>0.6</v>
      </c>
      <c r="AB68" s="40">
        <v>1.2</v>
      </c>
      <c r="AC68" s="40">
        <v>1.8</v>
      </c>
      <c r="AD68" s="40">
        <v>3</v>
      </c>
      <c r="AE68" s="40">
        <v>4.5</v>
      </c>
      <c r="AF68" s="40">
        <v>6</v>
      </c>
      <c r="AG68" s="40">
        <v>92.5</v>
      </c>
      <c r="AH68" s="40">
        <v>95.5</v>
      </c>
      <c r="AI68" s="40">
        <v>96.2</v>
      </c>
      <c r="AJ68" s="40">
        <v>96.4</v>
      </c>
      <c r="AK68" s="40">
        <v>96.4</v>
      </c>
      <c r="AL68" s="40">
        <v>96.1</v>
      </c>
      <c r="AM68" s="40">
        <v>96.1</v>
      </c>
      <c r="AN68" s="40">
        <v>93.5</v>
      </c>
      <c r="AO68" s="40">
        <v>96.2</v>
      </c>
      <c r="AP68" s="40">
        <v>96.8</v>
      </c>
      <c r="AQ68" s="40">
        <v>97.1</v>
      </c>
      <c r="AR68" s="40">
        <v>97.1</v>
      </c>
      <c r="AS68" s="40">
        <v>97</v>
      </c>
      <c r="AT68" s="40">
        <v>96.9</v>
      </c>
      <c r="AU68" s="40">
        <v>92.2</v>
      </c>
      <c r="AV68" s="40">
        <v>95.5</v>
      </c>
      <c r="AW68" s="40">
        <v>96.3</v>
      </c>
      <c r="AX68" s="40">
        <v>96.8</v>
      </c>
      <c r="AY68" s="40">
        <v>96.9</v>
      </c>
      <c r="AZ68" s="40">
        <v>96.9</v>
      </c>
      <c r="BA68" s="40">
        <v>96.5</v>
      </c>
      <c r="BB68" s="174">
        <v>42917</v>
      </c>
      <c r="BC68" s="174">
        <v>43388</v>
      </c>
    </row>
    <row r="69" spans="1:55" s="44" customFormat="1" ht="45">
      <c r="A69" s="168" t="s">
        <v>0</v>
      </c>
      <c r="B69" s="168" t="s">
        <v>1619</v>
      </c>
      <c r="C69" s="158" t="s">
        <v>10</v>
      </c>
      <c r="D69" s="158" t="s">
        <v>10</v>
      </c>
      <c r="E69" s="158" t="s">
        <v>10</v>
      </c>
      <c r="F69" s="158" t="s">
        <v>11</v>
      </c>
      <c r="G69" s="168" t="s">
        <v>1615</v>
      </c>
      <c r="H69" s="169">
        <v>60.033000000000001</v>
      </c>
      <c r="I69" s="159">
        <v>480</v>
      </c>
      <c r="J69" s="164">
        <v>98</v>
      </c>
      <c r="K69" s="160" t="s">
        <v>1215</v>
      </c>
      <c r="L69" s="38" t="s">
        <v>1616</v>
      </c>
      <c r="M69" s="38" t="s">
        <v>1617</v>
      </c>
      <c r="N69" s="174">
        <v>43619</v>
      </c>
      <c r="O69" s="38" t="s">
        <v>1616</v>
      </c>
      <c r="P69" s="38" t="s">
        <v>17</v>
      </c>
      <c r="Q69" s="38" t="s">
        <v>17</v>
      </c>
      <c r="R69" s="170"/>
      <c r="S69" s="161" t="s">
        <v>10</v>
      </c>
      <c r="T69" s="161" t="s">
        <v>11</v>
      </c>
      <c r="U69" s="162">
        <v>0.9</v>
      </c>
      <c r="V69" s="163"/>
      <c r="W69" s="163"/>
      <c r="X69" s="163">
        <v>570</v>
      </c>
      <c r="Y69" s="163">
        <v>720</v>
      </c>
      <c r="Z69" s="163">
        <v>800</v>
      </c>
      <c r="AA69" s="162">
        <v>6.0032800000000002</v>
      </c>
      <c r="AB69" s="162">
        <v>12.00656</v>
      </c>
      <c r="AC69" s="162">
        <v>18.009840000000001</v>
      </c>
      <c r="AD69" s="162">
        <v>30.016400000000001</v>
      </c>
      <c r="AE69" s="162">
        <v>45.0246</v>
      </c>
      <c r="AF69" s="162">
        <v>60.032800000000002</v>
      </c>
      <c r="AG69" s="164">
        <v>96.517815523973198</v>
      </c>
      <c r="AH69" s="164">
        <v>97.597234851715442</v>
      </c>
      <c r="AI69" s="164">
        <v>97.843304075726479</v>
      </c>
      <c r="AJ69" s="164">
        <v>97.847374722694454</v>
      </c>
      <c r="AK69" s="164">
        <v>97.828467471784052</v>
      </c>
      <c r="AL69" s="164">
        <v>97.643075558723922</v>
      </c>
      <c r="AM69" s="164">
        <v>97.760961082379453</v>
      </c>
      <c r="AN69" s="164">
        <v>97.189852584467914</v>
      </c>
      <c r="AO69" s="164">
        <v>98.252714951518371</v>
      </c>
      <c r="AP69" s="164">
        <v>98.497527870131293</v>
      </c>
      <c r="AQ69" s="164">
        <v>98.589146548256778</v>
      </c>
      <c r="AR69" s="164">
        <v>98.563054633865718</v>
      </c>
      <c r="AS69" s="164">
        <v>98.428766538933857</v>
      </c>
      <c r="AT69" s="164">
        <v>98.48351125339984</v>
      </c>
      <c r="AU69" s="164">
        <v>96.486801145112508</v>
      </c>
      <c r="AV69" s="164">
        <v>97.903693085731078</v>
      </c>
      <c r="AW69" s="164">
        <v>98.241722278149084</v>
      </c>
      <c r="AX69" s="164">
        <v>98.399571216601657</v>
      </c>
      <c r="AY69" s="164">
        <v>98.390504803724113</v>
      </c>
      <c r="AZ69" s="164">
        <v>98.251739960357867</v>
      </c>
      <c r="BA69" s="164">
        <v>98.267127872946958</v>
      </c>
      <c r="BB69" s="178">
        <v>43619</v>
      </c>
      <c r="BC69" s="178"/>
    </row>
    <row r="70" spans="1:55" s="44" customFormat="1" ht="45">
      <c r="A70" s="168" t="s">
        <v>0</v>
      </c>
      <c r="B70" s="168" t="s">
        <v>1618</v>
      </c>
      <c r="C70" s="158" t="s">
        <v>10</v>
      </c>
      <c r="D70" s="158" t="s">
        <v>10</v>
      </c>
      <c r="E70" s="158" t="s">
        <v>10</v>
      </c>
      <c r="F70" s="158" t="s">
        <v>11</v>
      </c>
      <c r="G70" s="168" t="s">
        <v>1615</v>
      </c>
      <c r="H70" s="169">
        <v>60.033000000000001</v>
      </c>
      <c r="I70" s="159">
        <v>480</v>
      </c>
      <c r="J70" s="164">
        <v>98</v>
      </c>
      <c r="K70" s="160" t="s">
        <v>1215</v>
      </c>
      <c r="L70" s="38" t="s">
        <v>1616</v>
      </c>
      <c r="M70" s="38" t="s">
        <v>1617</v>
      </c>
      <c r="N70" s="174">
        <v>43619</v>
      </c>
      <c r="O70" s="38" t="s">
        <v>1616</v>
      </c>
      <c r="P70" s="38" t="s">
        <v>17</v>
      </c>
      <c r="Q70" s="38" t="s">
        <v>17</v>
      </c>
      <c r="R70" s="170"/>
      <c r="S70" s="161" t="s">
        <v>10</v>
      </c>
      <c r="T70" s="161" t="s">
        <v>11</v>
      </c>
      <c r="U70" s="162">
        <v>0.9</v>
      </c>
      <c r="V70" s="163"/>
      <c r="W70" s="163"/>
      <c r="X70" s="163">
        <v>570</v>
      </c>
      <c r="Y70" s="163">
        <v>720</v>
      </c>
      <c r="Z70" s="163">
        <v>800</v>
      </c>
      <c r="AA70" s="162">
        <v>6.0032800000000002</v>
      </c>
      <c r="AB70" s="162">
        <v>12.00656</v>
      </c>
      <c r="AC70" s="162">
        <v>18.009840000000001</v>
      </c>
      <c r="AD70" s="162">
        <v>30.016400000000001</v>
      </c>
      <c r="AE70" s="162">
        <v>45.0246</v>
      </c>
      <c r="AF70" s="162">
        <v>60.032800000000002</v>
      </c>
      <c r="AG70" s="164">
        <v>96.517815523973198</v>
      </c>
      <c r="AH70" s="164">
        <v>97.597234851715442</v>
      </c>
      <c r="AI70" s="164">
        <v>97.843304075726479</v>
      </c>
      <c r="AJ70" s="164">
        <v>97.847374722694454</v>
      </c>
      <c r="AK70" s="164">
        <v>97.828467471784052</v>
      </c>
      <c r="AL70" s="164">
        <v>97.643075558723922</v>
      </c>
      <c r="AM70" s="164">
        <v>97.760961082379453</v>
      </c>
      <c r="AN70" s="164">
        <v>97.189852584467914</v>
      </c>
      <c r="AO70" s="164">
        <v>98.252714951518371</v>
      </c>
      <c r="AP70" s="164">
        <v>98.497527870131293</v>
      </c>
      <c r="AQ70" s="164">
        <v>98.589146548256778</v>
      </c>
      <c r="AR70" s="164">
        <v>98.563054633865718</v>
      </c>
      <c r="AS70" s="164">
        <v>98.428766538933857</v>
      </c>
      <c r="AT70" s="164">
        <v>98.48351125339984</v>
      </c>
      <c r="AU70" s="164">
        <v>96.486801145112508</v>
      </c>
      <c r="AV70" s="164">
        <v>97.903693085731078</v>
      </c>
      <c r="AW70" s="164">
        <v>98.241722278149084</v>
      </c>
      <c r="AX70" s="164">
        <v>98.399571216601657</v>
      </c>
      <c r="AY70" s="164">
        <v>98.390504803724113</v>
      </c>
      <c r="AZ70" s="164">
        <v>98.251739960357867</v>
      </c>
      <c r="BA70" s="164">
        <v>98.267127872946958</v>
      </c>
      <c r="BB70" s="178">
        <v>43619</v>
      </c>
      <c r="BC70" s="178"/>
    </row>
    <row r="71" spans="1:55" s="44" customFormat="1" ht="45">
      <c r="A71" s="168" t="s">
        <v>0</v>
      </c>
      <c r="B71" s="168" t="s">
        <v>1614</v>
      </c>
      <c r="C71" s="158" t="s">
        <v>10</v>
      </c>
      <c r="D71" s="158" t="s">
        <v>10</v>
      </c>
      <c r="E71" s="158" t="s">
        <v>10</v>
      </c>
      <c r="F71" s="158" t="s">
        <v>11</v>
      </c>
      <c r="G71" s="168" t="s">
        <v>1615</v>
      </c>
      <c r="H71" s="169">
        <v>60.033000000000001</v>
      </c>
      <c r="I71" s="159">
        <v>480</v>
      </c>
      <c r="J71" s="164">
        <v>98</v>
      </c>
      <c r="K71" s="160" t="s">
        <v>1215</v>
      </c>
      <c r="L71" s="38" t="s">
        <v>1616</v>
      </c>
      <c r="M71" s="38" t="s">
        <v>1617</v>
      </c>
      <c r="N71" s="174">
        <v>43619</v>
      </c>
      <c r="O71" s="38" t="s">
        <v>1616</v>
      </c>
      <c r="P71" s="38" t="s">
        <v>17</v>
      </c>
      <c r="Q71" s="38" t="s">
        <v>17</v>
      </c>
      <c r="R71" s="170"/>
      <c r="S71" s="161" t="s">
        <v>10</v>
      </c>
      <c r="T71" s="161" t="s">
        <v>11</v>
      </c>
      <c r="U71" s="162">
        <v>0.9</v>
      </c>
      <c r="V71" s="163"/>
      <c r="W71" s="163"/>
      <c r="X71" s="163">
        <v>570</v>
      </c>
      <c r="Y71" s="163">
        <v>720</v>
      </c>
      <c r="Z71" s="163">
        <v>800</v>
      </c>
      <c r="AA71" s="162">
        <v>6.0032800000000002</v>
      </c>
      <c r="AB71" s="162">
        <v>12.00656</v>
      </c>
      <c r="AC71" s="162">
        <v>18.009840000000001</v>
      </c>
      <c r="AD71" s="162">
        <v>30.016400000000001</v>
      </c>
      <c r="AE71" s="162">
        <v>45.0246</v>
      </c>
      <c r="AF71" s="162">
        <v>60.032800000000002</v>
      </c>
      <c r="AG71" s="164">
        <v>96.517815523973198</v>
      </c>
      <c r="AH71" s="164">
        <v>97.597234851715442</v>
      </c>
      <c r="AI71" s="164">
        <v>97.843304075726479</v>
      </c>
      <c r="AJ71" s="164">
        <v>97.847374722694454</v>
      </c>
      <c r="AK71" s="164">
        <v>97.828467471784052</v>
      </c>
      <c r="AL71" s="164">
        <v>97.643075558723922</v>
      </c>
      <c r="AM71" s="164">
        <v>97.760961082379453</v>
      </c>
      <c r="AN71" s="164">
        <v>97.189852584467914</v>
      </c>
      <c r="AO71" s="164">
        <v>98.252714951518371</v>
      </c>
      <c r="AP71" s="164">
        <v>98.497527870131293</v>
      </c>
      <c r="AQ71" s="164">
        <v>98.589146548256778</v>
      </c>
      <c r="AR71" s="164">
        <v>98.563054633865718</v>
      </c>
      <c r="AS71" s="164">
        <v>98.428766538933857</v>
      </c>
      <c r="AT71" s="164">
        <v>98.48351125339984</v>
      </c>
      <c r="AU71" s="164">
        <v>96.486801145112508</v>
      </c>
      <c r="AV71" s="164">
        <v>97.903693085731078</v>
      </c>
      <c r="AW71" s="164">
        <v>98.241722278149084</v>
      </c>
      <c r="AX71" s="164">
        <v>98.399571216601657</v>
      </c>
      <c r="AY71" s="164">
        <v>98.390504803724113</v>
      </c>
      <c r="AZ71" s="164">
        <v>98.251739960357867</v>
      </c>
      <c r="BA71" s="164">
        <v>98.267127872946958</v>
      </c>
      <c r="BB71" s="178">
        <v>43619</v>
      </c>
      <c r="BC71" s="178"/>
    </row>
    <row r="72" spans="1:55" s="44" customFormat="1" ht="45">
      <c r="A72" s="18" t="s">
        <v>0</v>
      </c>
      <c r="B72" s="18" t="s">
        <v>829</v>
      </c>
      <c r="C72" s="23" t="s">
        <v>10</v>
      </c>
      <c r="D72" s="23" t="s">
        <v>10</v>
      </c>
      <c r="E72" s="23" t="s">
        <v>11</v>
      </c>
      <c r="F72" s="23" t="s">
        <v>11</v>
      </c>
      <c r="G72" s="18" t="s">
        <v>122</v>
      </c>
      <c r="H72" s="19">
        <v>50</v>
      </c>
      <c r="I72" s="19">
        <v>480</v>
      </c>
      <c r="J72" s="19">
        <v>98</v>
      </c>
      <c r="K72" s="21" t="s">
        <v>1215</v>
      </c>
      <c r="L72" s="49" t="s">
        <v>420</v>
      </c>
      <c r="M72" s="21" t="s">
        <v>421</v>
      </c>
      <c r="N72" s="174">
        <v>43388</v>
      </c>
      <c r="O72" s="23" t="s">
        <v>17</v>
      </c>
      <c r="P72" s="23" t="s">
        <v>17</v>
      </c>
      <c r="Q72" s="23" t="s">
        <v>17</v>
      </c>
      <c r="R72" s="150" t="s">
        <v>26</v>
      </c>
      <c r="S72" s="20" t="s">
        <v>10</v>
      </c>
      <c r="T72" s="20" t="s">
        <v>11</v>
      </c>
      <c r="U72" s="19">
        <v>1</v>
      </c>
      <c r="V72" s="19">
        <v>50</v>
      </c>
      <c r="W72" s="19">
        <v>1</v>
      </c>
      <c r="X72" s="19">
        <v>520</v>
      </c>
      <c r="Y72" s="19">
        <v>720</v>
      </c>
      <c r="Z72" s="19">
        <v>800</v>
      </c>
      <c r="AA72" s="40">
        <v>5</v>
      </c>
      <c r="AB72" s="40">
        <v>10</v>
      </c>
      <c r="AC72" s="40">
        <v>15</v>
      </c>
      <c r="AD72" s="40">
        <v>25</v>
      </c>
      <c r="AE72" s="40">
        <v>37.5</v>
      </c>
      <c r="AF72" s="40">
        <v>50</v>
      </c>
      <c r="AG72" s="40">
        <v>96.342590866613719</v>
      </c>
      <c r="AH72" s="40">
        <v>97.39411188523512</v>
      </c>
      <c r="AI72" s="40">
        <v>97.730509677227218</v>
      </c>
      <c r="AJ72" s="40">
        <v>97.849372845857189</v>
      </c>
      <c r="AK72" s="40">
        <v>97.864151934162123</v>
      </c>
      <c r="AL72" s="40">
        <v>97.735773713628447</v>
      </c>
      <c r="AM72" s="40">
        <v>97.8</v>
      </c>
      <c r="AN72" s="40">
        <v>96.858957935821849</v>
      </c>
      <c r="AO72" s="40">
        <v>98.003347675106397</v>
      </c>
      <c r="AP72" s="40">
        <v>98.335107750948936</v>
      </c>
      <c r="AQ72" s="40">
        <v>98.526031796946754</v>
      </c>
      <c r="AR72" s="40">
        <v>98.551492631407513</v>
      </c>
      <c r="AS72" s="40">
        <v>98.493346758272125</v>
      </c>
      <c r="AT72" s="40">
        <v>98.422163741220473</v>
      </c>
      <c r="AU72" s="40">
        <v>95.922612669418839</v>
      </c>
      <c r="AV72" s="40">
        <v>97.568344051090364</v>
      </c>
      <c r="AW72" s="40">
        <v>98.034086986063684</v>
      </c>
      <c r="AX72" s="40">
        <v>98.317886765684975</v>
      </c>
      <c r="AY72" s="40">
        <v>98.343247316145977</v>
      </c>
      <c r="AZ72" s="40">
        <v>98.304327830005803</v>
      </c>
      <c r="BA72" s="40">
        <v>98.163305837510407</v>
      </c>
      <c r="BB72" s="174">
        <v>42917</v>
      </c>
      <c r="BC72" s="174">
        <v>43388</v>
      </c>
    </row>
    <row r="73" spans="1:55" s="44" customFormat="1" ht="45">
      <c r="A73" s="18" t="s">
        <v>0</v>
      </c>
      <c r="B73" s="18" t="s">
        <v>830</v>
      </c>
      <c r="C73" s="23" t="s">
        <v>10</v>
      </c>
      <c r="D73" s="23" t="s">
        <v>10</v>
      </c>
      <c r="E73" s="23" t="s">
        <v>11</v>
      </c>
      <c r="F73" s="23" t="s">
        <v>11</v>
      </c>
      <c r="G73" s="18" t="s">
        <v>123</v>
      </c>
      <c r="H73" s="19">
        <v>60</v>
      </c>
      <c r="I73" s="19">
        <v>480</v>
      </c>
      <c r="J73" s="19">
        <v>98</v>
      </c>
      <c r="K73" s="21" t="s">
        <v>1215</v>
      </c>
      <c r="L73" s="49" t="s">
        <v>420</v>
      </c>
      <c r="M73" s="21" t="s">
        <v>421</v>
      </c>
      <c r="N73" s="174">
        <v>43388</v>
      </c>
      <c r="O73" s="23" t="s">
        <v>17</v>
      </c>
      <c r="P73" s="23" t="s">
        <v>17</v>
      </c>
      <c r="Q73" s="23" t="s">
        <v>17</v>
      </c>
      <c r="R73" s="150" t="s">
        <v>26</v>
      </c>
      <c r="S73" s="20" t="s">
        <v>10</v>
      </c>
      <c r="T73" s="20" t="s">
        <v>11</v>
      </c>
      <c r="U73" s="19">
        <v>0.8</v>
      </c>
      <c r="V73" s="19">
        <v>60</v>
      </c>
      <c r="W73" s="19">
        <v>0.8</v>
      </c>
      <c r="X73" s="19">
        <v>570</v>
      </c>
      <c r="Y73" s="19">
        <v>720</v>
      </c>
      <c r="Z73" s="19">
        <v>800</v>
      </c>
      <c r="AA73" s="40">
        <v>6</v>
      </c>
      <c r="AB73" s="40">
        <v>12</v>
      </c>
      <c r="AC73" s="40">
        <v>18</v>
      </c>
      <c r="AD73" s="40">
        <v>30</v>
      </c>
      <c r="AE73" s="40">
        <v>45</v>
      </c>
      <c r="AF73" s="40">
        <v>60</v>
      </c>
      <c r="AG73" s="40">
        <v>96.7</v>
      </c>
      <c r="AH73" s="40">
        <v>97.7</v>
      </c>
      <c r="AI73" s="40">
        <v>97.9</v>
      </c>
      <c r="AJ73" s="40">
        <v>98</v>
      </c>
      <c r="AK73" s="40">
        <v>98</v>
      </c>
      <c r="AL73" s="40">
        <v>97.8</v>
      </c>
      <c r="AM73" s="40">
        <v>97.9</v>
      </c>
      <c r="AN73" s="40">
        <v>97.2</v>
      </c>
      <c r="AO73" s="40">
        <v>98.1</v>
      </c>
      <c r="AP73" s="40">
        <v>98.4</v>
      </c>
      <c r="AQ73" s="40">
        <v>98.5</v>
      </c>
      <c r="AR73" s="40">
        <v>98.5</v>
      </c>
      <c r="AS73" s="40">
        <v>98.4</v>
      </c>
      <c r="AT73" s="40">
        <v>98.4</v>
      </c>
      <c r="AU73" s="40">
        <v>96.4</v>
      </c>
      <c r="AV73" s="40">
        <v>97.8</v>
      </c>
      <c r="AW73" s="40">
        <v>98.1</v>
      </c>
      <c r="AX73" s="40">
        <v>98.3</v>
      </c>
      <c r="AY73" s="40">
        <v>98.3</v>
      </c>
      <c r="AZ73" s="40">
        <v>98.2</v>
      </c>
      <c r="BA73" s="40">
        <v>98.2</v>
      </c>
      <c r="BB73" s="174">
        <v>42917</v>
      </c>
      <c r="BC73" s="174">
        <v>43388</v>
      </c>
    </row>
    <row r="74" spans="1:55" s="44" customFormat="1" ht="45">
      <c r="A74" s="18" t="s">
        <v>0</v>
      </c>
      <c r="B74" s="18" t="s">
        <v>831</v>
      </c>
      <c r="C74" s="23" t="s">
        <v>10</v>
      </c>
      <c r="D74" s="23" t="s">
        <v>10</v>
      </c>
      <c r="E74" s="23" t="s">
        <v>10</v>
      </c>
      <c r="F74" s="23" t="s">
        <v>11</v>
      </c>
      <c r="G74" s="18" t="s">
        <v>650</v>
      </c>
      <c r="H74" s="19">
        <v>60</v>
      </c>
      <c r="I74" s="37">
        <v>480</v>
      </c>
      <c r="J74" s="19">
        <v>98</v>
      </c>
      <c r="K74" s="21" t="s">
        <v>1215</v>
      </c>
      <c r="L74" s="49" t="s">
        <v>651</v>
      </c>
      <c r="M74" s="38" t="s">
        <v>652</v>
      </c>
      <c r="N74" s="174">
        <v>43388</v>
      </c>
      <c r="O74" s="49" t="s">
        <v>651</v>
      </c>
      <c r="P74" s="23" t="s">
        <v>17</v>
      </c>
      <c r="Q74" s="23" t="s">
        <v>17</v>
      </c>
      <c r="R74" s="151"/>
      <c r="S74" s="39" t="s">
        <v>10</v>
      </c>
      <c r="T74" s="39" t="s">
        <v>11</v>
      </c>
      <c r="U74" s="153">
        <v>0.6</v>
      </c>
      <c r="V74" s="153"/>
      <c r="W74" s="153"/>
      <c r="X74" s="153">
        <v>570</v>
      </c>
      <c r="Y74" s="153">
        <v>720</v>
      </c>
      <c r="Z74" s="153">
        <v>800</v>
      </c>
      <c r="AA74" s="40">
        <v>6</v>
      </c>
      <c r="AB74" s="40">
        <v>12</v>
      </c>
      <c r="AC74" s="40">
        <v>18</v>
      </c>
      <c r="AD74" s="40">
        <v>30</v>
      </c>
      <c r="AE74" s="40">
        <v>45</v>
      </c>
      <c r="AF74" s="40">
        <v>60</v>
      </c>
      <c r="AG74" s="40">
        <v>96.7</v>
      </c>
      <c r="AH74" s="40">
        <v>97.6</v>
      </c>
      <c r="AI74" s="40">
        <v>97.8</v>
      </c>
      <c r="AJ74" s="40">
        <v>97.9</v>
      </c>
      <c r="AK74" s="40">
        <v>97.8</v>
      </c>
      <c r="AL74" s="40">
        <v>97.6</v>
      </c>
      <c r="AM74" s="40">
        <v>97.8</v>
      </c>
      <c r="AN74" s="40">
        <v>97.3</v>
      </c>
      <c r="AO74" s="40">
        <v>98.3</v>
      </c>
      <c r="AP74" s="40">
        <v>98.5</v>
      </c>
      <c r="AQ74" s="40">
        <v>98.6</v>
      </c>
      <c r="AR74" s="40">
        <v>98.6</v>
      </c>
      <c r="AS74" s="40">
        <v>98.4</v>
      </c>
      <c r="AT74" s="40">
        <v>98.5</v>
      </c>
      <c r="AU74" s="40">
        <v>96.7</v>
      </c>
      <c r="AV74" s="40">
        <v>98</v>
      </c>
      <c r="AW74" s="40">
        <v>98.3</v>
      </c>
      <c r="AX74" s="40">
        <v>98.4</v>
      </c>
      <c r="AY74" s="40">
        <v>98.4</v>
      </c>
      <c r="AZ74" s="40">
        <v>98.3</v>
      </c>
      <c r="BA74" s="40">
        <v>98.3</v>
      </c>
      <c r="BB74" s="174">
        <v>43252</v>
      </c>
      <c r="BC74" s="174">
        <v>43388</v>
      </c>
    </row>
    <row r="75" spans="1:55" s="44" customFormat="1" ht="45">
      <c r="A75" s="18" t="s">
        <v>0</v>
      </c>
      <c r="B75" s="18" t="s">
        <v>342</v>
      </c>
      <c r="C75" s="23" t="s">
        <v>10</v>
      </c>
      <c r="D75" s="23" t="s">
        <v>10</v>
      </c>
      <c r="E75" s="23" t="s">
        <v>10</v>
      </c>
      <c r="F75" s="23" t="s">
        <v>11</v>
      </c>
      <c r="G75" s="18" t="s">
        <v>138</v>
      </c>
      <c r="H75" s="19">
        <v>7.6</v>
      </c>
      <c r="I75" s="19">
        <v>208</v>
      </c>
      <c r="J75" s="19">
        <v>97</v>
      </c>
      <c r="K75" s="21" t="s">
        <v>1215</v>
      </c>
      <c r="L75" s="49" t="s">
        <v>416</v>
      </c>
      <c r="M75" s="21" t="s">
        <v>419</v>
      </c>
      <c r="N75" s="174">
        <v>43388</v>
      </c>
      <c r="O75" s="124" t="s">
        <v>416</v>
      </c>
      <c r="P75" s="23" t="s">
        <v>17</v>
      </c>
      <c r="Q75" s="23" t="s">
        <v>17</v>
      </c>
      <c r="R75" s="150" t="s">
        <v>26</v>
      </c>
      <c r="S75" s="20" t="s">
        <v>10</v>
      </c>
      <c r="T75" s="20" t="s">
        <v>11</v>
      </c>
      <c r="U75" s="19">
        <v>1.3</v>
      </c>
      <c r="V75" s="19"/>
      <c r="W75" s="19"/>
      <c r="X75" s="19">
        <v>200</v>
      </c>
      <c r="Y75" s="19">
        <v>340</v>
      </c>
      <c r="Z75" s="19">
        <v>480</v>
      </c>
      <c r="AA75" s="40">
        <v>0.76</v>
      </c>
      <c r="AB75" s="40">
        <v>1.52</v>
      </c>
      <c r="AC75" s="40">
        <v>2.2799999999999998</v>
      </c>
      <c r="AD75" s="40">
        <v>3.8</v>
      </c>
      <c r="AE75" s="40">
        <v>5.7</v>
      </c>
      <c r="AF75" s="40">
        <v>7.6</v>
      </c>
      <c r="AG75" s="40">
        <v>93.9</v>
      </c>
      <c r="AH75" s="40">
        <v>96</v>
      </c>
      <c r="AI75" s="40">
        <v>96.4</v>
      </c>
      <c r="AJ75" s="40">
        <v>96.5</v>
      </c>
      <c r="AK75" s="40">
        <v>96.4</v>
      </c>
      <c r="AL75" s="40">
        <v>96.1</v>
      </c>
      <c r="AM75" s="40">
        <v>96.3</v>
      </c>
      <c r="AN75" s="40">
        <v>95.6</v>
      </c>
      <c r="AO75" s="40">
        <v>97.1</v>
      </c>
      <c r="AP75" s="40">
        <v>97.4</v>
      </c>
      <c r="AQ75" s="40">
        <v>97.4</v>
      </c>
      <c r="AR75" s="40">
        <v>97.3</v>
      </c>
      <c r="AS75" s="40">
        <v>97</v>
      </c>
      <c r="AT75" s="40">
        <v>97.2</v>
      </c>
      <c r="AU75" s="40">
        <v>93.8</v>
      </c>
      <c r="AV75" s="40">
        <v>96.3</v>
      </c>
      <c r="AW75" s="40">
        <v>96.8</v>
      </c>
      <c r="AX75" s="40">
        <v>97.1</v>
      </c>
      <c r="AY75" s="40">
        <v>97</v>
      </c>
      <c r="AZ75" s="40">
        <v>96.7</v>
      </c>
      <c r="BA75" s="40">
        <v>96.8</v>
      </c>
      <c r="BB75" s="174">
        <v>42917</v>
      </c>
      <c r="BC75" s="174">
        <v>43511</v>
      </c>
    </row>
    <row r="76" spans="1:55" s="44" customFormat="1" ht="45">
      <c r="A76" s="18" t="s">
        <v>0</v>
      </c>
      <c r="B76" s="18" t="s">
        <v>343</v>
      </c>
      <c r="C76" s="23" t="s">
        <v>10</v>
      </c>
      <c r="D76" s="23" t="s">
        <v>10</v>
      </c>
      <c r="E76" s="23" t="s">
        <v>10</v>
      </c>
      <c r="F76" s="23" t="s">
        <v>11</v>
      </c>
      <c r="G76" s="18" t="s">
        <v>139</v>
      </c>
      <c r="H76" s="19">
        <v>7.6</v>
      </c>
      <c r="I76" s="19">
        <v>240</v>
      </c>
      <c r="J76" s="19">
        <v>97</v>
      </c>
      <c r="K76" s="21" t="s">
        <v>1215</v>
      </c>
      <c r="L76" s="49" t="s">
        <v>416</v>
      </c>
      <c r="M76" s="21" t="s">
        <v>419</v>
      </c>
      <c r="N76" s="174">
        <v>43388</v>
      </c>
      <c r="O76" s="124" t="s">
        <v>416</v>
      </c>
      <c r="P76" s="23" t="s">
        <v>17</v>
      </c>
      <c r="Q76" s="23" t="s">
        <v>17</v>
      </c>
      <c r="R76" s="150" t="s">
        <v>26</v>
      </c>
      <c r="S76" s="20" t="s">
        <v>10</v>
      </c>
      <c r="T76" s="20" t="s">
        <v>11</v>
      </c>
      <c r="U76" s="19">
        <v>1.4</v>
      </c>
      <c r="V76" s="19"/>
      <c r="W76" s="19"/>
      <c r="X76" s="19">
        <v>200</v>
      </c>
      <c r="Y76" s="19">
        <v>380</v>
      </c>
      <c r="Z76" s="19">
        <v>480</v>
      </c>
      <c r="AA76" s="40">
        <v>0.76</v>
      </c>
      <c r="AB76" s="40">
        <v>1.52</v>
      </c>
      <c r="AC76" s="40">
        <v>2.2799999999999998</v>
      </c>
      <c r="AD76" s="40">
        <v>3.8</v>
      </c>
      <c r="AE76" s="40">
        <v>5.7</v>
      </c>
      <c r="AF76" s="40">
        <v>7.6</v>
      </c>
      <c r="AG76" s="40">
        <v>93.1</v>
      </c>
      <c r="AH76" s="40">
        <v>95.7</v>
      </c>
      <c r="AI76" s="40">
        <v>96.3</v>
      </c>
      <c r="AJ76" s="40">
        <v>96.6</v>
      </c>
      <c r="AK76" s="40">
        <v>96.5</v>
      </c>
      <c r="AL76" s="40">
        <v>96.3</v>
      </c>
      <c r="AM76" s="40">
        <v>96.3</v>
      </c>
      <c r="AN76" s="40">
        <v>95.4</v>
      </c>
      <c r="AO76" s="40">
        <v>97.1</v>
      </c>
      <c r="AP76" s="40">
        <v>97.5</v>
      </c>
      <c r="AQ76" s="40">
        <v>97.7</v>
      </c>
      <c r="AR76" s="40">
        <v>97.6</v>
      </c>
      <c r="AS76" s="40">
        <v>97.4</v>
      </c>
      <c r="AT76" s="40">
        <v>97.5</v>
      </c>
      <c r="AU76" s="40">
        <v>93.9</v>
      </c>
      <c r="AV76" s="40">
        <v>96.5</v>
      </c>
      <c r="AW76" s="40">
        <v>97.1</v>
      </c>
      <c r="AX76" s="40">
        <v>97.4</v>
      </c>
      <c r="AY76" s="40">
        <v>97.4</v>
      </c>
      <c r="AZ76" s="40">
        <v>97.2</v>
      </c>
      <c r="BA76" s="40">
        <v>97.2</v>
      </c>
      <c r="BB76" s="174">
        <v>42917</v>
      </c>
      <c r="BC76" s="174">
        <v>43511</v>
      </c>
    </row>
    <row r="77" spans="1:55" s="44" customFormat="1" ht="45">
      <c r="A77" s="18" t="s">
        <v>0</v>
      </c>
      <c r="B77" s="18" t="s">
        <v>344</v>
      </c>
      <c r="C77" s="23" t="s">
        <v>10</v>
      </c>
      <c r="D77" s="23" t="s">
        <v>10</v>
      </c>
      <c r="E77" s="23" t="s">
        <v>10</v>
      </c>
      <c r="F77" s="23" t="s">
        <v>11</v>
      </c>
      <c r="G77" s="18" t="s">
        <v>140</v>
      </c>
      <c r="H77" s="19">
        <v>7.6</v>
      </c>
      <c r="I77" s="19">
        <v>277</v>
      </c>
      <c r="J77" s="19">
        <v>97</v>
      </c>
      <c r="K77" s="21" t="s">
        <v>1215</v>
      </c>
      <c r="L77" s="49" t="s">
        <v>416</v>
      </c>
      <c r="M77" s="21" t="s">
        <v>419</v>
      </c>
      <c r="N77" s="174">
        <v>43388</v>
      </c>
      <c r="O77" s="124" t="s">
        <v>416</v>
      </c>
      <c r="P77" s="23" t="s">
        <v>17</v>
      </c>
      <c r="Q77" s="23" t="s">
        <v>17</v>
      </c>
      <c r="R77" s="150" t="s">
        <v>26</v>
      </c>
      <c r="S77" s="20" t="s">
        <v>10</v>
      </c>
      <c r="T77" s="20" t="s">
        <v>11</v>
      </c>
      <c r="U77" s="19">
        <v>1.5</v>
      </c>
      <c r="V77" s="19"/>
      <c r="W77" s="19"/>
      <c r="X77" s="19">
        <v>200</v>
      </c>
      <c r="Y77" s="19">
        <v>380</v>
      </c>
      <c r="Z77" s="19">
        <v>480</v>
      </c>
      <c r="AA77" s="40">
        <v>0.76</v>
      </c>
      <c r="AB77" s="40">
        <v>1.52</v>
      </c>
      <c r="AC77" s="40">
        <v>2.2799999999999998</v>
      </c>
      <c r="AD77" s="40">
        <v>3.8</v>
      </c>
      <c r="AE77" s="40">
        <v>5.7</v>
      </c>
      <c r="AF77" s="40">
        <v>7.6</v>
      </c>
      <c r="AG77" s="40">
        <v>92.1</v>
      </c>
      <c r="AH77" s="40">
        <v>95.3</v>
      </c>
      <c r="AI77" s="40">
        <v>96.1</v>
      </c>
      <c r="AJ77" s="40">
        <v>96.6</v>
      </c>
      <c r="AK77" s="40">
        <v>96.6</v>
      </c>
      <c r="AL77" s="40">
        <v>96.4</v>
      </c>
      <c r="AM77" s="40">
        <v>96.3</v>
      </c>
      <c r="AN77" s="40">
        <v>93.9</v>
      </c>
      <c r="AO77" s="40">
        <v>96.4</v>
      </c>
      <c r="AP77" s="40">
        <v>97</v>
      </c>
      <c r="AQ77" s="40">
        <v>97.4</v>
      </c>
      <c r="AR77" s="40">
        <v>97.4</v>
      </c>
      <c r="AS77" s="40">
        <v>97.3</v>
      </c>
      <c r="AT77" s="40">
        <v>97.2</v>
      </c>
      <c r="AU77" s="40">
        <v>94.2</v>
      </c>
      <c r="AV77" s="40">
        <v>96.7</v>
      </c>
      <c r="AW77" s="40">
        <v>97.3</v>
      </c>
      <c r="AX77" s="40">
        <v>97.7</v>
      </c>
      <c r="AY77" s="40">
        <v>97.7</v>
      </c>
      <c r="AZ77" s="40">
        <v>97.7</v>
      </c>
      <c r="BA77" s="40">
        <v>97.5</v>
      </c>
      <c r="BB77" s="174">
        <v>42917</v>
      </c>
      <c r="BC77" s="174">
        <v>43511</v>
      </c>
    </row>
    <row r="78" spans="1:55" s="44" customFormat="1" ht="45">
      <c r="A78" s="18" t="s">
        <v>0</v>
      </c>
      <c r="B78" s="18" t="s">
        <v>345</v>
      </c>
      <c r="C78" s="23" t="s">
        <v>10</v>
      </c>
      <c r="D78" s="23" t="s">
        <v>10</v>
      </c>
      <c r="E78" s="23" t="s">
        <v>10</v>
      </c>
      <c r="F78" s="23" t="s">
        <v>11</v>
      </c>
      <c r="G78" s="18" t="s">
        <v>138</v>
      </c>
      <c r="H78" s="19">
        <v>7.6</v>
      </c>
      <c r="I78" s="19">
        <v>208</v>
      </c>
      <c r="J78" s="19">
        <v>97</v>
      </c>
      <c r="K78" s="21" t="s">
        <v>1215</v>
      </c>
      <c r="L78" s="49" t="s">
        <v>416</v>
      </c>
      <c r="M78" s="21" t="s">
        <v>419</v>
      </c>
      <c r="N78" s="174">
        <v>43388</v>
      </c>
      <c r="O78" s="124" t="s">
        <v>416</v>
      </c>
      <c r="P78" s="23" t="s">
        <v>17</v>
      </c>
      <c r="Q78" s="23" t="s">
        <v>17</v>
      </c>
      <c r="R78" s="150" t="s">
        <v>26</v>
      </c>
      <c r="S78" s="20" t="s">
        <v>10</v>
      </c>
      <c r="T78" s="20" t="s">
        <v>11</v>
      </c>
      <c r="U78" s="19">
        <v>1.3</v>
      </c>
      <c r="V78" s="19"/>
      <c r="W78" s="19"/>
      <c r="X78" s="19">
        <v>200</v>
      </c>
      <c r="Y78" s="19">
        <v>340</v>
      </c>
      <c r="Z78" s="19">
        <v>480</v>
      </c>
      <c r="AA78" s="40">
        <v>0.76</v>
      </c>
      <c r="AB78" s="40">
        <v>1.52</v>
      </c>
      <c r="AC78" s="40">
        <v>2.2799999999999998</v>
      </c>
      <c r="AD78" s="40">
        <v>3.8</v>
      </c>
      <c r="AE78" s="40">
        <v>5.7</v>
      </c>
      <c r="AF78" s="40">
        <v>7.6</v>
      </c>
      <c r="AG78" s="40">
        <v>93.9</v>
      </c>
      <c r="AH78" s="40">
        <v>96</v>
      </c>
      <c r="AI78" s="40">
        <v>96.4</v>
      </c>
      <c r="AJ78" s="40">
        <v>96.5</v>
      </c>
      <c r="AK78" s="40">
        <v>96.4</v>
      </c>
      <c r="AL78" s="40">
        <v>96.1</v>
      </c>
      <c r="AM78" s="40">
        <v>96.3</v>
      </c>
      <c r="AN78" s="40">
        <v>95.6</v>
      </c>
      <c r="AO78" s="40">
        <v>97.1</v>
      </c>
      <c r="AP78" s="40">
        <v>97.4</v>
      </c>
      <c r="AQ78" s="40">
        <v>97.4</v>
      </c>
      <c r="AR78" s="40">
        <v>97.3</v>
      </c>
      <c r="AS78" s="40">
        <v>97</v>
      </c>
      <c r="AT78" s="40">
        <v>97.2</v>
      </c>
      <c r="AU78" s="40">
        <v>93.8</v>
      </c>
      <c r="AV78" s="40">
        <v>96.3</v>
      </c>
      <c r="AW78" s="40">
        <v>96.8</v>
      </c>
      <c r="AX78" s="40">
        <v>97.1</v>
      </c>
      <c r="AY78" s="40">
        <v>97</v>
      </c>
      <c r="AZ78" s="40">
        <v>96.7</v>
      </c>
      <c r="BA78" s="40">
        <v>96.8</v>
      </c>
      <c r="BB78" s="174">
        <v>42917</v>
      </c>
      <c r="BC78" s="174">
        <v>43511</v>
      </c>
    </row>
    <row r="79" spans="1:55" s="44" customFormat="1" ht="45">
      <c r="A79" s="18" t="s">
        <v>0</v>
      </c>
      <c r="B79" s="18" t="s">
        <v>346</v>
      </c>
      <c r="C79" s="23" t="s">
        <v>10</v>
      </c>
      <c r="D79" s="23" t="s">
        <v>10</v>
      </c>
      <c r="E79" s="23" t="s">
        <v>10</v>
      </c>
      <c r="F79" s="23" t="s">
        <v>11</v>
      </c>
      <c r="G79" s="18" t="s">
        <v>139</v>
      </c>
      <c r="H79" s="19">
        <v>7.6</v>
      </c>
      <c r="I79" s="19">
        <v>240</v>
      </c>
      <c r="J79" s="19">
        <v>97</v>
      </c>
      <c r="K79" s="21" t="s">
        <v>1215</v>
      </c>
      <c r="L79" s="49" t="s">
        <v>416</v>
      </c>
      <c r="M79" s="21" t="s">
        <v>419</v>
      </c>
      <c r="N79" s="174">
        <v>43388</v>
      </c>
      <c r="O79" s="124" t="s">
        <v>416</v>
      </c>
      <c r="P79" s="23" t="s">
        <v>17</v>
      </c>
      <c r="Q79" s="23" t="s">
        <v>17</v>
      </c>
      <c r="R79" s="150" t="s">
        <v>26</v>
      </c>
      <c r="S79" s="20" t="s">
        <v>10</v>
      </c>
      <c r="T79" s="20" t="s">
        <v>11</v>
      </c>
      <c r="U79" s="19">
        <v>1.4</v>
      </c>
      <c r="V79" s="19"/>
      <c r="W79" s="19"/>
      <c r="X79" s="19">
        <v>200</v>
      </c>
      <c r="Y79" s="19">
        <v>380</v>
      </c>
      <c r="Z79" s="19">
        <v>480</v>
      </c>
      <c r="AA79" s="40">
        <v>0.76</v>
      </c>
      <c r="AB79" s="40">
        <v>1.52</v>
      </c>
      <c r="AC79" s="40">
        <v>2.2799999999999998</v>
      </c>
      <c r="AD79" s="40">
        <v>3.8</v>
      </c>
      <c r="AE79" s="40">
        <v>5.7</v>
      </c>
      <c r="AF79" s="40">
        <v>7.6</v>
      </c>
      <c r="AG79" s="40">
        <v>93.1</v>
      </c>
      <c r="AH79" s="40">
        <v>95.7</v>
      </c>
      <c r="AI79" s="40">
        <v>96.3</v>
      </c>
      <c r="AJ79" s="40">
        <v>96.6</v>
      </c>
      <c r="AK79" s="40">
        <v>96.5</v>
      </c>
      <c r="AL79" s="40">
        <v>96.3</v>
      </c>
      <c r="AM79" s="40">
        <v>96.3</v>
      </c>
      <c r="AN79" s="40">
        <v>95.4</v>
      </c>
      <c r="AO79" s="40">
        <v>97.1</v>
      </c>
      <c r="AP79" s="40">
        <v>97.5</v>
      </c>
      <c r="AQ79" s="40">
        <v>97.7</v>
      </c>
      <c r="AR79" s="40">
        <v>97.6</v>
      </c>
      <c r="AS79" s="40">
        <v>97.4</v>
      </c>
      <c r="AT79" s="40">
        <v>97.5</v>
      </c>
      <c r="AU79" s="40">
        <v>93.9</v>
      </c>
      <c r="AV79" s="40">
        <v>96.5</v>
      </c>
      <c r="AW79" s="40">
        <v>97.1</v>
      </c>
      <c r="AX79" s="40">
        <v>97.4</v>
      </c>
      <c r="AY79" s="40">
        <v>97.4</v>
      </c>
      <c r="AZ79" s="40">
        <v>97.2</v>
      </c>
      <c r="BA79" s="40">
        <v>97.2</v>
      </c>
      <c r="BB79" s="174">
        <v>42917</v>
      </c>
      <c r="BC79" s="174">
        <v>43511</v>
      </c>
    </row>
    <row r="80" spans="1:55" s="44" customFormat="1" ht="45">
      <c r="A80" s="18" t="s">
        <v>0</v>
      </c>
      <c r="B80" s="18" t="s">
        <v>347</v>
      </c>
      <c r="C80" s="23" t="s">
        <v>10</v>
      </c>
      <c r="D80" s="23" t="s">
        <v>10</v>
      </c>
      <c r="E80" s="23" t="s">
        <v>10</v>
      </c>
      <c r="F80" s="23" t="s">
        <v>11</v>
      </c>
      <c r="G80" s="18" t="s">
        <v>140</v>
      </c>
      <c r="H80" s="19">
        <v>7.6</v>
      </c>
      <c r="I80" s="19">
        <v>277</v>
      </c>
      <c r="J80" s="19">
        <v>97</v>
      </c>
      <c r="K80" s="21" t="s">
        <v>1215</v>
      </c>
      <c r="L80" s="49" t="s">
        <v>416</v>
      </c>
      <c r="M80" s="21" t="s">
        <v>419</v>
      </c>
      <c r="N80" s="174">
        <v>43388</v>
      </c>
      <c r="O80" s="124" t="s">
        <v>416</v>
      </c>
      <c r="P80" s="23" t="s">
        <v>17</v>
      </c>
      <c r="Q80" s="23" t="s">
        <v>17</v>
      </c>
      <c r="R80" s="150" t="s">
        <v>26</v>
      </c>
      <c r="S80" s="20" t="s">
        <v>10</v>
      </c>
      <c r="T80" s="20" t="s">
        <v>11</v>
      </c>
      <c r="U80" s="19">
        <v>1.5</v>
      </c>
      <c r="V80" s="19"/>
      <c r="W80" s="19"/>
      <c r="X80" s="19">
        <v>200</v>
      </c>
      <c r="Y80" s="19">
        <v>380</v>
      </c>
      <c r="Z80" s="19">
        <v>480</v>
      </c>
      <c r="AA80" s="40">
        <v>0.76</v>
      </c>
      <c r="AB80" s="40">
        <v>1.52</v>
      </c>
      <c r="AC80" s="40">
        <v>2.2799999999999998</v>
      </c>
      <c r="AD80" s="40">
        <v>3.8</v>
      </c>
      <c r="AE80" s="40">
        <v>5.7</v>
      </c>
      <c r="AF80" s="40">
        <v>7.6</v>
      </c>
      <c r="AG80" s="40">
        <v>92.1</v>
      </c>
      <c r="AH80" s="40">
        <v>95.3</v>
      </c>
      <c r="AI80" s="40">
        <v>96.1</v>
      </c>
      <c r="AJ80" s="40">
        <v>96.6</v>
      </c>
      <c r="AK80" s="40">
        <v>96.6</v>
      </c>
      <c r="AL80" s="40">
        <v>96.4</v>
      </c>
      <c r="AM80" s="40">
        <v>96.3</v>
      </c>
      <c r="AN80" s="40">
        <v>93.9</v>
      </c>
      <c r="AO80" s="40">
        <v>96.4</v>
      </c>
      <c r="AP80" s="40">
        <v>97</v>
      </c>
      <c r="AQ80" s="40">
        <v>97.4</v>
      </c>
      <c r="AR80" s="40">
        <v>97.4</v>
      </c>
      <c r="AS80" s="40">
        <v>97.3</v>
      </c>
      <c r="AT80" s="40">
        <v>97.2</v>
      </c>
      <c r="AU80" s="40">
        <v>94.2</v>
      </c>
      <c r="AV80" s="40">
        <v>96.7</v>
      </c>
      <c r="AW80" s="40">
        <v>97.3</v>
      </c>
      <c r="AX80" s="40">
        <v>97.7</v>
      </c>
      <c r="AY80" s="40">
        <v>97.7</v>
      </c>
      <c r="AZ80" s="40">
        <v>97.7</v>
      </c>
      <c r="BA80" s="40">
        <v>97.5</v>
      </c>
      <c r="BB80" s="174">
        <v>42917</v>
      </c>
      <c r="BC80" s="174">
        <v>43511</v>
      </c>
    </row>
    <row r="81" spans="1:55" s="44" customFormat="1" ht="45">
      <c r="A81" s="18" t="s">
        <v>0</v>
      </c>
      <c r="B81" s="18" t="s">
        <v>824</v>
      </c>
      <c r="C81" s="23" t="s">
        <v>10</v>
      </c>
      <c r="D81" s="23" t="s">
        <v>10</v>
      </c>
      <c r="E81" s="23" t="s">
        <v>10</v>
      </c>
      <c r="F81" s="23" t="s">
        <v>11</v>
      </c>
      <c r="G81" s="18" t="s">
        <v>138</v>
      </c>
      <c r="H81" s="19">
        <v>7.6</v>
      </c>
      <c r="I81" s="19">
        <v>208</v>
      </c>
      <c r="J81" s="19">
        <v>97</v>
      </c>
      <c r="K81" s="21" t="s">
        <v>1215</v>
      </c>
      <c r="L81" s="49" t="s">
        <v>416</v>
      </c>
      <c r="M81" s="21" t="s">
        <v>419</v>
      </c>
      <c r="N81" s="174">
        <v>43388</v>
      </c>
      <c r="O81" s="124" t="s">
        <v>416</v>
      </c>
      <c r="P81" s="23" t="s">
        <v>17</v>
      </c>
      <c r="Q81" s="23" t="s">
        <v>17</v>
      </c>
      <c r="R81" s="150" t="s">
        <v>26</v>
      </c>
      <c r="S81" s="20" t="s">
        <v>10</v>
      </c>
      <c r="T81" s="20" t="s">
        <v>11</v>
      </c>
      <c r="U81" s="19">
        <v>1.3</v>
      </c>
      <c r="V81" s="19"/>
      <c r="W81" s="19"/>
      <c r="X81" s="19">
        <v>200</v>
      </c>
      <c r="Y81" s="19">
        <v>340</v>
      </c>
      <c r="Z81" s="19">
        <v>480</v>
      </c>
      <c r="AA81" s="40">
        <v>0.76</v>
      </c>
      <c r="AB81" s="40">
        <v>1.52</v>
      </c>
      <c r="AC81" s="40">
        <v>2.2799999999999998</v>
      </c>
      <c r="AD81" s="40">
        <v>3.8</v>
      </c>
      <c r="AE81" s="40">
        <v>5.7</v>
      </c>
      <c r="AF81" s="40">
        <v>7.6</v>
      </c>
      <c r="AG81" s="40">
        <v>93.9</v>
      </c>
      <c r="AH81" s="40">
        <v>96</v>
      </c>
      <c r="AI81" s="40">
        <v>96.4</v>
      </c>
      <c r="AJ81" s="40">
        <v>96.5</v>
      </c>
      <c r="AK81" s="40">
        <v>96.4</v>
      </c>
      <c r="AL81" s="40">
        <v>96.1</v>
      </c>
      <c r="AM81" s="40">
        <v>96.3</v>
      </c>
      <c r="AN81" s="40">
        <v>95.6</v>
      </c>
      <c r="AO81" s="40">
        <v>97.1</v>
      </c>
      <c r="AP81" s="40">
        <v>97.4</v>
      </c>
      <c r="AQ81" s="40">
        <v>97.4</v>
      </c>
      <c r="AR81" s="40">
        <v>97.3</v>
      </c>
      <c r="AS81" s="40">
        <v>97</v>
      </c>
      <c r="AT81" s="40">
        <v>97.2</v>
      </c>
      <c r="AU81" s="40">
        <v>93.8</v>
      </c>
      <c r="AV81" s="40">
        <v>96.3</v>
      </c>
      <c r="AW81" s="40">
        <v>96.8</v>
      </c>
      <c r="AX81" s="40">
        <v>97.1</v>
      </c>
      <c r="AY81" s="40">
        <v>97</v>
      </c>
      <c r="AZ81" s="40">
        <v>96.7</v>
      </c>
      <c r="BA81" s="40">
        <v>96.8</v>
      </c>
      <c r="BB81" s="174">
        <v>42917</v>
      </c>
      <c r="BC81" s="174">
        <v>43511</v>
      </c>
    </row>
    <row r="82" spans="1:55" s="44" customFormat="1" ht="45">
      <c r="A82" s="18" t="s">
        <v>0</v>
      </c>
      <c r="B82" s="18" t="s">
        <v>825</v>
      </c>
      <c r="C82" s="23" t="s">
        <v>10</v>
      </c>
      <c r="D82" s="23" t="s">
        <v>10</v>
      </c>
      <c r="E82" s="23" t="s">
        <v>10</v>
      </c>
      <c r="F82" s="23" t="s">
        <v>11</v>
      </c>
      <c r="G82" s="18" t="s">
        <v>139</v>
      </c>
      <c r="H82" s="19">
        <v>7.6</v>
      </c>
      <c r="I82" s="19">
        <v>240</v>
      </c>
      <c r="J82" s="19">
        <v>97</v>
      </c>
      <c r="K82" s="21" t="s">
        <v>1215</v>
      </c>
      <c r="L82" s="49" t="s">
        <v>416</v>
      </c>
      <c r="M82" s="21" t="s">
        <v>419</v>
      </c>
      <c r="N82" s="174">
        <v>43388</v>
      </c>
      <c r="O82" s="124" t="s">
        <v>416</v>
      </c>
      <c r="P82" s="23" t="s">
        <v>17</v>
      </c>
      <c r="Q82" s="23" t="s">
        <v>17</v>
      </c>
      <c r="R82" s="150" t="s">
        <v>26</v>
      </c>
      <c r="S82" s="20" t="s">
        <v>10</v>
      </c>
      <c r="T82" s="20" t="s">
        <v>11</v>
      </c>
      <c r="U82" s="19">
        <v>1.4</v>
      </c>
      <c r="V82" s="19"/>
      <c r="W82" s="19"/>
      <c r="X82" s="19">
        <v>200</v>
      </c>
      <c r="Y82" s="19">
        <v>380</v>
      </c>
      <c r="Z82" s="19">
        <v>480</v>
      </c>
      <c r="AA82" s="40">
        <v>0.76</v>
      </c>
      <c r="AB82" s="40">
        <v>1.52</v>
      </c>
      <c r="AC82" s="40">
        <v>2.2799999999999998</v>
      </c>
      <c r="AD82" s="40">
        <v>3.8</v>
      </c>
      <c r="AE82" s="40">
        <v>5.7</v>
      </c>
      <c r="AF82" s="40">
        <v>7.6</v>
      </c>
      <c r="AG82" s="40">
        <v>93.1</v>
      </c>
      <c r="AH82" s="40">
        <v>95.7</v>
      </c>
      <c r="AI82" s="40">
        <v>96.3</v>
      </c>
      <c r="AJ82" s="40">
        <v>96.6</v>
      </c>
      <c r="AK82" s="40">
        <v>96.5</v>
      </c>
      <c r="AL82" s="40">
        <v>96.3</v>
      </c>
      <c r="AM82" s="40">
        <v>96.3</v>
      </c>
      <c r="AN82" s="40">
        <v>95.4</v>
      </c>
      <c r="AO82" s="40">
        <v>97.1</v>
      </c>
      <c r="AP82" s="40">
        <v>97.5</v>
      </c>
      <c r="AQ82" s="40">
        <v>97.7</v>
      </c>
      <c r="AR82" s="40">
        <v>97.6</v>
      </c>
      <c r="AS82" s="40">
        <v>97.4</v>
      </c>
      <c r="AT82" s="40">
        <v>97.5</v>
      </c>
      <c r="AU82" s="40">
        <v>93.9</v>
      </c>
      <c r="AV82" s="40">
        <v>96.5</v>
      </c>
      <c r="AW82" s="40">
        <v>97.1</v>
      </c>
      <c r="AX82" s="40">
        <v>97.4</v>
      </c>
      <c r="AY82" s="40">
        <v>97.4</v>
      </c>
      <c r="AZ82" s="40">
        <v>97.2</v>
      </c>
      <c r="BA82" s="40">
        <v>97.2</v>
      </c>
      <c r="BB82" s="174">
        <v>42917</v>
      </c>
      <c r="BC82" s="174">
        <v>43511</v>
      </c>
    </row>
    <row r="83" spans="1:55" s="44" customFormat="1" ht="45">
      <c r="A83" s="18" t="s">
        <v>0</v>
      </c>
      <c r="B83" s="18" t="s">
        <v>826</v>
      </c>
      <c r="C83" s="23" t="s">
        <v>10</v>
      </c>
      <c r="D83" s="23" t="s">
        <v>10</v>
      </c>
      <c r="E83" s="23" t="s">
        <v>10</v>
      </c>
      <c r="F83" s="23" t="s">
        <v>11</v>
      </c>
      <c r="G83" s="18" t="s">
        <v>140</v>
      </c>
      <c r="H83" s="19">
        <v>7.6</v>
      </c>
      <c r="I83" s="19">
        <v>277</v>
      </c>
      <c r="J83" s="19">
        <v>97</v>
      </c>
      <c r="K83" s="21" t="s">
        <v>1215</v>
      </c>
      <c r="L83" s="49" t="s">
        <v>416</v>
      </c>
      <c r="M83" s="21" t="s">
        <v>419</v>
      </c>
      <c r="N83" s="174">
        <v>43388</v>
      </c>
      <c r="O83" s="124" t="s">
        <v>416</v>
      </c>
      <c r="P83" s="23" t="s">
        <v>17</v>
      </c>
      <c r="Q83" s="23" t="s">
        <v>17</v>
      </c>
      <c r="R83" s="150" t="s">
        <v>26</v>
      </c>
      <c r="S83" s="20" t="s">
        <v>10</v>
      </c>
      <c r="T83" s="20" t="s">
        <v>11</v>
      </c>
      <c r="U83" s="19">
        <v>1.5</v>
      </c>
      <c r="V83" s="19"/>
      <c r="W83" s="19"/>
      <c r="X83" s="19">
        <v>200</v>
      </c>
      <c r="Y83" s="19">
        <v>380</v>
      </c>
      <c r="Z83" s="19">
        <v>480</v>
      </c>
      <c r="AA83" s="40">
        <v>0.76</v>
      </c>
      <c r="AB83" s="40">
        <v>1.52</v>
      </c>
      <c r="AC83" s="40">
        <v>2.2799999999999998</v>
      </c>
      <c r="AD83" s="40">
        <v>3.8</v>
      </c>
      <c r="AE83" s="40">
        <v>5.7</v>
      </c>
      <c r="AF83" s="40">
        <v>7.6</v>
      </c>
      <c r="AG83" s="40">
        <v>92.1</v>
      </c>
      <c r="AH83" s="40">
        <v>95.3</v>
      </c>
      <c r="AI83" s="40">
        <v>96.1</v>
      </c>
      <c r="AJ83" s="40">
        <v>96.6</v>
      </c>
      <c r="AK83" s="40">
        <v>96.6</v>
      </c>
      <c r="AL83" s="40">
        <v>96.4</v>
      </c>
      <c r="AM83" s="40">
        <v>96.3</v>
      </c>
      <c r="AN83" s="40">
        <v>93.9</v>
      </c>
      <c r="AO83" s="40">
        <v>96.4</v>
      </c>
      <c r="AP83" s="40">
        <v>97</v>
      </c>
      <c r="AQ83" s="40">
        <v>97.4</v>
      </c>
      <c r="AR83" s="40">
        <v>97.4</v>
      </c>
      <c r="AS83" s="40">
        <v>97.3</v>
      </c>
      <c r="AT83" s="40">
        <v>97.2</v>
      </c>
      <c r="AU83" s="40">
        <v>94.2</v>
      </c>
      <c r="AV83" s="40">
        <v>96.7</v>
      </c>
      <c r="AW83" s="40">
        <v>97.3</v>
      </c>
      <c r="AX83" s="40">
        <v>97.7</v>
      </c>
      <c r="AY83" s="40">
        <v>97.7</v>
      </c>
      <c r="AZ83" s="40">
        <v>97.7</v>
      </c>
      <c r="BA83" s="40">
        <v>97.5</v>
      </c>
      <c r="BB83" s="174">
        <v>42917</v>
      </c>
      <c r="BC83" s="174">
        <v>43511</v>
      </c>
    </row>
    <row r="84" spans="1:55" s="44" customFormat="1" ht="45">
      <c r="A84" s="18" t="s">
        <v>0</v>
      </c>
      <c r="B84" s="18" t="s">
        <v>348</v>
      </c>
      <c r="C84" s="23" t="s">
        <v>10</v>
      </c>
      <c r="D84" s="23" t="s">
        <v>10</v>
      </c>
      <c r="E84" s="23" t="s">
        <v>10</v>
      </c>
      <c r="F84" s="23" t="s">
        <v>11</v>
      </c>
      <c r="G84" s="18" t="s">
        <v>141</v>
      </c>
      <c r="H84" s="19">
        <v>8.6</v>
      </c>
      <c r="I84" s="19">
        <v>240</v>
      </c>
      <c r="J84" s="19">
        <v>97</v>
      </c>
      <c r="K84" s="21" t="s">
        <v>1215</v>
      </c>
      <c r="L84" s="49" t="s">
        <v>416</v>
      </c>
      <c r="M84" s="21" t="s">
        <v>419</v>
      </c>
      <c r="N84" s="174">
        <v>43388</v>
      </c>
      <c r="O84" s="23" t="s">
        <v>17</v>
      </c>
      <c r="P84" s="23" t="s">
        <v>17</v>
      </c>
      <c r="Q84" s="23" t="s">
        <v>17</v>
      </c>
      <c r="R84" s="150" t="s">
        <v>26</v>
      </c>
      <c r="S84" s="20" t="s">
        <v>10</v>
      </c>
      <c r="T84" s="20" t="s">
        <v>11</v>
      </c>
      <c r="U84" s="19">
        <v>1.4</v>
      </c>
      <c r="V84" s="19"/>
      <c r="W84" s="19"/>
      <c r="X84" s="19">
        <v>200</v>
      </c>
      <c r="Y84" s="19">
        <v>380</v>
      </c>
      <c r="Z84" s="19">
        <v>480</v>
      </c>
      <c r="AA84" s="40">
        <v>0.86</v>
      </c>
      <c r="AB84" s="40">
        <v>1.72</v>
      </c>
      <c r="AC84" s="40">
        <v>2.58</v>
      </c>
      <c r="AD84" s="40">
        <v>4.3</v>
      </c>
      <c r="AE84" s="40">
        <v>6.45</v>
      </c>
      <c r="AF84" s="40">
        <v>8.6</v>
      </c>
      <c r="AG84" s="40">
        <v>93.7</v>
      </c>
      <c r="AH84" s="40">
        <v>95.9</v>
      </c>
      <c r="AI84" s="40">
        <v>96.4</v>
      </c>
      <c r="AJ84" s="40">
        <v>96.6</v>
      </c>
      <c r="AK84" s="40">
        <v>96.4</v>
      </c>
      <c r="AL84" s="40">
        <v>96.2</v>
      </c>
      <c r="AM84" s="40">
        <v>96.3</v>
      </c>
      <c r="AN84" s="40">
        <v>95.7</v>
      </c>
      <c r="AO84" s="40">
        <v>97.3</v>
      </c>
      <c r="AP84" s="40">
        <v>97.6</v>
      </c>
      <c r="AQ84" s="40">
        <v>97.7</v>
      </c>
      <c r="AR84" s="40">
        <v>97.6</v>
      </c>
      <c r="AS84" s="40">
        <v>97.4</v>
      </c>
      <c r="AT84" s="40">
        <v>97.5</v>
      </c>
      <c r="AU84" s="40">
        <v>94.5</v>
      </c>
      <c r="AV84" s="40">
        <v>96.7</v>
      </c>
      <c r="AW84" s="40">
        <v>97.2</v>
      </c>
      <c r="AX84" s="40">
        <v>97.4</v>
      </c>
      <c r="AY84" s="40">
        <v>97.4</v>
      </c>
      <c r="AZ84" s="40">
        <v>97.2</v>
      </c>
      <c r="BA84" s="40">
        <v>97.2</v>
      </c>
      <c r="BB84" s="174">
        <v>42917</v>
      </c>
      <c r="BC84" s="174">
        <v>43511</v>
      </c>
    </row>
    <row r="85" spans="1:55" s="44" customFormat="1" ht="45">
      <c r="A85" s="18" t="s">
        <v>0</v>
      </c>
      <c r="B85" s="18" t="s">
        <v>349</v>
      </c>
      <c r="C85" s="23" t="s">
        <v>10</v>
      </c>
      <c r="D85" s="23" t="s">
        <v>10</v>
      </c>
      <c r="E85" s="23" t="s">
        <v>10</v>
      </c>
      <c r="F85" s="23" t="s">
        <v>11</v>
      </c>
      <c r="G85" s="18" t="s">
        <v>142</v>
      </c>
      <c r="H85" s="19">
        <v>8.6</v>
      </c>
      <c r="I85" s="19">
        <v>277</v>
      </c>
      <c r="J85" s="19">
        <v>97</v>
      </c>
      <c r="K85" s="21" t="s">
        <v>1215</v>
      </c>
      <c r="L85" s="49" t="s">
        <v>416</v>
      </c>
      <c r="M85" s="21" t="s">
        <v>419</v>
      </c>
      <c r="N85" s="174">
        <v>43388</v>
      </c>
      <c r="O85" s="23" t="s">
        <v>17</v>
      </c>
      <c r="P85" s="23" t="s">
        <v>17</v>
      </c>
      <c r="Q85" s="23" t="s">
        <v>17</v>
      </c>
      <c r="R85" s="150" t="s">
        <v>26</v>
      </c>
      <c r="S85" s="20" t="s">
        <v>10</v>
      </c>
      <c r="T85" s="20" t="s">
        <v>11</v>
      </c>
      <c r="U85" s="19">
        <v>1.5</v>
      </c>
      <c r="V85" s="19"/>
      <c r="W85" s="19"/>
      <c r="X85" s="19">
        <v>200</v>
      </c>
      <c r="Y85" s="19">
        <v>380</v>
      </c>
      <c r="Z85" s="19">
        <v>480</v>
      </c>
      <c r="AA85" s="40">
        <v>0.86</v>
      </c>
      <c r="AB85" s="40">
        <v>1.72</v>
      </c>
      <c r="AC85" s="40">
        <v>2.58</v>
      </c>
      <c r="AD85" s="40">
        <v>4.3</v>
      </c>
      <c r="AE85" s="40">
        <v>6.45</v>
      </c>
      <c r="AF85" s="40">
        <v>8.6</v>
      </c>
      <c r="AG85" s="40">
        <v>92.8</v>
      </c>
      <c r="AH85" s="40">
        <v>95.6</v>
      </c>
      <c r="AI85" s="40">
        <v>96.3</v>
      </c>
      <c r="AJ85" s="40">
        <v>96.6</v>
      </c>
      <c r="AK85" s="40">
        <v>96.5</v>
      </c>
      <c r="AL85" s="40">
        <v>96.3</v>
      </c>
      <c r="AM85" s="40">
        <v>96.3</v>
      </c>
      <c r="AN85" s="40">
        <v>94.5</v>
      </c>
      <c r="AO85" s="40">
        <v>96.6</v>
      </c>
      <c r="AP85" s="40">
        <v>97.1</v>
      </c>
      <c r="AQ85" s="40">
        <v>97.4</v>
      </c>
      <c r="AR85" s="40">
        <v>97.4</v>
      </c>
      <c r="AS85" s="40">
        <v>97.3</v>
      </c>
      <c r="AT85" s="40">
        <v>97.2</v>
      </c>
      <c r="AU85" s="40">
        <v>94.8</v>
      </c>
      <c r="AV85" s="40">
        <v>96.9</v>
      </c>
      <c r="AW85" s="40">
        <v>97.5</v>
      </c>
      <c r="AX85" s="40">
        <v>97.8</v>
      </c>
      <c r="AY85" s="40">
        <v>97.7</v>
      </c>
      <c r="AZ85" s="40">
        <v>97.6</v>
      </c>
      <c r="BA85" s="40">
        <v>97.5</v>
      </c>
      <c r="BB85" s="174">
        <v>42917</v>
      </c>
      <c r="BC85" s="174">
        <v>43511</v>
      </c>
    </row>
    <row r="86" spans="1:55" s="44" customFormat="1" ht="45">
      <c r="A86" s="18" t="s">
        <v>0</v>
      </c>
      <c r="B86" s="18" t="s">
        <v>350</v>
      </c>
      <c r="C86" s="23" t="s">
        <v>10</v>
      </c>
      <c r="D86" s="23" t="s">
        <v>10</v>
      </c>
      <c r="E86" s="23" t="s">
        <v>10</v>
      </c>
      <c r="F86" s="23" t="s">
        <v>11</v>
      </c>
      <c r="G86" s="18" t="s">
        <v>141</v>
      </c>
      <c r="H86" s="19">
        <v>8.6</v>
      </c>
      <c r="I86" s="19">
        <v>240</v>
      </c>
      <c r="J86" s="19">
        <v>97</v>
      </c>
      <c r="K86" s="21" t="s">
        <v>1215</v>
      </c>
      <c r="L86" s="49" t="s">
        <v>416</v>
      </c>
      <c r="M86" s="21" t="s">
        <v>419</v>
      </c>
      <c r="N86" s="174">
        <v>43388</v>
      </c>
      <c r="O86" s="23" t="s">
        <v>17</v>
      </c>
      <c r="P86" s="23" t="s">
        <v>17</v>
      </c>
      <c r="Q86" s="23" t="s">
        <v>17</v>
      </c>
      <c r="R86" s="150" t="s">
        <v>26</v>
      </c>
      <c r="S86" s="20" t="s">
        <v>10</v>
      </c>
      <c r="T86" s="20" t="s">
        <v>11</v>
      </c>
      <c r="U86" s="19">
        <v>1.4</v>
      </c>
      <c r="V86" s="19"/>
      <c r="W86" s="19"/>
      <c r="X86" s="19">
        <v>200</v>
      </c>
      <c r="Y86" s="19">
        <v>380</v>
      </c>
      <c r="Z86" s="19">
        <v>480</v>
      </c>
      <c r="AA86" s="40">
        <v>0.86</v>
      </c>
      <c r="AB86" s="40">
        <v>1.72</v>
      </c>
      <c r="AC86" s="40">
        <v>2.58</v>
      </c>
      <c r="AD86" s="40">
        <v>4.3</v>
      </c>
      <c r="AE86" s="40">
        <v>6.45</v>
      </c>
      <c r="AF86" s="40">
        <v>8.6</v>
      </c>
      <c r="AG86" s="40">
        <v>93.7</v>
      </c>
      <c r="AH86" s="40">
        <v>95.9</v>
      </c>
      <c r="AI86" s="40">
        <v>96.4</v>
      </c>
      <c r="AJ86" s="40">
        <v>96.6</v>
      </c>
      <c r="AK86" s="40">
        <v>96.4</v>
      </c>
      <c r="AL86" s="40">
        <v>96.2</v>
      </c>
      <c r="AM86" s="40">
        <v>96.3</v>
      </c>
      <c r="AN86" s="40">
        <v>95.7</v>
      </c>
      <c r="AO86" s="40">
        <v>97.3</v>
      </c>
      <c r="AP86" s="40">
        <v>97.6</v>
      </c>
      <c r="AQ86" s="40">
        <v>97.7</v>
      </c>
      <c r="AR86" s="40">
        <v>97.6</v>
      </c>
      <c r="AS86" s="40">
        <v>97.4</v>
      </c>
      <c r="AT86" s="40">
        <v>97.5</v>
      </c>
      <c r="AU86" s="40">
        <v>94.5</v>
      </c>
      <c r="AV86" s="40">
        <v>96.7</v>
      </c>
      <c r="AW86" s="40">
        <v>97.2</v>
      </c>
      <c r="AX86" s="40">
        <v>97.4</v>
      </c>
      <c r="AY86" s="40">
        <v>97.4</v>
      </c>
      <c r="AZ86" s="40">
        <v>97.2</v>
      </c>
      <c r="BA86" s="40">
        <v>97.2</v>
      </c>
      <c r="BB86" s="174">
        <v>42917</v>
      </c>
      <c r="BC86" s="174">
        <v>43511</v>
      </c>
    </row>
    <row r="87" spans="1:55" s="44" customFormat="1" ht="45">
      <c r="A87" s="18" t="s">
        <v>0</v>
      </c>
      <c r="B87" s="18" t="s">
        <v>351</v>
      </c>
      <c r="C87" s="23" t="s">
        <v>10</v>
      </c>
      <c r="D87" s="23" t="s">
        <v>10</v>
      </c>
      <c r="E87" s="23" t="s">
        <v>10</v>
      </c>
      <c r="F87" s="23" t="s">
        <v>11</v>
      </c>
      <c r="G87" s="18" t="s">
        <v>142</v>
      </c>
      <c r="H87" s="19">
        <v>8.6</v>
      </c>
      <c r="I87" s="19">
        <v>277</v>
      </c>
      <c r="J87" s="19">
        <v>97</v>
      </c>
      <c r="K87" s="21" t="s">
        <v>1215</v>
      </c>
      <c r="L87" s="49" t="s">
        <v>416</v>
      </c>
      <c r="M87" s="21" t="s">
        <v>419</v>
      </c>
      <c r="N87" s="174">
        <v>43388</v>
      </c>
      <c r="O87" s="23" t="s">
        <v>17</v>
      </c>
      <c r="P87" s="23" t="s">
        <v>17</v>
      </c>
      <c r="Q87" s="23" t="s">
        <v>17</v>
      </c>
      <c r="R87" s="150" t="s">
        <v>26</v>
      </c>
      <c r="S87" s="20" t="s">
        <v>10</v>
      </c>
      <c r="T87" s="20" t="s">
        <v>11</v>
      </c>
      <c r="U87" s="19">
        <v>1.5</v>
      </c>
      <c r="V87" s="19"/>
      <c r="W87" s="19"/>
      <c r="X87" s="19">
        <v>200</v>
      </c>
      <c r="Y87" s="19">
        <v>380</v>
      </c>
      <c r="Z87" s="19">
        <v>480</v>
      </c>
      <c r="AA87" s="40">
        <v>0.86</v>
      </c>
      <c r="AB87" s="40">
        <v>1.72</v>
      </c>
      <c r="AC87" s="40">
        <v>2.58</v>
      </c>
      <c r="AD87" s="40">
        <v>4.3</v>
      </c>
      <c r="AE87" s="40">
        <v>6.45</v>
      </c>
      <c r="AF87" s="40">
        <v>8.6</v>
      </c>
      <c r="AG87" s="40">
        <v>92.8</v>
      </c>
      <c r="AH87" s="40">
        <v>95.6</v>
      </c>
      <c r="AI87" s="40">
        <v>96.3</v>
      </c>
      <c r="AJ87" s="40">
        <v>96.6</v>
      </c>
      <c r="AK87" s="40">
        <v>96.5</v>
      </c>
      <c r="AL87" s="40">
        <v>96.3</v>
      </c>
      <c r="AM87" s="40">
        <v>96.3</v>
      </c>
      <c r="AN87" s="40">
        <v>94.5</v>
      </c>
      <c r="AO87" s="40">
        <v>96.6</v>
      </c>
      <c r="AP87" s="40">
        <v>97.1</v>
      </c>
      <c r="AQ87" s="40">
        <v>97.4</v>
      </c>
      <c r="AR87" s="40">
        <v>97.4</v>
      </c>
      <c r="AS87" s="40">
        <v>97.3</v>
      </c>
      <c r="AT87" s="40">
        <v>97.2</v>
      </c>
      <c r="AU87" s="40">
        <v>94.8</v>
      </c>
      <c r="AV87" s="40">
        <v>96.9</v>
      </c>
      <c r="AW87" s="40">
        <v>97.5</v>
      </c>
      <c r="AX87" s="40">
        <v>97.8</v>
      </c>
      <c r="AY87" s="40">
        <v>97.7</v>
      </c>
      <c r="AZ87" s="40">
        <v>97.6</v>
      </c>
      <c r="BA87" s="40">
        <v>97.5</v>
      </c>
      <c r="BB87" s="174">
        <v>42917</v>
      </c>
      <c r="BC87" s="174">
        <v>43511</v>
      </c>
    </row>
    <row r="88" spans="1:55" s="44" customFormat="1" ht="45">
      <c r="A88" s="18" t="s">
        <v>0</v>
      </c>
      <c r="B88" s="18" t="s">
        <v>827</v>
      </c>
      <c r="C88" s="23" t="s">
        <v>10</v>
      </c>
      <c r="D88" s="23" t="s">
        <v>10</v>
      </c>
      <c r="E88" s="23" t="s">
        <v>10</v>
      </c>
      <c r="F88" s="23" t="s">
        <v>11</v>
      </c>
      <c r="G88" s="18" t="s">
        <v>141</v>
      </c>
      <c r="H88" s="19">
        <v>8.6</v>
      </c>
      <c r="I88" s="19">
        <v>240</v>
      </c>
      <c r="J88" s="19">
        <v>97</v>
      </c>
      <c r="K88" s="21" t="s">
        <v>1215</v>
      </c>
      <c r="L88" s="49" t="s">
        <v>416</v>
      </c>
      <c r="M88" s="21" t="s">
        <v>419</v>
      </c>
      <c r="N88" s="174">
        <v>43388</v>
      </c>
      <c r="O88" s="23" t="s">
        <v>17</v>
      </c>
      <c r="P88" s="23" t="s">
        <v>17</v>
      </c>
      <c r="Q88" s="23" t="s">
        <v>17</v>
      </c>
      <c r="R88" s="150" t="s">
        <v>26</v>
      </c>
      <c r="S88" s="20" t="s">
        <v>10</v>
      </c>
      <c r="T88" s="20" t="s">
        <v>11</v>
      </c>
      <c r="U88" s="19">
        <v>1.4</v>
      </c>
      <c r="V88" s="19"/>
      <c r="W88" s="19"/>
      <c r="X88" s="19">
        <v>200</v>
      </c>
      <c r="Y88" s="19">
        <v>380</v>
      </c>
      <c r="Z88" s="19">
        <v>480</v>
      </c>
      <c r="AA88" s="40">
        <v>0.86</v>
      </c>
      <c r="AB88" s="40">
        <v>1.72</v>
      </c>
      <c r="AC88" s="40">
        <v>2.58</v>
      </c>
      <c r="AD88" s="40">
        <v>4.3</v>
      </c>
      <c r="AE88" s="40">
        <v>6.45</v>
      </c>
      <c r="AF88" s="40">
        <v>8.6</v>
      </c>
      <c r="AG88" s="40">
        <v>93.7</v>
      </c>
      <c r="AH88" s="40">
        <v>95.9</v>
      </c>
      <c r="AI88" s="40">
        <v>96.4</v>
      </c>
      <c r="AJ88" s="40">
        <v>96.6</v>
      </c>
      <c r="AK88" s="40">
        <v>96.4</v>
      </c>
      <c r="AL88" s="40">
        <v>96.2</v>
      </c>
      <c r="AM88" s="40">
        <v>96.3</v>
      </c>
      <c r="AN88" s="40">
        <v>95.7</v>
      </c>
      <c r="AO88" s="40">
        <v>97.3</v>
      </c>
      <c r="AP88" s="40">
        <v>97.6</v>
      </c>
      <c r="AQ88" s="40">
        <v>97.7</v>
      </c>
      <c r="AR88" s="40">
        <v>97.6</v>
      </c>
      <c r="AS88" s="40">
        <v>97.4</v>
      </c>
      <c r="AT88" s="40">
        <v>97.5</v>
      </c>
      <c r="AU88" s="40">
        <v>94.5</v>
      </c>
      <c r="AV88" s="40">
        <v>96.7</v>
      </c>
      <c r="AW88" s="40">
        <v>97.2</v>
      </c>
      <c r="AX88" s="40">
        <v>97.4</v>
      </c>
      <c r="AY88" s="40">
        <v>97.4</v>
      </c>
      <c r="AZ88" s="40">
        <v>97.2</v>
      </c>
      <c r="BA88" s="40">
        <v>97.2</v>
      </c>
      <c r="BB88" s="174">
        <v>42917</v>
      </c>
      <c r="BC88" s="174">
        <v>43511</v>
      </c>
    </row>
    <row r="89" spans="1:55" s="44" customFormat="1" ht="45">
      <c r="A89" s="18" t="s">
        <v>0</v>
      </c>
      <c r="B89" s="18" t="s">
        <v>828</v>
      </c>
      <c r="C89" s="23" t="s">
        <v>10</v>
      </c>
      <c r="D89" s="23" t="s">
        <v>10</v>
      </c>
      <c r="E89" s="23" t="s">
        <v>10</v>
      </c>
      <c r="F89" s="23" t="s">
        <v>11</v>
      </c>
      <c r="G89" s="18" t="s">
        <v>142</v>
      </c>
      <c r="H89" s="19">
        <v>8.6</v>
      </c>
      <c r="I89" s="19">
        <v>277</v>
      </c>
      <c r="J89" s="19">
        <v>97</v>
      </c>
      <c r="K89" s="21" t="s">
        <v>1215</v>
      </c>
      <c r="L89" s="49" t="s">
        <v>416</v>
      </c>
      <c r="M89" s="21" t="s">
        <v>419</v>
      </c>
      <c r="N89" s="174">
        <v>43388</v>
      </c>
      <c r="O89" s="23" t="s">
        <v>17</v>
      </c>
      <c r="P89" s="23" t="s">
        <v>17</v>
      </c>
      <c r="Q89" s="23" t="s">
        <v>17</v>
      </c>
      <c r="R89" s="150" t="s">
        <v>26</v>
      </c>
      <c r="S89" s="20" t="s">
        <v>10</v>
      </c>
      <c r="T89" s="20" t="s">
        <v>11</v>
      </c>
      <c r="U89" s="19">
        <v>1.5</v>
      </c>
      <c r="V89" s="19"/>
      <c r="W89" s="19"/>
      <c r="X89" s="19">
        <v>200</v>
      </c>
      <c r="Y89" s="19">
        <v>380</v>
      </c>
      <c r="Z89" s="19">
        <v>480</v>
      </c>
      <c r="AA89" s="40">
        <v>0.86</v>
      </c>
      <c r="AB89" s="40">
        <v>1.72</v>
      </c>
      <c r="AC89" s="40">
        <v>2.58</v>
      </c>
      <c r="AD89" s="40">
        <v>4.3</v>
      </c>
      <c r="AE89" s="40">
        <v>6.45</v>
      </c>
      <c r="AF89" s="40">
        <v>8.6</v>
      </c>
      <c r="AG89" s="40">
        <v>92.8</v>
      </c>
      <c r="AH89" s="40">
        <v>95.6</v>
      </c>
      <c r="AI89" s="40">
        <v>96.3</v>
      </c>
      <c r="AJ89" s="40">
        <v>96.6</v>
      </c>
      <c r="AK89" s="40">
        <v>96.5</v>
      </c>
      <c r="AL89" s="40">
        <v>96.3</v>
      </c>
      <c r="AM89" s="40">
        <v>96.3</v>
      </c>
      <c r="AN89" s="40">
        <v>94.5</v>
      </c>
      <c r="AO89" s="40">
        <v>96.6</v>
      </c>
      <c r="AP89" s="40">
        <v>97.1</v>
      </c>
      <c r="AQ89" s="40">
        <v>97.4</v>
      </c>
      <c r="AR89" s="40">
        <v>97.4</v>
      </c>
      <c r="AS89" s="40">
        <v>97.3</v>
      </c>
      <c r="AT89" s="40">
        <v>97.2</v>
      </c>
      <c r="AU89" s="40">
        <v>94.8</v>
      </c>
      <c r="AV89" s="40">
        <v>96.9</v>
      </c>
      <c r="AW89" s="40">
        <v>97.5</v>
      </c>
      <c r="AX89" s="40">
        <v>97.8</v>
      </c>
      <c r="AY89" s="40">
        <v>97.7</v>
      </c>
      <c r="AZ89" s="40">
        <v>97.6</v>
      </c>
      <c r="BA89" s="40">
        <v>97.5</v>
      </c>
      <c r="BB89" s="174">
        <v>42917</v>
      </c>
      <c r="BC89" s="174">
        <v>43511</v>
      </c>
    </row>
    <row r="90" spans="1:55" s="44" customFormat="1" ht="45">
      <c r="A90" s="18" t="s">
        <v>0</v>
      </c>
      <c r="B90" s="154" t="s">
        <v>768</v>
      </c>
      <c r="C90" s="155" t="s">
        <v>10</v>
      </c>
      <c r="D90" s="155" t="s">
        <v>10</v>
      </c>
      <c r="E90" s="23" t="s">
        <v>10</v>
      </c>
      <c r="F90" s="23" t="s">
        <v>11</v>
      </c>
      <c r="G90" s="18" t="s">
        <v>53</v>
      </c>
      <c r="H90" s="19">
        <v>3</v>
      </c>
      <c r="I90" s="19">
        <v>208</v>
      </c>
      <c r="J90" s="19">
        <v>96</v>
      </c>
      <c r="K90" s="21" t="s">
        <v>1215</v>
      </c>
      <c r="L90" s="49" t="s">
        <v>754</v>
      </c>
      <c r="M90" s="21" t="s">
        <v>415</v>
      </c>
      <c r="N90" s="174">
        <v>43388</v>
      </c>
      <c r="O90" s="124" t="s">
        <v>1484</v>
      </c>
      <c r="P90" s="23" t="s">
        <v>17</v>
      </c>
      <c r="Q90" s="23" t="s">
        <v>17</v>
      </c>
      <c r="R90" s="150"/>
      <c r="S90" s="20" t="s">
        <v>10</v>
      </c>
      <c r="T90" s="20" t="s">
        <v>11</v>
      </c>
      <c r="U90" s="19">
        <v>0.9</v>
      </c>
      <c r="V90" s="19">
        <v>3</v>
      </c>
      <c r="W90" s="19">
        <v>0.9</v>
      </c>
      <c r="X90" s="19">
        <v>200</v>
      </c>
      <c r="Y90" s="19">
        <v>340</v>
      </c>
      <c r="Z90" s="19">
        <v>480</v>
      </c>
      <c r="AA90" s="40">
        <v>0.3</v>
      </c>
      <c r="AB90" s="40">
        <v>0.6</v>
      </c>
      <c r="AC90" s="40">
        <v>0.9</v>
      </c>
      <c r="AD90" s="40">
        <v>1.5</v>
      </c>
      <c r="AE90" s="40">
        <v>2.25</v>
      </c>
      <c r="AF90" s="40">
        <v>3</v>
      </c>
      <c r="AG90" s="40">
        <v>92.3</v>
      </c>
      <c r="AH90" s="40">
        <v>95</v>
      </c>
      <c r="AI90" s="40">
        <v>95.4</v>
      </c>
      <c r="AJ90" s="40">
        <v>95.8</v>
      </c>
      <c r="AK90" s="40">
        <v>95.7</v>
      </c>
      <c r="AL90" s="40">
        <v>95.3</v>
      </c>
      <c r="AM90" s="40">
        <v>95.5</v>
      </c>
      <c r="AN90" s="40">
        <v>93.2</v>
      </c>
      <c r="AO90" s="40">
        <v>95.6</v>
      </c>
      <c r="AP90" s="40">
        <v>96.1</v>
      </c>
      <c r="AQ90" s="40">
        <v>96.4</v>
      </c>
      <c r="AR90" s="40">
        <v>96.4</v>
      </c>
      <c r="AS90" s="40">
        <v>96.2</v>
      </c>
      <c r="AT90" s="40">
        <v>96.2</v>
      </c>
      <c r="AU90" s="40">
        <v>91.4</v>
      </c>
      <c r="AV90" s="40">
        <v>94.7</v>
      </c>
      <c r="AW90" s="40">
        <v>95.6</v>
      </c>
      <c r="AX90" s="40">
        <v>96.1</v>
      </c>
      <c r="AY90" s="40">
        <v>96.1</v>
      </c>
      <c r="AZ90" s="40">
        <v>95.9</v>
      </c>
      <c r="BA90" s="40">
        <v>95.8</v>
      </c>
      <c r="BB90" s="174">
        <v>42917</v>
      </c>
      <c r="BC90" s="174">
        <v>43511</v>
      </c>
    </row>
    <row r="91" spans="1:55" s="44" customFormat="1" ht="45">
      <c r="A91" s="18" t="s">
        <v>0</v>
      </c>
      <c r="B91" s="154" t="s">
        <v>772</v>
      </c>
      <c r="C91" s="155" t="s">
        <v>10</v>
      </c>
      <c r="D91" s="155" t="s">
        <v>10</v>
      </c>
      <c r="E91" s="23" t="s">
        <v>10</v>
      </c>
      <c r="F91" s="23" t="s">
        <v>11</v>
      </c>
      <c r="G91" s="18" t="s">
        <v>57</v>
      </c>
      <c r="H91" s="19">
        <v>3.3</v>
      </c>
      <c r="I91" s="19">
        <v>240</v>
      </c>
      <c r="J91" s="19">
        <v>96.5</v>
      </c>
      <c r="K91" s="21" t="s">
        <v>1215</v>
      </c>
      <c r="L91" s="49" t="s">
        <v>754</v>
      </c>
      <c r="M91" s="21" t="s">
        <v>415</v>
      </c>
      <c r="N91" s="174">
        <v>43388</v>
      </c>
      <c r="O91" s="124" t="s">
        <v>1484</v>
      </c>
      <c r="P91" s="23" t="s">
        <v>17</v>
      </c>
      <c r="Q91" s="23" t="s">
        <v>17</v>
      </c>
      <c r="R91" s="150"/>
      <c r="S91" s="20" t="s">
        <v>10</v>
      </c>
      <c r="T91" s="20" t="s">
        <v>11</v>
      </c>
      <c r="U91" s="19">
        <v>0.9</v>
      </c>
      <c r="V91" s="19">
        <v>3.3</v>
      </c>
      <c r="W91" s="19">
        <v>0.9</v>
      </c>
      <c r="X91" s="19">
        <v>200</v>
      </c>
      <c r="Y91" s="19">
        <v>355</v>
      </c>
      <c r="Z91" s="19">
        <v>480</v>
      </c>
      <c r="AA91" s="40">
        <v>0.33</v>
      </c>
      <c r="AB91" s="40">
        <v>0.66</v>
      </c>
      <c r="AC91" s="40">
        <v>0.99</v>
      </c>
      <c r="AD91" s="40">
        <v>1.65</v>
      </c>
      <c r="AE91" s="40">
        <v>2.48</v>
      </c>
      <c r="AF91" s="40">
        <v>3.3</v>
      </c>
      <c r="AG91" s="40">
        <v>92.8</v>
      </c>
      <c r="AH91" s="40">
        <v>95.3</v>
      </c>
      <c r="AI91" s="40">
        <v>95.8</v>
      </c>
      <c r="AJ91" s="40">
        <v>96.1</v>
      </c>
      <c r="AK91" s="40">
        <v>96.1</v>
      </c>
      <c r="AL91" s="40">
        <v>95.7</v>
      </c>
      <c r="AM91" s="40">
        <v>95.9</v>
      </c>
      <c r="AN91" s="40">
        <v>93.6</v>
      </c>
      <c r="AO91" s="40">
        <v>96</v>
      </c>
      <c r="AP91" s="40">
        <v>96.6</v>
      </c>
      <c r="AQ91" s="40">
        <v>96.9</v>
      </c>
      <c r="AR91" s="40">
        <v>96.8</v>
      </c>
      <c r="AS91" s="40">
        <v>96.7</v>
      </c>
      <c r="AT91" s="40">
        <v>96.6</v>
      </c>
      <c r="AU91" s="40">
        <v>92.2</v>
      </c>
      <c r="AV91" s="40">
        <v>95.3</v>
      </c>
      <c r="AW91" s="40">
        <v>96</v>
      </c>
      <c r="AX91" s="40">
        <v>96.6</v>
      </c>
      <c r="AY91" s="40">
        <v>96.6</v>
      </c>
      <c r="AZ91" s="40">
        <v>96.5</v>
      </c>
      <c r="BA91" s="40">
        <v>96.3</v>
      </c>
      <c r="BB91" s="174">
        <v>42917</v>
      </c>
      <c r="BC91" s="174">
        <v>43511</v>
      </c>
    </row>
    <row r="92" spans="1:55" s="44" customFormat="1" ht="45">
      <c r="A92" s="18" t="s">
        <v>0</v>
      </c>
      <c r="B92" s="154" t="s">
        <v>769</v>
      </c>
      <c r="C92" s="155" t="s">
        <v>10</v>
      </c>
      <c r="D92" s="155" t="s">
        <v>10</v>
      </c>
      <c r="E92" s="23" t="s">
        <v>10</v>
      </c>
      <c r="F92" s="23" t="s">
        <v>11</v>
      </c>
      <c r="G92" s="18" t="s">
        <v>54</v>
      </c>
      <c r="H92" s="19">
        <v>3</v>
      </c>
      <c r="I92" s="19">
        <v>208</v>
      </c>
      <c r="J92" s="19">
        <v>96</v>
      </c>
      <c r="K92" s="21" t="s">
        <v>1215</v>
      </c>
      <c r="L92" s="49" t="s">
        <v>754</v>
      </c>
      <c r="M92" s="21" t="s">
        <v>415</v>
      </c>
      <c r="N92" s="174">
        <v>43388</v>
      </c>
      <c r="O92" s="124" t="s">
        <v>1484</v>
      </c>
      <c r="P92" s="23" t="s">
        <v>17</v>
      </c>
      <c r="Q92" s="23" t="s">
        <v>17</v>
      </c>
      <c r="R92" s="150"/>
      <c r="S92" s="20" t="s">
        <v>10</v>
      </c>
      <c r="T92" s="20" t="s">
        <v>11</v>
      </c>
      <c r="U92" s="19">
        <v>0.9</v>
      </c>
      <c r="V92" s="19">
        <v>3</v>
      </c>
      <c r="W92" s="19">
        <v>0.9</v>
      </c>
      <c r="X92" s="19">
        <v>200</v>
      </c>
      <c r="Y92" s="19">
        <v>340</v>
      </c>
      <c r="Z92" s="19">
        <v>480</v>
      </c>
      <c r="AA92" s="40">
        <v>0.3</v>
      </c>
      <c r="AB92" s="40">
        <v>0.6</v>
      </c>
      <c r="AC92" s="40">
        <v>0.9</v>
      </c>
      <c r="AD92" s="40">
        <v>1.5</v>
      </c>
      <c r="AE92" s="40">
        <v>2.25</v>
      </c>
      <c r="AF92" s="40">
        <v>3</v>
      </c>
      <c r="AG92" s="40">
        <v>92.3</v>
      </c>
      <c r="AH92" s="40">
        <v>95</v>
      </c>
      <c r="AI92" s="40">
        <v>95.4</v>
      </c>
      <c r="AJ92" s="40">
        <v>95.8</v>
      </c>
      <c r="AK92" s="40">
        <v>95.7</v>
      </c>
      <c r="AL92" s="40">
        <v>95.3</v>
      </c>
      <c r="AM92" s="40">
        <v>95.5</v>
      </c>
      <c r="AN92" s="40">
        <v>93.2</v>
      </c>
      <c r="AO92" s="40">
        <v>95.6</v>
      </c>
      <c r="AP92" s="40">
        <v>96.1</v>
      </c>
      <c r="AQ92" s="40">
        <v>96.4</v>
      </c>
      <c r="AR92" s="40">
        <v>96.4</v>
      </c>
      <c r="AS92" s="40">
        <v>96.2</v>
      </c>
      <c r="AT92" s="40">
        <v>96.2</v>
      </c>
      <c r="AU92" s="40">
        <v>91.4</v>
      </c>
      <c r="AV92" s="40">
        <v>94.7</v>
      </c>
      <c r="AW92" s="40">
        <v>95.6</v>
      </c>
      <c r="AX92" s="40">
        <v>96.1</v>
      </c>
      <c r="AY92" s="40">
        <v>96.1</v>
      </c>
      <c r="AZ92" s="40">
        <v>95.9</v>
      </c>
      <c r="BA92" s="40">
        <v>95.8</v>
      </c>
      <c r="BB92" s="174">
        <v>42917</v>
      </c>
      <c r="BC92" s="174">
        <v>43511</v>
      </c>
    </row>
    <row r="93" spans="1:55" s="44" customFormat="1" ht="45">
      <c r="A93" s="18" t="s">
        <v>0</v>
      </c>
      <c r="B93" s="154" t="s">
        <v>773</v>
      </c>
      <c r="C93" s="155" t="s">
        <v>10</v>
      </c>
      <c r="D93" s="155" t="s">
        <v>10</v>
      </c>
      <c r="E93" s="23" t="s">
        <v>10</v>
      </c>
      <c r="F93" s="23" t="s">
        <v>11</v>
      </c>
      <c r="G93" s="18" t="s">
        <v>58</v>
      </c>
      <c r="H93" s="19">
        <v>3.3</v>
      </c>
      <c r="I93" s="19">
        <v>240</v>
      </c>
      <c r="J93" s="19">
        <v>96.5</v>
      </c>
      <c r="K93" s="21" t="s">
        <v>1215</v>
      </c>
      <c r="L93" s="49" t="s">
        <v>754</v>
      </c>
      <c r="M93" s="21" t="s">
        <v>415</v>
      </c>
      <c r="N93" s="174">
        <v>43388</v>
      </c>
      <c r="O93" s="124" t="s">
        <v>1484</v>
      </c>
      <c r="P93" s="23" t="s">
        <v>17</v>
      </c>
      <c r="Q93" s="23" t="s">
        <v>17</v>
      </c>
      <c r="R93" s="150"/>
      <c r="S93" s="20" t="s">
        <v>10</v>
      </c>
      <c r="T93" s="20" t="s">
        <v>11</v>
      </c>
      <c r="U93" s="19">
        <v>0.9</v>
      </c>
      <c r="V93" s="19">
        <v>3.3</v>
      </c>
      <c r="W93" s="19">
        <v>0.9</v>
      </c>
      <c r="X93" s="19">
        <v>200</v>
      </c>
      <c r="Y93" s="19">
        <v>355</v>
      </c>
      <c r="Z93" s="19">
        <v>480</v>
      </c>
      <c r="AA93" s="40">
        <v>0.33</v>
      </c>
      <c r="AB93" s="40">
        <v>0.66</v>
      </c>
      <c r="AC93" s="40">
        <v>0.99</v>
      </c>
      <c r="AD93" s="40">
        <v>1.65</v>
      </c>
      <c r="AE93" s="40">
        <v>2.48</v>
      </c>
      <c r="AF93" s="40">
        <v>3.3</v>
      </c>
      <c r="AG93" s="40">
        <v>92.8</v>
      </c>
      <c r="AH93" s="40">
        <v>95.3</v>
      </c>
      <c r="AI93" s="40">
        <v>95.8</v>
      </c>
      <c r="AJ93" s="40">
        <v>96.1</v>
      </c>
      <c r="AK93" s="40">
        <v>96.1</v>
      </c>
      <c r="AL93" s="40">
        <v>95.7</v>
      </c>
      <c r="AM93" s="40">
        <v>95.9</v>
      </c>
      <c r="AN93" s="40">
        <v>93.6</v>
      </c>
      <c r="AO93" s="40">
        <v>96</v>
      </c>
      <c r="AP93" s="40">
        <v>96.6</v>
      </c>
      <c r="AQ93" s="40">
        <v>96.9</v>
      </c>
      <c r="AR93" s="40">
        <v>96.8</v>
      </c>
      <c r="AS93" s="40">
        <v>96.7</v>
      </c>
      <c r="AT93" s="40">
        <v>96.6</v>
      </c>
      <c r="AU93" s="40">
        <v>92.2</v>
      </c>
      <c r="AV93" s="40">
        <v>95.3</v>
      </c>
      <c r="AW93" s="40">
        <v>96</v>
      </c>
      <c r="AX93" s="40">
        <v>96.6</v>
      </c>
      <c r="AY93" s="40">
        <v>96.6</v>
      </c>
      <c r="AZ93" s="40">
        <v>96.5</v>
      </c>
      <c r="BA93" s="40">
        <v>96.3</v>
      </c>
      <c r="BB93" s="174">
        <v>42917</v>
      </c>
      <c r="BC93" s="174">
        <v>43511</v>
      </c>
    </row>
    <row r="94" spans="1:55" s="44" customFormat="1" ht="60">
      <c r="A94" s="18" t="s">
        <v>0</v>
      </c>
      <c r="B94" s="154" t="s">
        <v>770</v>
      </c>
      <c r="C94" s="155" t="s">
        <v>10</v>
      </c>
      <c r="D94" s="155" t="s">
        <v>10</v>
      </c>
      <c r="E94" s="23" t="s">
        <v>10</v>
      </c>
      <c r="F94" s="23" t="s">
        <v>11</v>
      </c>
      <c r="G94" s="18" t="s">
        <v>51</v>
      </c>
      <c r="H94" s="19">
        <v>3</v>
      </c>
      <c r="I94" s="19">
        <v>208</v>
      </c>
      <c r="J94" s="19">
        <v>96</v>
      </c>
      <c r="K94" s="21" t="s">
        <v>1215</v>
      </c>
      <c r="L94" s="49" t="s">
        <v>754</v>
      </c>
      <c r="M94" s="21" t="s">
        <v>415</v>
      </c>
      <c r="N94" s="174">
        <v>43388</v>
      </c>
      <c r="O94" s="124" t="s">
        <v>1484</v>
      </c>
      <c r="P94" s="23" t="s">
        <v>17</v>
      </c>
      <c r="Q94" s="23" t="s">
        <v>17</v>
      </c>
      <c r="R94" s="150"/>
      <c r="S94" s="20" t="s">
        <v>10</v>
      </c>
      <c r="T94" s="20" t="s">
        <v>11</v>
      </c>
      <c r="U94" s="19">
        <v>0.9</v>
      </c>
      <c r="V94" s="19">
        <v>3</v>
      </c>
      <c r="W94" s="19">
        <v>0.9</v>
      </c>
      <c r="X94" s="19">
        <v>200</v>
      </c>
      <c r="Y94" s="19">
        <v>340</v>
      </c>
      <c r="Z94" s="19">
        <v>480</v>
      </c>
      <c r="AA94" s="40">
        <v>0.3</v>
      </c>
      <c r="AB94" s="40">
        <v>0.6</v>
      </c>
      <c r="AC94" s="40">
        <v>0.9</v>
      </c>
      <c r="AD94" s="40">
        <v>1.5</v>
      </c>
      <c r="AE94" s="40">
        <v>2.25</v>
      </c>
      <c r="AF94" s="40">
        <v>3</v>
      </c>
      <c r="AG94" s="40">
        <v>92.3</v>
      </c>
      <c r="AH94" s="40">
        <v>95</v>
      </c>
      <c r="AI94" s="40">
        <v>95.4</v>
      </c>
      <c r="AJ94" s="40">
        <v>95.8</v>
      </c>
      <c r="AK94" s="40">
        <v>95.7</v>
      </c>
      <c r="AL94" s="40">
        <v>95.3</v>
      </c>
      <c r="AM94" s="40">
        <v>95.5</v>
      </c>
      <c r="AN94" s="40">
        <v>93.2</v>
      </c>
      <c r="AO94" s="40">
        <v>95.6</v>
      </c>
      <c r="AP94" s="40">
        <v>96.1</v>
      </c>
      <c r="AQ94" s="40">
        <v>96.4</v>
      </c>
      <c r="AR94" s="40">
        <v>96.4</v>
      </c>
      <c r="AS94" s="40">
        <v>96.2</v>
      </c>
      <c r="AT94" s="40">
        <v>96.2</v>
      </c>
      <c r="AU94" s="40">
        <v>91.4</v>
      </c>
      <c r="AV94" s="40">
        <v>94.7</v>
      </c>
      <c r="AW94" s="40">
        <v>95.6</v>
      </c>
      <c r="AX94" s="40">
        <v>96.1</v>
      </c>
      <c r="AY94" s="40">
        <v>96.1</v>
      </c>
      <c r="AZ94" s="40">
        <v>95.9</v>
      </c>
      <c r="BA94" s="40">
        <v>95.8</v>
      </c>
      <c r="BB94" s="174">
        <v>42917</v>
      </c>
      <c r="BC94" s="174">
        <v>43511</v>
      </c>
    </row>
    <row r="95" spans="1:55" s="44" customFormat="1" ht="60">
      <c r="A95" s="18" t="s">
        <v>0</v>
      </c>
      <c r="B95" s="154" t="s">
        <v>774</v>
      </c>
      <c r="C95" s="155" t="s">
        <v>10</v>
      </c>
      <c r="D95" s="155" t="s">
        <v>10</v>
      </c>
      <c r="E95" s="23" t="s">
        <v>10</v>
      </c>
      <c r="F95" s="23" t="s">
        <v>11</v>
      </c>
      <c r="G95" s="18" t="s">
        <v>55</v>
      </c>
      <c r="H95" s="19">
        <v>3.3</v>
      </c>
      <c r="I95" s="19">
        <v>240</v>
      </c>
      <c r="J95" s="19">
        <v>96.5</v>
      </c>
      <c r="K95" s="21" t="s">
        <v>1215</v>
      </c>
      <c r="L95" s="49" t="s">
        <v>754</v>
      </c>
      <c r="M95" s="21" t="s">
        <v>415</v>
      </c>
      <c r="N95" s="174">
        <v>43388</v>
      </c>
      <c r="O95" s="124" t="s">
        <v>1484</v>
      </c>
      <c r="P95" s="23" t="s">
        <v>17</v>
      </c>
      <c r="Q95" s="23" t="s">
        <v>17</v>
      </c>
      <c r="R95" s="150"/>
      <c r="S95" s="20" t="s">
        <v>10</v>
      </c>
      <c r="T95" s="20" t="s">
        <v>11</v>
      </c>
      <c r="U95" s="19">
        <v>0.9</v>
      </c>
      <c r="V95" s="19">
        <v>3.3</v>
      </c>
      <c r="W95" s="19">
        <v>0.9</v>
      </c>
      <c r="X95" s="19">
        <v>200</v>
      </c>
      <c r="Y95" s="19">
        <v>355</v>
      </c>
      <c r="Z95" s="19">
        <v>480</v>
      </c>
      <c r="AA95" s="40">
        <v>0.33</v>
      </c>
      <c r="AB95" s="40">
        <v>0.66</v>
      </c>
      <c r="AC95" s="40">
        <v>0.99</v>
      </c>
      <c r="AD95" s="40">
        <v>1.65</v>
      </c>
      <c r="AE95" s="40">
        <v>2.48</v>
      </c>
      <c r="AF95" s="40">
        <v>3.3</v>
      </c>
      <c r="AG95" s="40">
        <v>92.8</v>
      </c>
      <c r="AH95" s="40">
        <v>95.3</v>
      </c>
      <c r="AI95" s="40">
        <v>95.8</v>
      </c>
      <c r="AJ95" s="40">
        <v>96.1</v>
      </c>
      <c r="AK95" s="40">
        <v>96.1</v>
      </c>
      <c r="AL95" s="40">
        <v>95.7</v>
      </c>
      <c r="AM95" s="40">
        <v>95.9</v>
      </c>
      <c r="AN95" s="40">
        <v>93.6</v>
      </c>
      <c r="AO95" s="40">
        <v>96</v>
      </c>
      <c r="AP95" s="40">
        <v>96.6</v>
      </c>
      <c r="AQ95" s="40">
        <v>96.9</v>
      </c>
      <c r="AR95" s="40">
        <v>96.8</v>
      </c>
      <c r="AS95" s="40">
        <v>96.7</v>
      </c>
      <c r="AT95" s="40">
        <v>96.6</v>
      </c>
      <c r="AU95" s="40">
        <v>92.2</v>
      </c>
      <c r="AV95" s="40">
        <v>95.3</v>
      </c>
      <c r="AW95" s="40">
        <v>96</v>
      </c>
      <c r="AX95" s="40">
        <v>96.6</v>
      </c>
      <c r="AY95" s="40">
        <v>96.6</v>
      </c>
      <c r="AZ95" s="40">
        <v>96.5</v>
      </c>
      <c r="BA95" s="40">
        <v>96.3</v>
      </c>
      <c r="BB95" s="174">
        <v>42917</v>
      </c>
      <c r="BC95" s="174">
        <v>43511</v>
      </c>
    </row>
    <row r="96" spans="1:55" s="44" customFormat="1" ht="45">
      <c r="A96" s="18" t="s">
        <v>0</v>
      </c>
      <c r="B96" s="154" t="s">
        <v>771</v>
      </c>
      <c r="C96" s="155" t="s">
        <v>10</v>
      </c>
      <c r="D96" s="155" t="s">
        <v>10</v>
      </c>
      <c r="E96" s="23" t="s">
        <v>10</v>
      </c>
      <c r="F96" s="23" t="s">
        <v>11</v>
      </c>
      <c r="G96" s="18" t="s">
        <v>52</v>
      </c>
      <c r="H96" s="19">
        <v>3</v>
      </c>
      <c r="I96" s="19">
        <v>208</v>
      </c>
      <c r="J96" s="19">
        <v>96</v>
      </c>
      <c r="K96" s="21" t="s">
        <v>1215</v>
      </c>
      <c r="L96" s="49" t="s">
        <v>754</v>
      </c>
      <c r="M96" s="21" t="s">
        <v>415</v>
      </c>
      <c r="N96" s="174">
        <v>43388</v>
      </c>
      <c r="O96" s="124" t="s">
        <v>1484</v>
      </c>
      <c r="P96" s="23" t="s">
        <v>17</v>
      </c>
      <c r="Q96" s="23" t="s">
        <v>17</v>
      </c>
      <c r="R96" s="150"/>
      <c r="S96" s="20" t="s">
        <v>10</v>
      </c>
      <c r="T96" s="20" t="s">
        <v>11</v>
      </c>
      <c r="U96" s="19">
        <v>0.9</v>
      </c>
      <c r="V96" s="19">
        <v>3</v>
      </c>
      <c r="W96" s="19">
        <v>0.9</v>
      </c>
      <c r="X96" s="19">
        <v>200</v>
      </c>
      <c r="Y96" s="19">
        <v>340</v>
      </c>
      <c r="Z96" s="19">
        <v>480</v>
      </c>
      <c r="AA96" s="40">
        <v>0.3</v>
      </c>
      <c r="AB96" s="40">
        <v>0.6</v>
      </c>
      <c r="AC96" s="40">
        <v>0.9</v>
      </c>
      <c r="AD96" s="40">
        <v>1.5</v>
      </c>
      <c r="AE96" s="40">
        <v>2.25</v>
      </c>
      <c r="AF96" s="40">
        <v>3</v>
      </c>
      <c r="AG96" s="40">
        <v>92.3</v>
      </c>
      <c r="AH96" s="40">
        <v>95</v>
      </c>
      <c r="AI96" s="40">
        <v>95.4</v>
      </c>
      <c r="AJ96" s="40">
        <v>95.8</v>
      </c>
      <c r="AK96" s="40">
        <v>95.7</v>
      </c>
      <c r="AL96" s="40">
        <v>95.3</v>
      </c>
      <c r="AM96" s="40">
        <v>95.5</v>
      </c>
      <c r="AN96" s="40">
        <v>93.2</v>
      </c>
      <c r="AO96" s="40">
        <v>95.6</v>
      </c>
      <c r="AP96" s="40">
        <v>96.1</v>
      </c>
      <c r="AQ96" s="40">
        <v>96.4</v>
      </c>
      <c r="AR96" s="40">
        <v>96.4</v>
      </c>
      <c r="AS96" s="40">
        <v>96.2</v>
      </c>
      <c r="AT96" s="40">
        <v>96.2</v>
      </c>
      <c r="AU96" s="40">
        <v>91.4</v>
      </c>
      <c r="AV96" s="40">
        <v>94.7</v>
      </c>
      <c r="AW96" s="40">
        <v>95.6</v>
      </c>
      <c r="AX96" s="40">
        <v>96.1</v>
      </c>
      <c r="AY96" s="40">
        <v>96.1</v>
      </c>
      <c r="AZ96" s="40">
        <v>95.9</v>
      </c>
      <c r="BA96" s="40">
        <v>95.8</v>
      </c>
      <c r="BB96" s="174">
        <v>42917</v>
      </c>
      <c r="BC96" s="174">
        <v>43511</v>
      </c>
    </row>
    <row r="97" spans="1:55" s="44" customFormat="1" ht="45">
      <c r="A97" s="18" t="s">
        <v>0</v>
      </c>
      <c r="B97" s="154" t="s">
        <v>775</v>
      </c>
      <c r="C97" s="155" t="s">
        <v>10</v>
      </c>
      <c r="D97" s="155" t="s">
        <v>10</v>
      </c>
      <c r="E97" s="23" t="s">
        <v>10</v>
      </c>
      <c r="F97" s="23" t="s">
        <v>11</v>
      </c>
      <c r="G97" s="18" t="s">
        <v>56</v>
      </c>
      <c r="H97" s="19">
        <v>3.3</v>
      </c>
      <c r="I97" s="19">
        <v>240</v>
      </c>
      <c r="J97" s="19">
        <v>96.5</v>
      </c>
      <c r="K97" s="21" t="s">
        <v>1215</v>
      </c>
      <c r="L97" s="49" t="s">
        <v>754</v>
      </c>
      <c r="M97" s="21" t="s">
        <v>415</v>
      </c>
      <c r="N97" s="174">
        <v>43388</v>
      </c>
      <c r="O97" s="124" t="s">
        <v>1484</v>
      </c>
      <c r="P97" s="23" t="s">
        <v>17</v>
      </c>
      <c r="Q97" s="23" t="s">
        <v>17</v>
      </c>
      <c r="R97" s="150"/>
      <c r="S97" s="20" t="s">
        <v>10</v>
      </c>
      <c r="T97" s="20" t="s">
        <v>11</v>
      </c>
      <c r="U97" s="19">
        <v>0.9</v>
      </c>
      <c r="V97" s="19">
        <v>3.3</v>
      </c>
      <c r="W97" s="19">
        <v>0.9</v>
      </c>
      <c r="X97" s="19">
        <v>200</v>
      </c>
      <c r="Y97" s="19">
        <v>355</v>
      </c>
      <c r="Z97" s="19">
        <v>480</v>
      </c>
      <c r="AA97" s="40">
        <v>0.33</v>
      </c>
      <c r="AB97" s="40">
        <v>0.66</v>
      </c>
      <c r="AC97" s="40">
        <v>0.99</v>
      </c>
      <c r="AD97" s="40">
        <v>1.65</v>
      </c>
      <c r="AE97" s="40">
        <v>2.48</v>
      </c>
      <c r="AF97" s="40">
        <v>3.3</v>
      </c>
      <c r="AG97" s="40">
        <v>92.8</v>
      </c>
      <c r="AH97" s="40">
        <v>95.3</v>
      </c>
      <c r="AI97" s="40">
        <v>95.8</v>
      </c>
      <c r="AJ97" s="40">
        <v>96.1</v>
      </c>
      <c r="AK97" s="40">
        <v>96.1</v>
      </c>
      <c r="AL97" s="40">
        <v>95.7</v>
      </c>
      <c r="AM97" s="40">
        <v>95.9</v>
      </c>
      <c r="AN97" s="40">
        <v>93.6</v>
      </c>
      <c r="AO97" s="40">
        <v>96</v>
      </c>
      <c r="AP97" s="40">
        <v>96.6</v>
      </c>
      <c r="AQ97" s="40">
        <v>96.9</v>
      </c>
      <c r="AR97" s="40">
        <v>96.8</v>
      </c>
      <c r="AS97" s="40">
        <v>96.7</v>
      </c>
      <c r="AT97" s="40">
        <v>96.6</v>
      </c>
      <c r="AU97" s="40">
        <v>92.2</v>
      </c>
      <c r="AV97" s="40">
        <v>95.3</v>
      </c>
      <c r="AW97" s="40">
        <v>96</v>
      </c>
      <c r="AX97" s="40">
        <v>96.6</v>
      </c>
      <c r="AY97" s="40">
        <v>96.6</v>
      </c>
      <c r="AZ97" s="40">
        <v>96.5</v>
      </c>
      <c r="BA97" s="40">
        <v>96.3</v>
      </c>
      <c r="BB97" s="174">
        <v>42917</v>
      </c>
      <c r="BC97" s="174">
        <v>43511</v>
      </c>
    </row>
    <row r="98" spans="1:55" s="44" customFormat="1" ht="45">
      <c r="A98" s="18" t="s">
        <v>0</v>
      </c>
      <c r="B98" s="154" t="s">
        <v>776</v>
      </c>
      <c r="C98" s="155" t="s">
        <v>10</v>
      </c>
      <c r="D98" s="155" t="s">
        <v>10</v>
      </c>
      <c r="E98" s="23" t="s">
        <v>10</v>
      </c>
      <c r="F98" s="23" t="s">
        <v>11</v>
      </c>
      <c r="G98" s="18" t="s">
        <v>61</v>
      </c>
      <c r="H98" s="19">
        <v>3.3</v>
      </c>
      <c r="I98" s="19">
        <v>208</v>
      </c>
      <c r="J98" s="19">
        <v>96</v>
      </c>
      <c r="K98" s="21" t="s">
        <v>1215</v>
      </c>
      <c r="L98" s="49" t="s">
        <v>754</v>
      </c>
      <c r="M98" s="21" t="s">
        <v>415</v>
      </c>
      <c r="N98" s="174">
        <v>43388</v>
      </c>
      <c r="O98" s="124" t="s">
        <v>1484</v>
      </c>
      <c r="P98" s="23" t="s">
        <v>17</v>
      </c>
      <c r="Q98" s="23" t="s">
        <v>17</v>
      </c>
      <c r="R98" s="150"/>
      <c r="S98" s="20" t="s">
        <v>10</v>
      </c>
      <c r="T98" s="20" t="s">
        <v>11</v>
      </c>
      <c r="U98" s="19">
        <v>0.9</v>
      </c>
      <c r="V98" s="19">
        <v>3.3</v>
      </c>
      <c r="W98" s="19">
        <v>0.9</v>
      </c>
      <c r="X98" s="19">
        <v>200</v>
      </c>
      <c r="Y98" s="19">
        <v>340</v>
      </c>
      <c r="Z98" s="19">
        <v>480</v>
      </c>
      <c r="AA98" s="40">
        <v>0.33</v>
      </c>
      <c r="AB98" s="40">
        <v>0.66</v>
      </c>
      <c r="AC98" s="40">
        <v>0.99</v>
      </c>
      <c r="AD98" s="40">
        <v>1.65</v>
      </c>
      <c r="AE98" s="40">
        <v>2.48</v>
      </c>
      <c r="AF98" s="40">
        <v>3.3</v>
      </c>
      <c r="AG98" s="40">
        <v>91.5</v>
      </c>
      <c r="AH98" s="40">
        <v>94.7</v>
      </c>
      <c r="AI98" s="40">
        <v>95.4</v>
      </c>
      <c r="AJ98" s="40">
        <v>95.7</v>
      </c>
      <c r="AK98" s="40">
        <v>95.5</v>
      </c>
      <c r="AL98" s="40">
        <v>95.2</v>
      </c>
      <c r="AM98" s="40">
        <v>95.3</v>
      </c>
      <c r="AN98" s="40">
        <v>92.9</v>
      </c>
      <c r="AO98" s="40">
        <v>95.7</v>
      </c>
      <c r="AP98" s="40">
        <v>96.2</v>
      </c>
      <c r="AQ98" s="40">
        <v>96.6</v>
      </c>
      <c r="AR98" s="40">
        <v>96.6</v>
      </c>
      <c r="AS98" s="40">
        <v>96.5</v>
      </c>
      <c r="AT98" s="40">
        <v>96.4</v>
      </c>
      <c r="AU98" s="40">
        <v>90.5</v>
      </c>
      <c r="AV98" s="40">
        <v>94.5</v>
      </c>
      <c r="AW98" s="40">
        <v>95.7</v>
      </c>
      <c r="AX98" s="40">
        <v>96.2</v>
      </c>
      <c r="AY98" s="40">
        <v>96.1</v>
      </c>
      <c r="AZ98" s="40">
        <v>96</v>
      </c>
      <c r="BA98" s="40">
        <v>95.8</v>
      </c>
      <c r="BB98" s="174">
        <v>42917</v>
      </c>
      <c r="BC98" s="174">
        <v>43511</v>
      </c>
    </row>
    <row r="99" spans="1:55" s="44" customFormat="1" ht="45">
      <c r="A99" s="18" t="s">
        <v>0</v>
      </c>
      <c r="B99" s="18" t="s">
        <v>786</v>
      </c>
      <c r="C99" s="23" t="s">
        <v>10</v>
      </c>
      <c r="D99" s="23" t="s">
        <v>10</v>
      </c>
      <c r="E99" s="23" t="s">
        <v>10</v>
      </c>
      <c r="F99" s="23" t="s">
        <v>11</v>
      </c>
      <c r="G99" s="18" t="s">
        <v>91</v>
      </c>
      <c r="H99" s="19">
        <v>3.8</v>
      </c>
      <c r="I99" s="19">
        <v>240</v>
      </c>
      <c r="J99" s="19">
        <v>96.5</v>
      </c>
      <c r="K99" s="21" t="s">
        <v>1215</v>
      </c>
      <c r="L99" s="49" t="s">
        <v>754</v>
      </c>
      <c r="M99" s="21" t="s">
        <v>415</v>
      </c>
      <c r="N99" s="174">
        <v>43388</v>
      </c>
      <c r="O99" s="124" t="s">
        <v>1484</v>
      </c>
      <c r="P99" s="23" t="s">
        <v>17</v>
      </c>
      <c r="Q99" s="23" t="s">
        <v>17</v>
      </c>
      <c r="R99" s="150"/>
      <c r="S99" s="20" t="s">
        <v>10</v>
      </c>
      <c r="T99" s="20" t="s">
        <v>11</v>
      </c>
      <c r="U99" s="19">
        <v>1</v>
      </c>
      <c r="V99" s="19">
        <v>3.8</v>
      </c>
      <c r="W99" s="19">
        <v>1</v>
      </c>
      <c r="X99" s="19">
        <v>200</v>
      </c>
      <c r="Y99" s="19">
        <v>355</v>
      </c>
      <c r="Z99" s="19">
        <v>480</v>
      </c>
      <c r="AA99" s="40">
        <v>0.38</v>
      </c>
      <c r="AB99" s="40">
        <v>0.76</v>
      </c>
      <c r="AC99" s="40">
        <v>1.1399999999999999</v>
      </c>
      <c r="AD99" s="40">
        <v>1.9</v>
      </c>
      <c r="AE99" s="40">
        <v>2.85</v>
      </c>
      <c r="AF99" s="40">
        <v>3.8</v>
      </c>
      <c r="AG99" s="40">
        <v>92</v>
      </c>
      <c r="AH99" s="40">
        <v>95</v>
      </c>
      <c r="AI99" s="40">
        <v>95.7</v>
      </c>
      <c r="AJ99" s="40">
        <v>95.9</v>
      </c>
      <c r="AK99" s="40">
        <v>96</v>
      </c>
      <c r="AL99" s="40">
        <v>95.8</v>
      </c>
      <c r="AM99" s="40">
        <v>95.7</v>
      </c>
      <c r="AN99" s="40">
        <v>93.7</v>
      </c>
      <c r="AO99" s="40">
        <v>96</v>
      </c>
      <c r="AP99" s="40">
        <v>96.6</v>
      </c>
      <c r="AQ99" s="40">
        <v>96.9</v>
      </c>
      <c r="AR99" s="40">
        <v>97</v>
      </c>
      <c r="AS99" s="40">
        <v>96.8</v>
      </c>
      <c r="AT99" s="40">
        <v>96.7</v>
      </c>
      <c r="AU99" s="40">
        <v>91.7</v>
      </c>
      <c r="AV99" s="40">
        <v>95.2</v>
      </c>
      <c r="AW99" s="40">
        <v>96</v>
      </c>
      <c r="AX99" s="40">
        <v>96.6</v>
      </c>
      <c r="AY99" s="40">
        <v>96.7</v>
      </c>
      <c r="AZ99" s="40">
        <v>96.5</v>
      </c>
      <c r="BA99" s="40">
        <v>96.3</v>
      </c>
      <c r="BB99" s="174">
        <v>42917</v>
      </c>
      <c r="BC99" s="174">
        <v>43511</v>
      </c>
    </row>
    <row r="100" spans="1:55" s="44" customFormat="1" ht="45">
      <c r="A100" s="18" t="s">
        <v>0</v>
      </c>
      <c r="B100" s="154" t="s">
        <v>777</v>
      </c>
      <c r="C100" s="155" t="s">
        <v>10</v>
      </c>
      <c r="D100" s="155" t="s">
        <v>10</v>
      </c>
      <c r="E100" s="23" t="s">
        <v>10</v>
      </c>
      <c r="F100" s="23" t="s">
        <v>11</v>
      </c>
      <c r="G100" s="18" t="s">
        <v>62</v>
      </c>
      <c r="H100" s="19">
        <v>3.3</v>
      </c>
      <c r="I100" s="19">
        <v>208</v>
      </c>
      <c r="J100" s="19">
        <v>96</v>
      </c>
      <c r="K100" s="21" t="s">
        <v>1215</v>
      </c>
      <c r="L100" s="49" t="s">
        <v>754</v>
      </c>
      <c r="M100" s="21" t="s">
        <v>415</v>
      </c>
      <c r="N100" s="174">
        <v>43388</v>
      </c>
      <c r="O100" s="124" t="s">
        <v>1484</v>
      </c>
      <c r="P100" s="23" t="s">
        <v>17</v>
      </c>
      <c r="Q100" s="23" t="s">
        <v>17</v>
      </c>
      <c r="R100" s="150"/>
      <c r="S100" s="20" t="s">
        <v>10</v>
      </c>
      <c r="T100" s="20" t="s">
        <v>11</v>
      </c>
      <c r="U100" s="19">
        <v>0.9</v>
      </c>
      <c r="V100" s="19">
        <v>3.3</v>
      </c>
      <c r="W100" s="19">
        <v>0.9</v>
      </c>
      <c r="X100" s="19">
        <v>200</v>
      </c>
      <c r="Y100" s="19">
        <v>340</v>
      </c>
      <c r="Z100" s="19">
        <v>480</v>
      </c>
      <c r="AA100" s="40">
        <v>0.33</v>
      </c>
      <c r="AB100" s="40">
        <v>0.66</v>
      </c>
      <c r="AC100" s="40">
        <v>0.99</v>
      </c>
      <c r="AD100" s="40">
        <v>1.65</v>
      </c>
      <c r="AE100" s="40">
        <v>2.48</v>
      </c>
      <c r="AF100" s="40">
        <v>3.3</v>
      </c>
      <c r="AG100" s="40">
        <v>91.5</v>
      </c>
      <c r="AH100" s="40">
        <v>94.7</v>
      </c>
      <c r="AI100" s="40">
        <v>95.4</v>
      </c>
      <c r="AJ100" s="40">
        <v>95.7</v>
      </c>
      <c r="AK100" s="40">
        <v>95.5</v>
      </c>
      <c r="AL100" s="40">
        <v>95.2</v>
      </c>
      <c r="AM100" s="40">
        <v>95.3</v>
      </c>
      <c r="AN100" s="40">
        <v>92.9</v>
      </c>
      <c r="AO100" s="40">
        <v>95.7</v>
      </c>
      <c r="AP100" s="40">
        <v>96.2</v>
      </c>
      <c r="AQ100" s="40">
        <v>96.6</v>
      </c>
      <c r="AR100" s="40">
        <v>96.6</v>
      </c>
      <c r="AS100" s="40">
        <v>96.5</v>
      </c>
      <c r="AT100" s="40">
        <v>96.4</v>
      </c>
      <c r="AU100" s="40">
        <v>90.5</v>
      </c>
      <c r="AV100" s="40">
        <v>94.5</v>
      </c>
      <c r="AW100" s="40">
        <v>95.7</v>
      </c>
      <c r="AX100" s="40">
        <v>96.2</v>
      </c>
      <c r="AY100" s="40">
        <v>96.1</v>
      </c>
      <c r="AZ100" s="40">
        <v>96</v>
      </c>
      <c r="BA100" s="40">
        <v>95.8</v>
      </c>
      <c r="BB100" s="174">
        <v>42917</v>
      </c>
      <c r="BC100" s="174">
        <v>43511</v>
      </c>
    </row>
    <row r="101" spans="1:55" s="44" customFormat="1" ht="60">
      <c r="A101" s="18" t="s">
        <v>0</v>
      </c>
      <c r="B101" s="18" t="s">
        <v>787</v>
      </c>
      <c r="C101" s="23" t="s">
        <v>10</v>
      </c>
      <c r="D101" s="23" t="s">
        <v>10</v>
      </c>
      <c r="E101" s="23" t="s">
        <v>10</v>
      </c>
      <c r="F101" s="23" t="s">
        <v>11</v>
      </c>
      <c r="G101" s="18" t="s">
        <v>92</v>
      </c>
      <c r="H101" s="19">
        <v>3.8</v>
      </c>
      <c r="I101" s="19">
        <v>240</v>
      </c>
      <c r="J101" s="19">
        <v>96.5</v>
      </c>
      <c r="K101" s="21" t="s">
        <v>1215</v>
      </c>
      <c r="L101" s="49" t="s">
        <v>754</v>
      </c>
      <c r="M101" s="21" t="s">
        <v>415</v>
      </c>
      <c r="N101" s="174">
        <v>43388</v>
      </c>
      <c r="O101" s="124" t="s">
        <v>1484</v>
      </c>
      <c r="P101" s="23" t="s">
        <v>17</v>
      </c>
      <c r="Q101" s="23" t="s">
        <v>17</v>
      </c>
      <c r="R101" s="150"/>
      <c r="S101" s="20" t="s">
        <v>10</v>
      </c>
      <c r="T101" s="20" t="s">
        <v>11</v>
      </c>
      <c r="U101" s="19">
        <v>1</v>
      </c>
      <c r="V101" s="19">
        <v>3.8</v>
      </c>
      <c r="W101" s="19">
        <v>1</v>
      </c>
      <c r="X101" s="19">
        <v>200</v>
      </c>
      <c r="Y101" s="19">
        <v>355</v>
      </c>
      <c r="Z101" s="19">
        <v>480</v>
      </c>
      <c r="AA101" s="40">
        <v>0.38</v>
      </c>
      <c r="AB101" s="40">
        <v>0.76</v>
      </c>
      <c r="AC101" s="40">
        <v>1.1399999999999999</v>
      </c>
      <c r="AD101" s="40">
        <v>1.9</v>
      </c>
      <c r="AE101" s="40">
        <v>2.85</v>
      </c>
      <c r="AF101" s="40">
        <v>3.8</v>
      </c>
      <c r="AG101" s="40">
        <v>92</v>
      </c>
      <c r="AH101" s="40">
        <v>95</v>
      </c>
      <c r="AI101" s="40">
        <v>95.7</v>
      </c>
      <c r="AJ101" s="40">
        <v>95.9</v>
      </c>
      <c r="AK101" s="40">
        <v>96</v>
      </c>
      <c r="AL101" s="40">
        <v>95.8</v>
      </c>
      <c r="AM101" s="40">
        <v>95.7</v>
      </c>
      <c r="AN101" s="40">
        <v>93.7</v>
      </c>
      <c r="AO101" s="40">
        <v>96</v>
      </c>
      <c r="AP101" s="40">
        <v>96.6</v>
      </c>
      <c r="AQ101" s="40">
        <v>96.9</v>
      </c>
      <c r="AR101" s="40">
        <v>97</v>
      </c>
      <c r="AS101" s="40">
        <v>96.8</v>
      </c>
      <c r="AT101" s="40">
        <v>96.7</v>
      </c>
      <c r="AU101" s="40">
        <v>91.7</v>
      </c>
      <c r="AV101" s="40">
        <v>95.2</v>
      </c>
      <c r="AW101" s="40">
        <v>96</v>
      </c>
      <c r="AX101" s="40">
        <v>96.6</v>
      </c>
      <c r="AY101" s="40">
        <v>96.7</v>
      </c>
      <c r="AZ101" s="40">
        <v>96.5</v>
      </c>
      <c r="BA101" s="40">
        <v>96.3</v>
      </c>
      <c r="BB101" s="174">
        <v>42917</v>
      </c>
      <c r="BC101" s="174">
        <v>43511</v>
      </c>
    </row>
    <row r="102" spans="1:55" s="44" customFormat="1" ht="60">
      <c r="A102" s="18" t="s">
        <v>0</v>
      </c>
      <c r="B102" s="154" t="s">
        <v>778</v>
      </c>
      <c r="C102" s="155" t="s">
        <v>10</v>
      </c>
      <c r="D102" s="155" t="s">
        <v>10</v>
      </c>
      <c r="E102" s="23" t="s">
        <v>10</v>
      </c>
      <c r="F102" s="23" t="s">
        <v>11</v>
      </c>
      <c r="G102" s="18" t="s">
        <v>59</v>
      </c>
      <c r="H102" s="19">
        <v>3.3</v>
      </c>
      <c r="I102" s="19">
        <v>208</v>
      </c>
      <c r="J102" s="19">
        <v>96</v>
      </c>
      <c r="K102" s="21" t="s">
        <v>1215</v>
      </c>
      <c r="L102" s="49" t="s">
        <v>754</v>
      </c>
      <c r="M102" s="21" t="s">
        <v>415</v>
      </c>
      <c r="N102" s="174">
        <v>43388</v>
      </c>
      <c r="O102" s="124" t="s">
        <v>1484</v>
      </c>
      <c r="P102" s="23" t="s">
        <v>17</v>
      </c>
      <c r="Q102" s="23" t="s">
        <v>17</v>
      </c>
      <c r="R102" s="150"/>
      <c r="S102" s="20" t="s">
        <v>10</v>
      </c>
      <c r="T102" s="20" t="s">
        <v>11</v>
      </c>
      <c r="U102" s="19">
        <v>0.9</v>
      </c>
      <c r="V102" s="19">
        <v>3.3</v>
      </c>
      <c r="W102" s="19">
        <v>0.9</v>
      </c>
      <c r="X102" s="19">
        <v>200</v>
      </c>
      <c r="Y102" s="19">
        <v>340</v>
      </c>
      <c r="Z102" s="19">
        <v>480</v>
      </c>
      <c r="AA102" s="40">
        <v>0.33</v>
      </c>
      <c r="AB102" s="40">
        <v>0.66</v>
      </c>
      <c r="AC102" s="40">
        <v>0.99</v>
      </c>
      <c r="AD102" s="40">
        <v>1.65</v>
      </c>
      <c r="AE102" s="40">
        <v>2.48</v>
      </c>
      <c r="AF102" s="40">
        <v>3.3</v>
      </c>
      <c r="AG102" s="40">
        <v>91.5</v>
      </c>
      <c r="AH102" s="40">
        <v>94.7</v>
      </c>
      <c r="AI102" s="40">
        <v>95.4</v>
      </c>
      <c r="AJ102" s="40">
        <v>95.7</v>
      </c>
      <c r="AK102" s="40">
        <v>95.5</v>
      </c>
      <c r="AL102" s="40">
        <v>95.2</v>
      </c>
      <c r="AM102" s="40">
        <v>95.3</v>
      </c>
      <c r="AN102" s="40">
        <v>92.9</v>
      </c>
      <c r="AO102" s="40">
        <v>95.7</v>
      </c>
      <c r="AP102" s="40">
        <v>96.2</v>
      </c>
      <c r="AQ102" s="40">
        <v>96.6</v>
      </c>
      <c r="AR102" s="40">
        <v>96.6</v>
      </c>
      <c r="AS102" s="40">
        <v>96.5</v>
      </c>
      <c r="AT102" s="40">
        <v>96.4</v>
      </c>
      <c r="AU102" s="40">
        <v>90.5</v>
      </c>
      <c r="AV102" s="40">
        <v>94.5</v>
      </c>
      <c r="AW102" s="40">
        <v>95.7</v>
      </c>
      <c r="AX102" s="40">
        <v>96.2</v>
      </c>
      <c r="AY102" s="40">
        <v>96.1</v>
      </c>
      <c r="AZ102" s="40">
        <v>96</v>
      </c>
      <c r="BA102" s="40">
        <v>95.8</v>
      </c>
      <c r="BB102" s="174">
        <v>42917</v>
      </c>
      <c r="BC102" s="174">
        <v>43511</v>
      </c>
    </row>
    <row r="103" spans="1:55" s="44" customFormat="1" ht="60">
      <c r="A103" s="18" t="s">
        <v>0</v>
      </c>
      <c r="B103" s="18" t="s">
        <v>788</v>
      </c>
      <c r="C103" s="23" t="s">
        <v>10</v>
      </c>
      <c r="D103" s="23" t="s">
        <v>10</v>
      </c>
      <c r="E103" s="23" t="s">
        <v>10</v>
      </c>
      <c r="F103" s="23" t="s">
        <v>11</v>
      </c>
      <c r="G103" s="18" t="s">
        <v>93</v>
      </c>
      <c r="H103" s="19">
        <v>3.8</v>
      </c>
      <c r="I103" s="19">
        <v>240</v>
      </c>
      <c r="J103" s="19">
        <v>96.5</v>
      </c>
      <c r="K103" s="21" t="s">
        <v>1215</v>
      </c>
      <c r="L103" s="49" t="s">
        <v>754</v>
      </c>
      <c r="M103" s="21" t="s">
        <v>415</v>
      </c>
      <c r="N103" s="174">
        <v>43388</v>
      </c>
      <c r="O103" s="124" t="s">
        <v>1484</v>
      </c>
      <c r="P103" s="23" t="s">
        <v>17</v>
      </c>
      <c r="Q103" s="23" t="s">
        <v>17</v>
      </c>
      <c r="R103" s="150" t="s">
        <v>26</v>
      </c>
      <c r="S103" s="20" t="s">
        <v>10</v>
      </c>
      <c r="T103" s="20" t="s">
        <v>11</v>
      </c>
      <c r="U103" s="19">
        <v>1</v>
      </c>
      <c r="V103" s="19">
        <v>3.8</v>
      </c>
      <c r="W103" s="19">
        <v>1</v>
      </c>
      <c r="X103" s="19">
        <v>200</v>
      </c>
      <c r="Y103" s="19">
        <v>355</v>
      </c>
      <c r="Z103" s="19">
        <v>480</v>
      </c>
      <c r="AA103" s="40">
        <v>0.38</v>
      </c>
      <c r="AB103" s="40">
        <v>0.76</v>
      </c>
      <c r="AC103" s="40">
        <v>1.1399999999999999</v>
      </c>
      <c r="AD103" s="40">
        <v>1.9</v>
      </c>
      <c r="AE103" s="40">
        <v>2.85</v>
      </c>
      <c r="AF103" s="40">
        <v>3.8</v>
      </c>
      <c r="AG103" s="40">
        <v>92</v>
      </c>
      <c r="AH103" s="40">
        <v>95</v>
      </c>
      <c r="AI103" s="40">
        <v>95.7</v>
      </c>
      <c r="AJ103" s="40">
        <v>95.9</v>
      </c>
      <c r="AK103" s="40">
        <v>96</v>
      </c>
      <c r="AL103" s="40">
        <v>95.8</v>
      </c>
      <c r="AM103" s="40">
        <v>95.7</v>
      </c>
      <c r="AN103" s="40">
        <v>93.7</v>
      </c>
      <c r="AO103" s="40">
        <v>96</v>
      </c>
      <c r="AP103" s="40">
        <v>96.6</v>
      </c>
      <c r="AQ103" s="40">
        <v>96.9</v>
      </c>
      <c r="AR103" s="40">
        <v>97</v>
      </c>
      <c r="AS103" s="40">
        <v>96.8</v>
      </c>
      <c r="AT103" s="40">
        <v>96.7</v>
      </c>
      <c r="AU103" s="40">
        <v>91.7</v>
      </c>
      <c r="AV103" s="40">
        <v>95.2</v>
      </c>
      <c r="AW103" s="40">
        <v>96</v>
      </c>
      <c r="AX103" s="40">
        <v>96.6</v>
      </c>
      <c r="AY103" s="40">
        <v>96.7</v>
      </c>
      <c r="AZ103" s="40">
        <v>96.5</v>
      </c>
      <c r="BA103" s="40">
        <v>96.3</v>
      </c>
      <c r="BB103" s="174">
        <v>42917</v>
      </c>
      <c r="BC103" s="174">
        <v>43511</v>
      </c>
    </row>
    <row r="104" spans="1:55" s="44" customFormat="1" ht="45">
      <c r="A104" s="18" t="s">
        <v>0</v>
      </c>
      <c r="B104" s="154" t="s">
        <v>779</v>
      </c>
      <c r="C104" s="155" t="s">
        <v>10</v>
      </c>
      <c r="D104" s="155" t="s">
        <v>10</v>
      </c>
      <c r="E104" s="23" t="s">
        <v>10</v>
      </c>
      <c r="F104" s="23" t="s">
        <v>11</v>
      </c>
      <c r="G104" s="18" t="s">
        <v>60</v>
      </c>
      <c r="H104" s="19">
        <v>3.3</v>
      </c>
      <c r="I104" s="19">
        <v>208</v>
      </c>
      <c r="J104" s="19">
        <v>96</v>
      </c>
      <c r="K104" s="21" t="s">
        <v>1215</v>
      </c>
      <c r="L104" s="49" t="s">
        <v>754</v>
      </c>
      <c r="M104" s="21" t="s">
        <v>415</v>
      </c>
      <c r="N104" s="174">
        <v>43388</v>
      </c>
      <c r="O104" s="124" t="s">
        <v>1484</v>
      </c>
      <c r="P104" s="23" t="s">
        <v>17</v>
      </c>
      <c r="Q104" s="23" t="s">
        <v>17</v>
      </c>
      <c r="R104" s="150"/>
      <c r="S104" s="20" t="s">
        <v>10</v>
      </c>
      <c r="T104" s="20" t="s">
        <v>11</v>
      </c>
      <c r="U104" s="19">
        <v>0.9</v>
      </c>
      <c r="V104" s="19">
        <v>3.3</v>
      </c>
      <c r="W104" s="19">
        <v>0.9</v>
      </c>
      <c r="X104" s="19">
        <v>200</v>
      </c>
      <c r="Y104" s="19">
        <v>340</v>
      </c>
      <c r="Z104" s="19">
        <v>480</v>
      </c>
      <c r="AA104" s="40">
        <v>0.33</v>
      </c>
      <c r="AB104" s="40">
        <v>0.66</v>
      </c>
      <c r="AC104" s="40">
        <v>0.99</v>
      </c>
      <c r="AD104" s="40">
        <v>1.65</v>
      </c>
      <c r="AE104" s="40">
        <v>2.48</v>
      </c>
      <c r="AF104" s="40">
        <v>3.3</v>
      </c>
      <c r="AG104" s="40">
        <v>91.5</v>
      </c>
      <c r="AH104" s="40">
        <v>94.7</v>
      </c>
      <c r="AI104" s="40">
        <v>95.4</v>
      </c>
      <c r="AJ104" s="40">
        <v>95.7</v>
      </c>
      <c r="AK104" s="40">
        <v>95.5</v>
      </c>
      <c r="AL104" s="40">
        <v>95.2</v>
      </c>
      <c r="AM104" s="40">
        <v>95.3</v>
      </c>
      <c r="AN104" s="40">
        <v>92.9</v>
      </c>
      <c r="AO104" s="40">
        <v>95.7</v>
      </c>
      <c r="AP104" s="40">
        <v>96.2</v>
      </c>
      <c r="AQ104" s="40">
        <v>96.6</v>
      </c>
      <c r="AR104" s="40">
        <v>96.6</v>
      </c>
      <c r="AS104" s="40">
        <v>96.5</v>
      </c>
      <c r="AT104" s="40">
        <v>96.4</v>
      </c>
      <c r="AU104" s="40">
        <v>90.5</v>
      </c>
      <c r="AV104" s="40">
        <v>94.5</v>
      </c>
      <c r="AW104" s="40">
        <v>95.7</v>
      </c>
      <c r="AX104" s="40">
        <v>96.2</v>
      </c>
      <c r="AY104" s="40">
        <v>96.1</v>
      </c>
      <c r="AZ104" s="40">
        <v>96</v>
      </c>
      <c r="BA104" s="40">
        <v>95.8</v>
      </c>
      <c r="BB104" s="174">
        <v>42917</v>
      </c>
      <c r="BC104" s="174">
        <v>43511</v>
      </c>
    </row>
    <row r="105" spans="1:55" s="44" customFormat="1" ht="45">
      <c r="A105" s="18" t="s">
        <v>0</v>
      </c>
      <c r="B105" s="18" t="s">
        <v>323</v>
      </c>
      <c r="C105" s="23" t="s">
        <v>10</v>
      </c>
      <c r="D105" s="23" t="s">
        <v>10</v>
      </c>
      <c r="E105" s="23" t="s">
        <v>10</v>
      </c>
      <c r="F105" s="23" t="s">
        <v>11</v>
      </c>
      <c r="G105" s="18" t="s">
        <v>94</v>
      </c>
      <c r="H105" s="19">
        <v>3.8</v>
      </c>
      <c r="I105" s="19">
        <v>240</v>
      </c>
      <c r="J105" s="19">
        <v>96.5</v>
      </c>
      <c r="K105" s="21" t="s">
        <v>1215</v>
      </c>
      <c r="L105" s="49" t="s">
        <v>754</v>
      </c>
      <c r="M105" s="21" t="s">
        <v>415</v>
      </c>
      <c r="N105" s="174">
        <v>43388</v>
      </c>
      <c r="O105" s="124" t="s">
        <v>1484</v>
      </c>
      <c r="P105" s="23" t="s">
        <v>17</v>
      </c>
      <c r="Q105" s="23" t="s">
        <v>17</v>
      </c>
      <c r="R105" s="150" t="s">
        <v>26</v>
      </c>
      <c r="S105" s="20" t="s">
        <v>10</v>
      </c>
      <c r="T105" s="20" t="s">
        <v>11</v>
      </c>
      <c r="U105" s="19">
        <v>1</v>
      </c>
      <c r="V105" s="19">
        <v>3.8</v>
      </c>
      <c r="W105" s="19">
        <v>1</v>
      </c>
      <c r="X105" s="19">
        <v>200</v>
      </c>
      <c r="Y105" s="19">
        <v>355</v>
      </c>
      <c r="Z105" s="19">
        <v>480</v>
      </c>
      <c r="AA105" s="40">
        <v>0.38</v>
      </c>
      <c r="AB105" s="40">
        <v>0.76</v>
      </c>
      <c r="AC105" s="40">
        <v>1.1399999999999999</v>
      </c>
      <c r="AD105" s="40">
        <v>1.9</v>
      </c>
      <c r="AE105" s="40">
        <v>2.85</v>
      </c>
      <c r="AF105" s="40">
        <v>3.8</v>
      </c>
      <c r="AG105" s="40">
        <v>92</v>
      </c>
      <c r="AH105" s="40">
        <v>95</v>
      </c>
      <c r="AI105" s="40">
        <v>95.7</v>
      </c>
      <c r="AJ105" s="40">
        <v>95.9</v>
      </c>
      <c r="AK105" s="40">
        <v>96</v>
      </c>
      <c r="AL105" s="40">
        <v>95.8</v>
      </c>
      <c r="AM105" s="40">
        <v>95.7</v>
      </c>
      <c r="AN105" s="40">
        <v>93.7</v>
      </c>
      <c r="AO105" s="40">
        <v>96</v>
      </c>
      <c r="AP105" s="40">
        <v>96.6</v>
      </c>
      <c r="AQ105" s="40">
        <v>96.9</v>
      </c>
      <c r="AR105" s="40">
        <v>97</v>
      </c>
      <c r="AS105" s="40">
        <v>96.8</v>
      </c>
      <c r="AT105" s="40">
        <v>96.7</v>
      </c>
      <c r="AU105" s="40">
        <v>91.7</v>
      </c>
      <c r="AV105" s="40">
        <v>95.2</v>
      </c>
      <c r="AW105" s="40">
        <v>96</v>
      </c>
      <c r="AX105" s="40">
        <v>96.6</v>
      </c>
      <c r="AY105" s="40">
        <v>96.7</v>
      </c>
      <c r="AZ105" s="40">
        <v>96.5</v>
      </c>
      <c r="BA105" s="40">
        <v>96.3</v>
      </c>
      <c r="BB105" s="174">
        <v>42917</v>
      </c>
      <c r="BC105" s="174">
        <v>43511</v>
      </c>
    </row>
    <row r="106" spans="1:55" s="44" customFormat="1" ht="45">
      <c r="A106" s="18" t="s">
        <v>0</v>
      </c>
      <c r="B106" s="154" t="s">
        <v>792</v>
      </c>
      <c r="C106" s="155" t="s">
        <v>10</v>
      </c>
      <c r="D106" s="155" t="s">
        <v>10</v>
      </c>
      <c r="E106" s="23" t="s">
        <v>10</v>
      </c>
      <c r="F106" s="23" t="s">
        <v>11</v>
      </c>
      <c r="G106" s="18" t="s">
        <v>65</v>
      </c>
      <c r="H106" s="19">
        <v>4.2</v>
      </c>
      <c r="I106" s="19">
        <v>208</v>
      </c>
      <c r="J106" s="19">
        <v>96</v>
      </c>
      <c r="K106" s="21" t="s">
        <v>1215</v>
      </c>
      <c r="L106" s="49" t="s">
        <v>754</v>
      </c>
      <c r="M106" s="21" t="s">
        <v>415</v>
      </c>
      <c r="N106" s="174">
        <v>43388</v>
      </c>
      <c r="O106" s="124" t="s">
        <v>1484</v>
      </c>
      <c r="P106" s="23" t="s">
        <v>17</v>
      </c>
      <c r="Q106" s="23" t="s">
        <v>17</v>
      </c>
      <c r="R106" s="150"/>
      <c r="S106" s="20" t="s">
        <v>10</v>
      </c>
      <c r="T106" s="20" t="s">
        <v>11</v>
      </c>
      <c r="U106" s="19">
        <v>0.9</v>
      </c>
      <c r="V106" s="19">
        <v>4.2</v>
      </c>
      <c r="W106" s="19">
        <v>0.9</v>
      </c>
      <c r="X106" s="19">
        <v>200</v>
      </c>
      <c r="Y106" s="19">
        <v>340</v>
      </c>
      <c r="Z106" s="19">
        <v>480</v>
      </c>
      <c r="AA106" s="40">
        <v>0.42</v>
      </c>
      <c r="AB106" s="40">
        <v>0.84</v>
      </c>
      <c r="AC106" s="40">
        <v>1.26</v>
      </c>
      <c r="AD106" s="40">
        <v>2.1</v>
      </c>
      <c r="AE106" s="40">
        <v>3.15</v>
      </c>
      <c r="AF106" s="40">
        <v>4.2</v>
      </c>
      <c r="AG106" s="40">
        <v>92.6</v>
      </c>
      <c r="AH106" s="40">
        <v>95</v>
      </c>
      <c r="AI106" s="40">
        <v>95.7</v>
      </c>
      <c r="AJ106" s="40">
        <v>95.6</v>
      </c>
      <c r="AK106" s="40">
        <v>95.2</v>
      </c>
      <c r="AL106" s="40">
        <v>95</v>
      </c>
      <c r="AM106" s="40">
        <v>95.2</v>
      </c>
      <c r="AN106" s="40">
        <v>94.1</v>
      </c>
      <c r="AO106" s="40">
        <v>96</v>
      </c>
      <c r="AP106" s="40">
        <v>96.4</v>
      </c>
      <c r="AQ106" s="40">
        <v>96.6</v>
      </c>
      <c r="AR106" s="40">
        <v>96.5</v>
      </c>
      <c r="AS106" s="40">
        <v>96.1</v>
      </c>
      <c r="AT106" s="40">
        <v>96.4</v>
      </c>
      <c r="AU106" s="40">
        <v>92.3</v>
      </c>
      <c r="AV106" s="40">
        <v>95.2</v>
      </c>
      <c r="AW106" s="40">
        <v>96</v>
      </c>
      <c r="AX106" s="40">
        <v>96.2</v>
      </c>
      <c r="AY106" s="40">
        <v>96</v>
      </c>
      <c r="AZ106" s="40">
        <v>95.8</v>
      </c>
      <c r="BA106" s="40">
        <v>95.8</v>
      </c>
      <c r="BB106" s="174">
        <v>42917</v>
      </c>
      <c r="BC106" s="174">
        <v>43511</v>
      </c>
    </row>
    <row r="107" spans="1:55" s="44" customFormat="1" ht="45">
      <c r="A107" s="18" t="s">
        <v>0</v>
      </c>
      <c r="B107" s="143" t="s">
        <v>796</v>
      </c>
      <c r="C107" s="156" t="s">
        <v>10</v>
      </c>
      <c r="D107" s="156" t="s">
        <v>10</v>
      </c>
      <c r="E107" s="23" t="s">
        <v>10</v>
      </c>
      <c r="F107" s="23" t="s">
        <v>11</v>
      </c>
      <c r="G107" s="18" t="s">
        <v>101</v>
      </c>
      <c r="H107" s="19">
        <v>4.5999999999999996</v>
      </c>
      <c r="I107" s="19">
        <v>240</v>
      </c>
      <c r="J107" s="19">
        <v>96.5</v>
      </c>
      <c r="K107" s="21" t="s">
        <v>1215</v>
      </c>
      <c r="L107" s="49" t="s">
        <v>754</v>
      </c>
      <c r="M107" s="21" t="s">
        <v>415</v>
      </c>
      <c r="N107" s="174">
        <v>43388</v>
      </c>
      <c r="O107" s="124" t="s">
        <v>1484</v>
      </c>
      <c r="P107" s="23" t="s">
        <v>17</v>
      </c>
      <c r="Q107" s="23" t="s">
        <v>17</v>
      </c>
      <c r="R107" s="150"/>
      <c r="S107" s="20" t="s">
        <v>10</v>
      </c>
      <c r="T107" s="20" t="s">
        <v>11</v>
      </c>
      <c r="U107" s="19">
        <v>1</v>
      </c>
      <c r="V107" s="19">
        <v>4.5999999999999996</v>
      </c>
      <c r="W107" s="19">
        <v>1</v>
      </c>
      <c r="X107" s="19">
        <v>200</v>
      </c>
      <c r="Y107" s="19">
        <v>355</v>
      </c>
      <c r="Z107" s="19">
        <v>480</v>
      </c>
      <c r="AA107" s="40">
        <v>0.46</v>
      </c>
      <c r="AB107" s="40">
        <v>0.92</v>
      </c>
      <c r="AC107" s="40">
        <v>1.38</v>
      </c>
      <c r="AD107" s="40">
        <v>2.2999999999999998</v>
      </c>
      <c r="AE107" s="40">
        <v>3.45</v>
      </c>
      <c r="AF107" s="40">
        <v>4.5999999999999996</v>
      </c>
      <c r="AG107" s="40">
        <v>93.1</v>
      </c>
      <c r="AH107" s="40">
        <v>95.3</v>
      </c>
      <c r="AI107" s="40">
        <v>95.9</v>
      </c>
      <c r="AJ107" s="40">
        <v>96</v>
      </c>
      <c r="AK107" s="40">
        <v>95.9</v>
      </c>
      <c r="AL107" s="40">
        <v>95.5</v>
      </c>
      <c r="AM107" s="40">
        <v>95.8</v>
      </c>
      <c r="AN107" s="40">
        <v>94.5</v>
      </c>
      <c r="AO107" s="40">
        <v>96.3</v>
      </c>
      <c r="AP107" s="40">
        <v>96.8</v>
      </c>
      <c r="AQ107" s="40">
        <v>97</v>
      </c>
      <c r="AR107" s="40">
        <v>96.9</v>
      </c>
      <c r="AS107" s="40">
        <v>96.6</v>
      </c>
      <c r="AT107" s="40">
        <v>96.8</v>
      </c>
      <c r="AU107" s="40">
        <v>92.6</v>
      </c>
      <c r="AV107" s="40">
        <v>95.6</v>
      </c>
      <c r="AW107" s="40">
        <v>96.3</v>
      </c>
      <c r="AX107" s="40">
        <v>96.6</v>
      </c>
      <c r="AY107" s="40">
        <v>96.6</v>
      </c>
      <c r="AZ107" s="40">
        <v>96.3</v>
      </c>
      <c r="BA107" s="40">
        <v>96.4</v>
      </c>
      <c r="BB107" s="174">
        <v>42917</v>
      </c>
      <c r="BC107" s="174">
        <v>43511</v>
      </c>
    </row>
    <row r="108" spans="1:55" s="44" customFormat="1" ht="45">
      <c r="A108" s="18" t="s">
        <v>0</v>
      </c>
      <c r="B108" s="154" t="s">
        <v>793</v>
      </c>
      <c r="C108" s="155" t="s">
        <v>10</v>
      </c>
      <c r="D108" s="155" t="s">
        <v>10</v>
      </c>
      <c r="E108" s="23" t="s">
        <v>10</v>
      </c>
      <c r="F108" s="23" t="s">
        <v>11</v>
      </c>
      <c r="G108" s="18" t="s">
        <v>66</v>
      </c>
      <c r="H108" s="19">
        <v>4.2</v>
      </c>
      <c r="I108" s="19">
        <v>208</v>
      </c>
      <c r="J108" s="19">
        <v>96</v>
      </c>
      <c r="K108" s="21" t="s">
        <v>1215</v>
      </c>
      <c r="L108" s="49" t="s">
        <v>754</v>
      </c>
      <c r="M108" s="21" t="s">
        <v>415</v>
      </c>
      <c r="N108" s="174">
        <v>43388</v>
      </c>
      <c r="O108" s="124" t="s">
        <v>1484</v>
      </c>
      <c r="P108" s="23" t="s">
        <v>17</v>
      </c>
      <c r="Q108" s="23" t="s">
        <v>17</v>
      </c>
      <c r="R108" s="150"/>
      <c r="S108" s="20" t="s">
        <v>10</v>
      </c>
      <c r="T108" s="20" t="s">
        <v>11</v>
      </c>
      <c r="U108" s="19">
        <v>0.9</v>
      </c>
      <c r="V108" s="19">
        <v>4.2</v>
      </c>
      <c r="W108" s="19">
        <v>0.9</v>
      </c>
      <c r="X108" s="19">
        <v>200</v>
      </c>
      <c r="Y108" s="19">
        <v>340</v>
      </c>
      <c r="Z108" s="19">
        <v>480</v>
      </c>
      <c r="AA108" s="40">
        <v>0.42</v>
      </c>
      <c r="AB108" s="40">
        <v>0.84</v>
      </c>
      <c r="AC108" s="40">
        <v>1.26</v>
      </c>
      <c r="AD108" s="40">
        <v>2.1</v>
      </c>
      <c r="AE108" s="40">
        <v>3.15</v>
      </c>
      <c r="AF108" s="40">
        <v>4.2</v>
      </c>
      <c r="AG108" s="40">
        <v>92.6</v>
      </c>
      <c r="AH108" s="40">
        <v>95</v>
      </c>
      <c r="AI108" s="40">
        <v>95.7</v>
      </c>
      <c r="AJ108" s="40">
        <v>95.6</v>
      </c>
      <c r="AK108" s="40">
        <v>95.2</v>
      </c>
      <c r="AL108" s="40">
        <v>95</v>
      </c>
      <c r="AM108" s="40">
        <v>95.2</v>
      </c>
      <c r="AN108" s="40">
        <v>94.1</v>
      </c>
      <c r="AO108" s="40">
        <v>96</v>
      </c>
      <c r="AP108" s="40">
        <v>96.4</v>
      </c>
      <c r="AQ108" s="40">
        <v>96.6</v>
      </c>
      <c r="AR108" s="40">
        <v>96.5</v>
      </c>
      <c r="AS108" s="40">
        <v>96.1</v>
      </c>
      <c r="AT108" s="40">
        <v>96.4</v>
      </c>
      <c r="AU108" s="40">
        <v>92.3</v>
      </c>
      <c r="AV108" s="40">
        <v>95.2</v>
      </c>
      <c r="AW108" s="40">
        <v>96</v>
      </c>
      <c r="AX108" s="40">
        <v>96.2</v>
      </c>
      <c r="AY108" s="40">
        <v>96</v>
      </c>
      <c r="AZ108" s="40">
        <v>95.8</v>
      </c>
      <c r="BA108" s="40">
        <v>95.8</v>
      </c>
      <c r="BB108" s="174">
        <v>42917</v>
      </c>
      <c r="BC108" s="174">
        <v>43511</v>
      </c>
    </row>
    <row r="109" spans="1:55" s="44" customFormat="1" ht="60">
      <c r="A109" s="18" t="s">
        <v>0</v>
      </c>
      <c r="B109" s="143" t="s">
        <v>797</v>
      </c>
      <c r="C109" s="156" t="s">
        <v>10</v>
      </c>
      <c r="D109" s="156" t="s">
        <v>10</v>
      </c>
      <c r="E109" s="23" t="s">
        <v>10</v>
      </c>
      <c r="F109" s="23" t="s">
        <v>11</v>
      </c>
      <c r="G109" s="18" t="s">
        <v>102</v>
      </c>
      <c r="H109" s="19">
        <v>4.5999999999999996</v>
      </c>
      <c r="I109" s="19">
        <v>240</v>
      </c>
      <c r="J109" s="19">
        <v>96.5</v>
      </c>
      <c r="K109" s="21" t="s">
        <v>1215</v>
      </c>
      <c r="L109" s="49" t="s">
        <v>754</v>
      </c>
      <c r="M109" s="21" t="s">
        <v>415</v>
      </c>
      <c r="N109" s="174">
        <v>43388</v>
      </c>
      <c r="O109" s="124" t="s">
        <v>1484</v>
      </c>
      <c r="P109" s="23" t="s">
        <v>17</v>
      </c>
      <c r="Q109" s="23" t="s">
        <v>17</v>
      </c>
      <c r="R109" s="150"/>
      <c r="S109" s="20" t="s">
        <v>10</v>
      </c>
      <c r="T109" s="20" t="s">
        <v>11</v>
      </c>
      <c r="U109" s="19">
        <v>1</v>
      </c>
      <c r="V109" s="19">
        <v>4.5999999999999996</v>
      </c>
      <c r="W109" s="19">
        <v>1</v>
      </c>
      <c r="X109" s="19">
        <v>200</v>
      </c>
      <c r="Y109" s="19">
        <v>355</v>
      </c>
      <c r="Z109" s="19">
        <v>480</v>
      </c>
      <c r="AA109" s="40">
        <v>0.46</v>
      </c>
      <c r="AB109" s="40">
        <v>0.92</v>
      </c>
      <c r="AC109" s="40">
        <v>1.38</v>
      </c>
      <c r="AD109" s="40">
        <v>2.2999999999999998</v>
      </c>
      <c r="AE109" s="40">
        <v>3.45</v>
      </c>
      <c r="AF109" s="40">
        <v>4.5999999999999996</v>
      </c>
      <c r="AG109" s="40">
        <v>93.1</v>
      </c>
      <c r="AH109" s="40">
        <v>95.3</v>
      </c>
      <c r="AI109" s="40">
        <v>95.9</v>
      </c>
      <c r="AJ109" s="40">
        <v>96</v>
      </c>
      <c r="AK109" s="40">
        <v>95.9</v>
      </c>
      <c r="AL109" s="40">
        <v>95.5</v>
      </c>
      <c r="AM109" s="40">
        <v>95.8</v>
      </c>
      <c r="AN109" s="40">
        <v>94.5</v>
      </c>
      <c r="AO109" s="40">
        <v>96.3</v>
      </c>
      <c r="AP109" s="40">
        <v>96.8</v>
      </c>
      <c r="AQ109" s="40">
        <v>97</v>
      </c>
      <c r="AR109" s="40">
        <v>96.9</v>
      </c>
      <c r="AS109" s="40">
        <v>96.6</v>
      </c>
      <c r="AT109" s="40">
        <v>96.8</v>
      </c>
      <c r="AU109" s="40">
        <v>92.6</v>
      </c>
      <c r="AV109" s="40">
        <v>95.6</v>
      </c>
      <c r="AW109" s="40">
        <v>96.3</v>
      </c>
      <c r="AX109" s="40">
        <v>96.6</v>
      </c>
      <c r="AY109" s="40">
        <v>96.6</v>
      </c>
      <c r="AZ109" s="40">
        <v>96.3</v>
      </c>
      <c r="BA109" s="40">
        <v>96.4</v>
      </c>
      <c r="BB109" s="174">
        <v>42917</v>
      </c>
      <c r="BC109" s="174">
        <v>43511</v>
      </c>
    </row>
    <row r="110" spans="1:55" s="44" customFormat="1" ht="60">
      <c r="A110" s="18" t="s">
        <v>0</v>
      </c>
      <c r="B110" s="154" t="s">
        <v>794</v>
      </c>
      <c r="C110" s="155" t="s">
        <v>10</v>
      </c>
      <c r="D110" s="155" t="s">
        <v>10</v>
      </c>
      <c r="E110" s="23" t="s">
        <v>10</v>
      </c>
      <c r="F110" s="23" t="s">
        <v>11</v>
      </c>
      <c r="G110" s="18" t="s">
        <v>63</v>
      </c>
      <c r="H110" s="19">
        <v>4.2</v>
      </c>
      <c r="I110" s="19">
        <v>208</v>
      </c>
      <c r="J110" s="19">
        <v>96</v>
      </c>
      <c r="K110" s="21" t="s">
        <v>1215</v>
      </c>
      <c r="L110" s="49" t="s">
        <v>754</v>
      </c>
      <c r="M110" s="21" t="s">
        <v>415</v>
      </c>
      <c r="N110" s="174">
        <v>43388</v>
      </c>
      <c r="O110" s="124" t="s">
        <v>1484</v>
      </c>
      <c r="P110" s="23" t="s">
        <v>17</v>
      </c>
      <c r="Q110" s="23" t="s">
        <v>17</v>
      </c>
      <c r="R110" s="150"/>
      <c r="S110" s="20" t="s">
        <v>10</v>
      </c>
      <c r="T110" s="20" t="s">
        <v>11</v>
      </c>
      <c r="U110" s="19">
        <v>0.9</v>
      </c>
      <c r="V110" s="19">
        <v>4.2</v>
      </c>
      <c r="W110" s="19">
        <v>0.9</v>
      </c>
      <c r="X110" s="19">
        <v>200</v>
      </c>
      <c r="Y110" s="19">
        <v>340</v>
      </c>
      <c r="Z110" s="19">
        <v>480</v>
      </c>
      <c r="AA110" s="40">
        <v>0.42</v>
      </c>
      <c r="AB110" s="40">
        <v>0.84</v>
      </c>
      <c r="AC110" s="40">
        <v>1.26</v>
      </c>
      <c r="AD110" s="40">
        <v>2.1</v>
      </c>
      <c r="AE110" s="40">
        <v>3.15</v>
      </c>
      <c r="AF110" s="40">
        <v>4.2</v>
      </c>
      <c r="AG110" s="40">
        <v>92.6</v>
      </c>
      <c r="AH110" s="40">
        <v>95</v>
      </c>
      <c r="AI110" s="40">
        <v>95.7</v>
      </c>
      <c r="AJ110" s="40">
        <v>95.6</v>
      </c>
      <c r="AK110" s="40">
        <v>95.2</v>
      </c>
      <c r="AL110" s="40">
        <v>95</v>
      </c>
      <c r="AM110" s="40">
        <v>95.2</v>
      </c>
      <c r="AN110" s="40">
        <v>94.1</v>
      </c>
      <c r="AO110" s="40">
        <v>96</v>
      </c>
      <c r="AP110" s="40">
        <v>96.4</v>
      </c>
      <c r="AQ110" s="40">
        <v>96.6</v>
      </c>
      <c r="AR110" s="40">
        <v>96.5</v>
      </c>
      <c r="AS110" s="40">
        <v>96.1</v>
      </c>
      <c r="AT110" s="40">
        <v>96.4</v>
      </c>
      <c r="AU110" s="40">
        <v>92.3</v>
      </c>
      <c r="AV110" s="40">
        <v>95.2</v>
      </c>
      <c r="AW110" s="40">
        <v>96</v>
      </c>
      <c r="AX110" s="40">
        <v>96.2</v>
      </c>
      <c r="AY110" s="40">
        <v>96</v>
      </c>
      <c r="AZ110" s="40">
        <v>95.8</v>
      </c>
      <c r="BA110" s="40">
        <v>95.8</v>
      </c>
      <c r="BB110" s="174">
        <v>42917</v>
      </c>
      <c r="BC110" s="174">
        <v>43511</v>
      </c>
    </row>
    <row r="111" spans="1:55" s="44" customFormat="1" ht="60">
      <c r="A111" s="18" t="s">
        <v>0</v>
      </c>
      <c r="B111" s="18" t="s">
        <v>798</v>
      </c>
      <c r="C111" s="23" t="s">
        <v>10</v>
      </c>
      <c r="D111" s="23" t="s">
        <v>10</v>
      </c>
      <c r="E111" s="23" t="s">
        <v>10</v>
      </c>
      <c r="F111" s="23" t="s">
        <v>11</v>
      </c>
      <c r="G111" s="18" t="s">
        <v>103</v>
      </c>
      <c r="H111" s="19">
        <v>4.5999999999999996</v>
      </c>
      <c r="I111" s="19">
        <v>240</v>
      </c>
      <c r="J111" s="19">
        <v>96.5</v>
      </c>
      <c r="K111" s="21" t="s">
        <v>1215</v>
      </c>
      <c r="L111" s="49" t="s">
        <v>754</v>
      </c>
      <c r="M111" s="21" t="s">
        <v>415</v>
      </c>
      <c r="N111" s="174">
        <v>43388</v>
      </c>
      <c r="O111" s="124" t="s">
        <v>1484</v>
      </c>
      <c r="P111" s="23" t="s">
        <v>17</v>
      </c>
      <c r="Q111" s="23" t="s">
        <v>17</v>
      </c>
      <c r="R111" s="150"/>
      <c r="S111" s="20" t="s">
        <v>10</v>
      </c>
      <c r="T111" s="20" t="s">
        <v>11</v>
      </c>
      <c r="U111" s="19">
        <v>1</v>
      </c>
      <c r="V111" s="19">
        <v>4.5999999999999996</v>
      </c>
      <c r="W111" s="19">
        <v>1</v>
      </c>
      <c r="X111" s="19">
        <v>200</v>
      </c>
      <c r="Y111" s="19">
        <v>355</v>
      </c>
      <c r="Z111" s="19">
        <v>480</v>
      </c>
      <c r="AA111" s="40">
        <v>0.46</v>
      </c>
      <c r="AB111" s="40">
        <v>0.92</v>
      </c>
      <c r="AC111" s="40">
        <v>1.38</v>
      </c>
      <c r="AD111" s="40">
        <v>2.2999999999999998</v>
      </c>
      <c r="AE111" s="40">
        <v>3.45</v>
      </c>
      <c r="AF111" s="40">
        <v>4.5999999999999996</v>
      </c>
      <c r="AG111" s="40">
        <v>93.1</v>
      </c>
      <c r="AH111" s="40">
        <v>95.3</v>
      </c>
      <c r="AI111" s="40">
        <v>95.9</v>
      </c>
      <c r="AJ111" s="40">
        <v>96</v>
      </c>
      <c r="AK111" s="40">
        <v>95.9</v>
      </c>
      <c r="AL111" s="40">
        <v>95.5</v>
      </c>
      <c r="AM111" s="40">
        <v>95.8</v>
      </c>
      <c r="AN111" s="40">
        <v>94.5</v>
      </c>
      <c r="AO111" s="40">
        <v>96.3</v>
      </c>
      <c r="AP111" s="40">
        <v>96.8</v>
      </c>
      <c r="AQ111" s="40">
        <v>97</v>
      </c>
      <c r="AR111" s="40">
        <v>96.9</v>
      </c>
      <c r="AS111" s="40">
        <v>96.6</v>
      </c>
      <c r="AT111" s="40">
        <v>96.8</v>
      </c>
      <c r="AU111" s="40">
        <v>92.6</v>
      </c>
      <c r="AV111" s="40">
        <v>95.6</v>
      </c>
      <c r="AW111" s="40">
        <v>96.3</v>
      </c>
      <c r="AX111" s="40">
        <v>96.6</v>
      </c>
      <c r="AY111" s="40">
        <v>96.6</v>
      </c>
      <c r="AZ111" s="40">
        <v>96.3</v>
      </c>
      <c r="BA111" s="40">
        <v>96.4</v>
      </c>
      <c r="BB111" s="174">
        <v>42917</v>
      </c>
      <c r="BC111" s="174">
        <v>43511</v>
      </c>
    </row>
    <row r="112" spans="1:55" s="44" customFormat="1" ht="45">
      <c r="A112" s="18" t="s">
        <v>0</v>
      </c>
      <c r="B112" s="154" t="s">
        <v>795</v>
      </c>
      <c r="C112" s="155" t="s">
        <v>10</v>
      </c>
      <c r="D112" s="155" t="s">
        <v>10</v>
      </c>
      <c r="E112" s="23" t="s">
        <v>10</v>
      </c>
      <c r="F112" s="23" t="s">
        <v>11</v>
      </c>
      <c r="G112" s="18" t="s">
        <v>64</v>
      </c>
      <c r="H112" s="19">
        <v>4.2</v>
      </c>
      <c r="I112" s="19">
        <v>208</v>
      </c>
      <c r="J112" s="19">
        <v>96</v>
      </c>
      <c r="K112" s="21" t="s">
        <v>1215</v>
      </c>
      <c r="L112" s="49" t="s">
        <v>754</v>
      </c>
      <c r="M112" s="21" t="s">
        <v>415</v>
      </c>
      <c r="N112" s="174">
        <v>43388</v>
      </c>
      <c r="O112" s="124" t="s">
        <v>1484</v>
      </c>
      <c r="P112" s="23" t="s">
        <v>17</v>
      </c>
      <c r="Q112" s="23" t="s">
        <v>17</v>
      </c>
      <c r="R112" s="150"/>
      <c r="S112" s="20" t="s">
        <v>10</v>
      </c>
      <c r="T112" s="20" t="s">
        <v>11</v>
      </c>
      <c r="U112" s="19">
        <v>0.9</v>
      </c>
      <c r="V112" s="19">
        <v>4.2</v>
      </c>
      <c r="W112" s="19">
        <v>0.9</v>
      </c>
      <c r="X112" s="19">
        <v>200</v>
      </c>
      <c r="Y112" s="19">
        <v>340</v>
      </c>
      <c r="Z112" s="19">
        <v>480</v>
      </c>
      <c r="AA112" s="40">
        <v>0.42</v>
      </c>
      <c r="AB112" s="40">
        <v>0.84</v>
      </c>
      <c r="AC112" s="40">
        <v>1.26</v>
      </c>
      <c r="AD112" s="40">
        <v>2.1</v>
      </c>
      <c r="AE112" s="40">
        <v>3.15</v>
      </c>
      <c r="AF112" s="40">
        <v>4.2</v>
      </c>
      <c r="AG112" s="40">
        <v>92.6</v>
      </c>
      <c r="AH112" s="40">
        <v>95</v>
      </c>
      <c r="AI112" s="40">
        <v>95.7</v>
      </c>
      <c r="AJ112" s="40">
        <v>95.6</v>
      </c>
      <c r="AK112" s="40">
        <v>95.2</v>
      </c>
      <c r="AL112" s="40">
        <v>95</v>
      </c>
      <c r="AM112" s="40">
        <v>95.2</v>
      </c>
      <c r="AN112" s="40">
        <v>94.1</v>
      </c>
      <c r="AO112" s="40">
        <v>96</v>
      </c>
      <c r="AP112" s="40">
        <v>96.4</v>
      </c>
      <c r="AQ112" s="40">
        <v>96.6</v>
      </c>
      <c r="AR112" s="40">
        <v>96.5</v>
      </c>
      <c r="AS112" s="40">
        <v>96.1</v>
      </c>
      <c r="AT112" s="40">
        <v>96.4</v>
      </c>
      <c r="AU112" s="40">
        <v>92.3</v>
      </c>
      <c r="AV112" s="40">
        <v>95.2</v>
      </c>
      <c r="AW112" s="40">
        <v>96</v>
      </c>
      <c r="AX112" s="40">
        <v>96.2</v>
      </c>
      <c r="AY112" s="40">
        <v>96</v>
      </c>
      <c r="AZ112" s="40">
        <v>95.8</v>
      </c>
      <c r="BA112" s="40">
        <v>95.8</v>
      </c>
      <c r="BB112" s="174">
        <v>42917</v>
      </c>
      <c r="BC112" s="174">
        <v>43511</v>
      </c>
    </row>
    <row r="113" spans="1:55" s="44" customFormat="1" ht="45">
      <c r="A113" s="18" t="s">
        <v>0</v>
      </c>
      <c r="B113" s="143" t="s">
        <v>799</v>
      </c>
      <c r="C113" s="156" t="s">
        <v>10</v>
      </c>
      <c r="D113" s="156" t="s">
        <v>10</v>
      </c>
      <c r="E113" s="23" t="s">
        <v>10</v>
      </c>
      <c r="F113" s="23" t="s">
        <v>11</v>
      </c>
      <c r="G113" s="18" t="s">
        <v>104</v>
      </c>
      <c r="H113" s="19">
        <v>4.5999999999999996</v>
      </c>
      <c r="I113" s="19">
        <v>240</v>
      </c>
      <c r="J113" s="19">
        <v>96.5</v>
      </c>
      <c r="K113" s="21" t="s">
        <v>1215</v>
      </c>
      <c r="L113" s="49" t="s">
        <v>754</v>
      </c>
      <c r="M113" s="21" t="s">
        <v>415</v>
      </c>
      <c r="N113" s="174">
        <v>43388</v>
      </c>
      <c r="O113" s="124" t="s">
        <v>1484</v>
      </c>
      <c r="P113" s="23" t="s">
        <v>17</v>
      </c>
      <c r="Q113" s="23" t="s">
        <v>17</v>
      </c>
      <c r="R113" s="150" t="s">
        <v>26</v>
      </c>
      <c r="S113" s="20" t="s">
        <v>10</v>
      </c>
      <c r="T113" s="20" t="s">
        <v>11</v>
      </c>
      <c r="U113" s="19">
        <v>1</v>
      </c>
      <c r="V113" s="19">
        <v>4.5999999999999996</v>
      </c>
      <c r="W113" s="19">
        <v>1</v>
      </c>
      <c r="X113" s="19">
        <v>200</v>
      </c>
      <c r="Y113" s="19">
        <v>355</v>
      </c>
      <c r="Z113" s="19">
        <v>480</v>
      </c>
      <c r="AA113" s="40">
        <v>0.46</v>
      </c>
      <c r="AB113" s="40">
        <v>0.92</v>
      </c>
      <c r="AC113" s="40">
        <v>1.38</v>
      </c>
      <c r="AD113" s="40">
        <v>2.2999999999999998</v>
      </c>
      <c r="AE113" s="40">
        <v>3.45</v>
      </c>
      <c r="AF113" s="40">
        <v>4.5999999999999996</v>
      </c>
      <c r="AG113" s="40">
        <v>93.1</v>
      </c>
      <c r="AH113" s="40">
        <v>95.3</v>
      </c>
      <c r="AI113" s="40">
        <v>95.9</v>
      </c>
      <c r="AJ113" s="40">
        <v>96</v>
      </c>
      <c r="AK113" s="40">
        <v>95.9</v>
      </c>
      <c r="AL113" s="40">
        <v>95.5</v>
      </c>
      <c r="AM113" s="40">
        <v>95.8</v>
      </c>
      <c r="AN113" s="40">
        <v>94.5</v>
      </c>
      <c r="AO113" s="40">
        <v>96.3</v>
      </c>
      <c r="AP113" s="40">
        <v>96.8</v>
      </c>
      <c r="AQ113" s="40">
        <v>97</v>
      </c>
      <c r="AR113" s="40">
        <v>96.9</v>
      </c>
      <c r="AS113" s="40">
        <v>96.6</v>
      </c>
      <c r="AT113" s="40">
        <v>96.8</v>
      </c>
      <c r="AU113" s="40">
        <v>92.6</v>
      </c>
      <c r="AV113" s="40">
        <v>95.6</v>
      </c>
      <c r="AW113" s="40">
        <v>96.3</v>
      </c>
      <c r="AX113" s="40">
        <v>96.6</v>
      </c>
      <c r="AY113" s="40">
        <v>96.6</v>
      </c>
      <c r="AZ113" s="40">
        <v>96.3</v>
      </c>
      <c r="BA113" s="40">
        <v>96.4</v>
      </c>
      <c r="BB113" s="174">
        <v>42917</v>
      </c>
      <c r="BC113" s="174">
        <v>43511</v>
      </c>
    </row>
    <row r="114" spans="1:55" s="44" customFormat="1" ht="45">
      <c r="A114" s="18" t="s">
        <v>0</v>
      </c>
      <c r="B114" s="18" t="s">
        <v>800</v>
      </c>
      <c r="C114" s="23" t="s">
        <v>10</v>
      </c>
      <c r="D114" s="23" t="s">
        <v>10</v>
      </c>
      <c r="E114" s="23" t="s">
        <v>10</v>
      </c>
      <c r="F114" s="23" t="s">
        <v>11</v>
      </c>
      <c r="G114" s="18" t="s">
        <v>69</v>
      </c>
      <c r="H114" s="19">
        <v>4.5999999999999996</v>
      </c>
      <c r="I114" s="19">
        <v>208</v>
      </c>
      <c r="J114" s="19">
        <v>96.5</v>
      </c>
      <c r="K114" s="21" t="s">
        <v>1215</v>
      </c>
      <c r="L114" s="49" t="s">
        <v>754</v>
      </c>
      <c r="M114" s="21" t="s">
        <v>415</v>
      </c>
      <c r="N114" s="174">
        <v>43388</v>
      </c>
      <c r="O114" s="124" t="s">
        <v>1484</v>
      </c>
      <c r="P114" s="23" t="s">
        <v>17</v>
      </c>
      <c r="Q114" s="23" t="s">
        <v>17</v>
      </c>
      <c r="R114" s="150"/>
      <c r="S114" s="20" t="s">
        <v>10</v>
      </c>
      <c r="T114" s="20" t="s">
        <v>11</v>
      </c>
      <c r="U114" s="19">
        <v>1</v>
      </c>
      <c r="V114" s="19">
        <v>4.5999999999999996</v>
      </c>
      <c r="W114" s="19">
        <v>1</v>
      </c>
      <c r="X114" s="19">
        <v>240</v>
      </c>
      <c r="Y114" s="19">
        <v>340</v>
      </c>
      <c r="Z114" s="19">
        <v>480</v>
      </c>
      <c r="AA114" s="40">
        <v>0.46</v>
      </c>
      <c r="AB114" s="40">
        <v>0.92</v>
      </c>
      <c r="AC114" s="40">
        <v>1.38</v>
      </c>
      <c r="AD114" s="40">
        <v>2.2999999999999998</v>
      </c>
      <c r="AE114" s="40">
        <v>3.45</v>
      </c>
      <c r="AF114" s="40">
        <v>4.5999999999999996</v>
      </c>
      <c r="AG114" s="40">
        <v>93</v>
      </c>
      <c r="AH114" s="40">
        <v>95.4</v>
      </c>
      <c r="AI114" s="40">
        <v>96.2</v>
      </c>
      <c r="AJ114" s="40">
        <v>96.4</v>
      </c>
      <c r="AK114" s="40">
        <v>96.3</v>
      </c>
      <c r="AL114" s="40">
        <v>96.1</v>
      </c>
      <c r="AM114" s="40">
        <v>96.1</v>
      </c>
      <c r="AN114" s="40">
        <v>93.6</v>
      </c>
      <c r="AO114" s="40">
        <v>95.9</v>
      </c>
      <c r="AP114" s="40">
        <v>96.5</v>
      </c>
      <c r="AQ114" s="40">
        <v>96.8</v>
      </c>
      <c r="AR114" s="40">
        <v>96.8</v>
      </c>
      <c r="AS114" s="40">
        <v>96.6</v>
      </c>
      <c r="AT114" s="40">
        <v>96.6</v>
      </c>
      <c r="AU114" s="40">
        <v>90.8</v>
      </c>
      <c r="AV114" s="40">
        <v>94.9</v>
      </c>
      <c r="AW114" s="40">
        <v>95.8</v>
      </c>
      <c r="AX114" s="40">
        <v>96.4</v>
      </c>
      <c r="AY114" s="40">
        <v>96.4</v>
      </c>
      <c r="AZ114" s="40">
        <v>96.3</v>
      </c>
      <c r="BA114" s="40">
        <v>96</v>
      </c>
      <c r="BB114" s="174">
        <v>42917</v>
      </c>
      <c r="BC114" s="174">
        <v>43511</v>
      </c>
    </row>
    <row r="115" spans="1:55" s="44" customFormat="1" ht="45">
      <c r="A115" s="18" t="s">
        <v>0</v>
      </c>
      <c r="B115" s="18" t="s">
        <v>807</v>
      </c>
      <c r="C115" s="23" t="s">
        <v>10</v>
      </c>
      <c r="D115" s="23" t="s">
        <v>10</v>
      </c>
      <c r="E115" s="23" t="s">
        <v>10</v>
      </c>
      <c r="F115" s="23" t="s">
        <v>11</v>
      </c>
      <c r="G115" s="18" t="s">
        <v>73</v>
      </c>
      <c r="H115" s="19">
        <v>5</v>
      </c>
      <c r="I115" s="19">
        <v>240</v>
      </c>
      <c r="J115" s="19">
        <v>96.5</v>
      </c>
      <c r="K115" s="21" t="s">
        <v>1215</v>
      </c>
      <c r="L115" s="49" t="s">
        <v>414</v>
      </c>
      <c r="M115" s="21" t="s">
        <v>415</v>
      </c>
      <c r="N115" s="174">
        <v>43388</v>
      </c>
      <c r="O115" s="124" t="s">
        <v>1484</v>
      </c>
      <c r="P115" s="23" t="s">
        <v>17</v>
      </c>
      <c r="Q115" s="23" t="s">
        <v>17</v>
      </c>
      <c r="R115" s="150"/>
      <c r="S115" s="20" t="s">
        <v>10</v>
      </c>
      <c r="T115" s="20" t="s">
        <v>11</v>
      </c>
      <c r="U115" s="19">
        <v>1</v>
      </c>
      <c r="V115" s="19">
        <v>5</v>
      </c>
      <c r="W115" s="19">
        <v>1</v>
      </c>
      <c r="X115" s="19">
        <v>200</v>
      </c>
      <c r="Y115" s="19">
        <v>355</v>
      </c>
      <c r="Z115" s="19">
        <v>480</v>
      </c>
      <c r="AA115" s="40">
        <v>0.5</v>
      </c>
      <c r="AB115" s="40">
        <v>1</v>
      </c>
      <c r="AC115" s="40">
        <v>1.5</v>
      </c>
      <c r="AD115" s="40">
        <v>2.5</v>
      </c>
      <c r="AE115" s="40">
        <v>3.75</v>
      </c>
      <c r="AF115" s="40">
        <v>5</v>
      </c>
      <c r="AG115" s="40">
        <v>93.1</v>
      </c>
      <c r="AH115" s="40">
        <v>95.5</v>
      </c>
      <c r="AI115" s="40">
        <v>96.1</v>
      </c>
      <c r="AJ115" s="40">
        <v>96.4</v>
      </c>
      <c r="AK115" s="40">
        <v>96.4</v>
      </c>
      <c r="AL115" s="40">
        <v>96.1</v>
      </c>
      <c r="AM115" s="40">
        <v>96.2</v>
      </c>
      <c r="AN115" s="40">
        <v>94</v>
      </c>
      <c r="AO115" s="40">
        <v>96.3</v>
      </c>
      <c r="AP115" s="40">
        <v>96.9</v>
      </c>
      <c r="AQ115" s="40">
        <v>97.2</v>
      </c>
      <c r="AR115" s="40">
        <v>97.2</v>
      </c>
      <c r="AS115" s="40">
        <v>97</v>
      </c>
      <c r="AT115" s="40">
        <v>97</v>
      </c>
      <c r="AU115" s="40">
        <v>91.5</v>
      </c>
      <c r="AV115" s="40">
        <v>95.3</v>
      </c>
      <c r="AW115" s="40">
        <v>96.3</v>
      </c>
      <c r="AX115" s="40">
        <v>96.8</v>
      </c>
      <c r="AY115" s="40">
        <v>96.9</v>
      </c>
      <c r="AZ115" s="40">
        <v>96.8</v>
      </c>
      <c r="BA115" s="40">
        <v>96.5</v>
      </c>
      <c r="BB115" s="174">
        <v>42917</v>
      </c>
      <c r="BC115" s="174">
        <v>43511</v>
      </c>
    </row>
    <row r="116" spans="1:55" s="44" customFormat="1" ht="45">
      <c r="A116" s="18" t="s">
        <v>0</v>
      </c>
      <c r="B116" s="18" t="s">
        <v>801</v>
      </c>
      <c r="C116" s="23" t="s">
        <v>10</v>
      </c>
      <c r="D116" s="23" t="s">
        <v>10</v>
      </c>
      <c r="E116" s="23" t="s">
        <v>10</v>
      </c>
      <c r="F116" s="23" t="s">
        <v>11</v>
      </c>
      <c r="G116" s="18" t="s">
        <v>70</v>
      </c>
      <c r="H116" s="19">
        <v>4.5999999999999996</v>
      </c>
      <c r="I116" s="19">
        <v>208</v>
      </c>
      <c r="J116" s="19">
        <v>96.5</v>
      </c>
      <c r="K116" s="21" t="s">
        <v>1215</v>
      </c>
      <c r="L116" s="49" t="s">
        <v>414</v>
      </c>
      <c r="M116" s="21" t="s">
        <v>415</v>
      </c>
      <c r="N116" s="174">
        <v>43388</v>
      </c>
      <c r="O116" s="124" t="s">
        <v>1484</v>
      </c>
      <c r="P116" s="23" t="s">
        <v>17</v>
      </c>
      <c r="Q116" s="23" t="s">
        <v>17</v>
      </c>
      <c r="R116" s="150"/>
      <c r="S116" s="20" t="s">
        <v>10</v>
      </c>
      <c r="T116" s="20" t="s">
        <v>11</v>
      </c>
      <c r="U116" s="19">
        <v>1</v>
      </c>
      <c r="V116" s="19">
        <v>4.5999999999999996</v>
      </c>
      <c r="W116" s="19">
        <v>1</v>
      </c>
      <c r="X116" s="19">
        <v>240</v>
      </c>
      <c r="Y116" s="19">
        <v>340</v>
      </c>
      <c r="Z116" s="19">
        <v>480</v>
      </c>
      <c r="AA116" s="40">
        <v>0.46</v>
      </c>
      <c r="AB116" s="40">
        <v>0.92</v>
      </c>
      <c r="AC116" s="40">
        <v>1.38</v>
      </c>
      <c r="AD116" s="40">
        <v>2.2999999999999998</v>
      </c>
      <c r="AE116" s="40">
        <v>3.45</v>
      </c>
      <c r="AF116" s="40">
        <v>4.5999999999999996</v>
      </c>
      <c r="AG116" s="40">
        <v>93</v>
      </c>
      <c r="AH116" s="40">
        <v>95.4</v>
      </c>
      <c r="AI116" s="40">
        <v>96.2</v>
      </c>
      <c r="AJ116" s="40">
        <v>96.4</v>
      </c>
      <c r="AK116" s="40">
        <v>96.3</v>
      </c>
      <c r="AL116" s="40">
        <v>96.1</v>
      </c>
      <c r="AM116" s="40">
        <v>96.1</v>
      </c>
      <c r="AN116" s="40">
        <v>93.6</v>
      </c>
      <c r="AO116" s="40">
        <v>95.9</v>
      </c>
      <c r="AP116" s="40">
        <v>96.5</v>
      </c>
      <c r="AQ116" s="40">
        <v>96.8</v>
      </c>
      <c r="AR116" s="40">
        <v>96.8</v>
      </c>
      <c r="AS116" s="40">
        <v>96.6</v>
      </c>
      <c r="AT116" s="40">
        <v>96.6</v>
      </c>
      <c r="AU116" s="40">
        <v>90.8</v>
      </c>
      <c r="AV116" s="40">
        <v>94.9</v>
      </c>
      <c r="AW116" s="40">
        <v>95.8</v>
      </c>
      <c r="AX116" s="40">
        <v>96.4</v>
      </c>
      <c r="AY116" s="40">
        <v>96.4</v>
      </c>
      <c r="AZ116" s="40">
        <v>96.3</v>
      </c>
      <c r="BA116" s="40">
        <v>96</v>
      </c>
      <c r="BB116" s="174">
        <v>42917</v>
      </c>
      <c r="BC116" s="174">
        <v>43511</v>
      </c>
    </row>
    <row r="117" spans="1:55" s="44" customFormat="1" ht="45">
      <c r="A117" s="18" t="s">
        <v>0</v>
      </c>
      <c r="B117" s="18" t="s">
        <v>808</v>
      </c>
      <c r="C117" s="23" t="s">
        <v>10</v>
      </c>
      <c r="D117" s="23" t="s">
        <v>10</v>
      </c>
      <c r="E117" s="23" t="s">
        <v>10</v>
      </c>
      <c r="F117" s="23" t="s">
        <v>11</v>
      </c>
      <c r="G117" s="18" t="s">
        <v>74</v>
      </c>
      <c r="H117" s="19">
        <v>5</v>
      </c>
      <c r="I117" s="19">
        <v>240</v>
      </c>
      <c r="J117" s="19">
        <v>96.5</v>
      </c>
      <c r="K117" s="21" t="s">
        <v>1215</v>
      </c>
      <c r="L117" s="49" t="s">
        <v>414</v>
      </c>
      <c r="M117" s="21" t="s">
        <v>415</v>
      </c>
      <c r="N117" s="174">
        <v>43388</v>
      </c>
      <c r="O117" s="124" t="s">
        <v>1484</v>
      </c>
      <c r="P117" s="23" t="s">
        <v>17</v>
      </c>
      <c r="Q117" s="23" t="s">
        <v>17</v>
      </c>
      <c r="R117" s="150"/>
      <c r="S117" s="20" t="s">
        <v>10</v>
      </c>
      <c r="T117" s="20" t="s">
        <v>11</v>
      </c>
      <c r="U117" s="19">
        <v>1</v>
      </c>
      <c r="V117" s="19">
        <v>5</v>
      </c>
      <c r="W117" s="19">
        <v>1</v>
      </c>
      <c r="X117" s="19">
        <v>200</v>
      </c>
      <c r="Y117" s="19">
        <v>355</v>
      </c>
      <c r="Z117" s="19">
        <v>480</v>
      </c>
      <c r="AA117" s="40">
        <v>0.5</v>
      </c>
      <c r="AB117" s="40">
        <v>1</v>
      </c>
      <c r="AC117" s="40">
        <v>1.5</v>
      </c>
      <c r="AD117" s="40">
        <v>2.5</v>
      </c>
      <c r="AE117" s="40">
        <v>3.75</v>
      </c>
      <c r="AF117" s="40">
        <v>5</v>
      </c>
      <c r="AG117" s="40">
        <v>93.1</v>
      </c>
      <c r="AH117" s="40">
        <v>95.5</v>
      </c>
      <c r="AI117" s="40">
        <v>96.1</v>
      </c>
      <c r="AJ117" s="40">
        <v>96.4</v>
      </c>
      <c r="AK117" s="40">
        <v>96.4</v>
      </c>
      <c r="AL117" s="40">
        <v>96.1</v>
      </c>
      <c r="AM117" s="40">
        <v>96.2</v>
      </c>
      <c r="AN117" s="40">
        <v>94</v>
      </c>
      <c r="AO117" s="40">
        <v>96.3</v>
      </c>
      <c r="AP117" s="40">
        <v>96.9</v>
      </c>
      <c r="AQ117" s="40">
        <v>97.2</v>
      </c>
      <c r="AR117" s="40">
        <v>97.2</v>
      </c>
      <c r="AS117" s="40">
        <v>97</v>
      </c>
      <c r="AT117" s="40">
        <v>97</v>
      </c>
      <c r="AU117" s="40">
        <v>91.5</v>
      </c>
      <c r="AV117" s="40">
        <v>95.3</v>
      </c>
      <c r="AW117" s="40">
        <v>96.3</v>
      </c>
      <c r="AX117" s="40">
        <v>96.8</v>
      </c>
      <c r="AY117" s="40">
        <v>96.9</v>
      </c>
      <c r="AZ117" s="40">
        <v>96.8</v>
      </c>
      <c r="BA117" s="40">
        <v>96.5</v>
      </c>
      <c r="BB117" s="174">
        <v>42917</v>
      </c>
      <c r="BC117" s="174">
        <v>43511</v>
      </c>
    </row>
    <row r="118" spans="1:55" s="44" customFormat="1" ht="60">
      <c r="A118" s="18" t="s">
        <v>0</v>
      </c>
      <c r="B118" s="154" t="s">
        <v>802</v>
      </c>
      <c r="C118" s="155" t="s">
        <v>10</v>
      </c>
      <c r="D118" s="155" t="s">
        <v>10</v>
      </c>
      <c r="E118" s="23" t="s">
        <v>10</v>
      </c>
      <c r="F118" s="23" t="s">
        <v>11</v>
      </c>
      <c r="G118" s="18" t="s">
        <v>67</v>
      </c>
      <c r="H118" s="19">
        <v>4.5999999999999996</v>
      </c>
      <c r="I118" s="19">
        <v>208</v>
      </c>
      <c r="J118" s="19">
        <v>96.5</v>
      </c>
      <c r="K118" s="21" t="s">
        <v>1215</v>
      </c>
      <c r="L118" s="49" t="s">
        <v>414</v>
      </c>
      <c r="M118" s="21" t="s">
        <v>415</v>
      </c>
      <c r="N118" s="174">
        <v>43388</v>
      </c>
      <c r="O118" s="124" t="s">
        <v>1484</v>
      </c>
      <c r="P118" s="23" t="s">
        <v>17</v>
      </c>
      <c r="Q118" s="23" t="s">
        <v>17</v>
      </c>
      <c r="R118" s="150"/>
      <c r="S118" s="20" t="s">
        <v>10</v>
      </c>
      <c r="T118" s="20" t="s">
        <v>11</v>
      </c>
      <c r="U118" s="19">
        <v>1</v>
      </c>
      <c r="V118" s="19">
        <v>4.5999999999999996</v>
      </c>
      <c r="W118" s="19">
        <v>1</v>
      </c>
      <c r="X118" s="19">
        <v>240</v>
      </c>
      <c r="Y118" s="19">
        <v>340</v>
      </c>
      <c r="Z118" s="19">
        <v>480</v>
      </c>
      <c r="AA118" s="40">
        <v>0.46</v>
      </c>
      <c r="AB118" s="40">
        <v>0.92</v>
      </c>
      <c r="AC118" s="40">
        <v>1.38</v>
      </c>
      <c r="AD118" s="40">
        <v>2.2999999999999998</v>
      </c>
      <c r="AE118" s="40">
        <v>3.45</v>
      </c>
      <c r="AF118" s="40">
        <v>4.5999999999999996</v>
      </c>
      <c r="AG118" s="40">
        <v>93</v>
      </c>
      <c r="AH118" s="40">
        <v>95.4</v>
      </c>
      <c r="AI118" s="40">
        <v>96.2</v>
      </c>
      <c r="AJ118" s="40">
        <v>96.4</v>
      </c>
      <c r="AK118" s="40">
        <v>96.3</v>
      </c>
      <c r="AL118" s="40">
        <v>96.1</v>
      </c>
      <c r="AM118" s="40">
        <v>96.1</v>
      </c>
      <c r="AN118" s="40">
        <v>93.6</v>
      </c>
      <c r="AO118" s="40">
        <v>95.9</v>
      </c>
      <c r="AP118" s="40">
        <v>96.5</v>
      </c>
      <c r="AQ118" s="40">
        <v>96.8</v>
      </c>
      <c r="AR118" s="40">
        <v>96.8</v>
      </c>
      <c r="AS118" s="40">
        <v>96.6</v>
      </c>
      <c r="AT118" s="40">
        <v>96.6</v>
      </c>
      <c r="AU118" s="40">
        <v>90.8</v>
      </c>
      <c r="AV118" s="40">
        <v>94.9</v>
      </c>
      <c r="AW118" s="40">
        <v>95.8</v>
      </c>
      <c r="AX118" s="40">
        <v>96.4</v>
      </c>
      <c r="AY118" s="40">
        <v>96.4</v>
      </c>
      <c r="AZ118" s="40">
        <v>96.3</v>
      </c>
      <c r="BA118" s="40">
        <v>96</v>
      </c>
      <c r="BB118" s="174">
        <v>42917</v>
      </c>
      <c r="BC118" s="174">
        <v>43511</v>
      </c>
    </row>
    <row r="119" spans="1:55" s="44" customFormat="1" ht="60">
      <c r="A119" s="18" t="s">
        <v>0</v>
      </c>
      <c r="B119" s="18" t="s">
        <v>809</v>
      </c>
      <c r="C119" s="23" t="s">
        <v>10</v>
      </c>
      <c r="D119" s="23" t="s">
        <v>10</v>
      </c>
      <c r="E119" s="23" t="s">
        <v>10</v>
      </c>
      <c r="F119" s="23" t="s">
        <v>11</v>
      </c>
      <c r="G119" s="18" t="s">
        <v>71</v>
      </c>
      <c r="H119" s="19">
        <v>5</v>
      </c>
      <c r="I119" s="19">
        <v>240</v>
      </c>
      <c r="J119" s="19">
        <v>96.5</v>
      </c>
      <c r="K119" s="21" t="s">
        <v>1215</v>
      </c>
      <c r="L119" s="49" t="s">
        <v>414</v>
      </c>
      <c r="M119" s="21" t="s">
        <v>415</v>
      </c>
      <c r="N119" s="174">
        <v>43388</v>
      </c>
      <c r="O119" s="124" t="s">
        <v>1484</v>
      </c>
      <c r="P119" s="23" t="s">
        <v>17</v>
      </c>
      <c r="Q119" s="23" t="s">
        <v>17</v>
      </c>
      <c r="R119" s="150"/>
      <c r="S119" s="20" t="s">
        <v>10</v>
      </c>
      <c r="T119" s="20" t="s">
        <v>11</v>
      </c>
      <c r="U119" s="19">
        <v>1</v>
      </c>
      <c r="V119" s="19">
        <v>5</v>
      </c>
      <c r="W119" s="19">
        <v>1</v>
      </c>
      <c r="X119" s="19">
        <v>200</v>
      </c>
      <c r="Y119" s="19">
        <v>355</v>
      </c>
      <c r="Z119" s="19">
        <v>480</v>
      </c>
      <c r="AA119" s="40">
        <v>0.5</v>
      </c>
      <c r="AB119" s="40">
        <v>1</v>
      </c>
      <c r="AC119" s="40">
        <v>1.5</v>
      </c>
      <c r="AD119" s="40">
        <v>2.5</v>
      </c>
      <c r="AE119" s="40">
        <v>3.75</v>
      </c>
      <c r="AF119" s="40">
        <v>5</v>
      </c>
      <c r="AG119" s="40">
        <v>93.1</v>
      </c>
      <c r="AH119" s="40">
        <v>95.5</v>
      </c>
      <c r="AI119" s="40">
        <v>96.1</v>
      </c>
      <c r="AJ119" s="40">
        <v>96.4</v>
      </c>
      <c r="AK119" s="40">
        <v>96.4</v>
      </c>
      <c r="AL119" s="40">
        <v>96.1</v>
      </c>
      <c r="AM119" s="40">
        <v>96.2</v>
      </c>
      <c r="AN119" s="40">
        <v>94</v>
      </c>
      <c r="AO119" s="40">
        <v>96.3</v>
      </c>
      <c r="AP119" s="40">
        <v>96.9</v>
      </c>
      <c r="AQ119" s="40">
        <v>97.2</v>
      </c>
      <c r="AR119" s="40">
        <v>97.2</v>
      </c>
      <c r="AS119" s="40">
        <v>97</v>
      </c>
      <c r="AT119" s="40">
        <v>97</v>
      </c>
      <c r="AU119" s="40">
        <v>91.5</v>
      </c>
      <c r="AV119" s="40">
        <v>95.3</v>
      </c>
      <c r="AW119" s="40">
        <v>96.3</v>
      </c>
      <c r="AX119" s="40">
        <v>96.8</v>
      </c>
      <c r="AY119" s="40">
        <v>96.9</v>
      </c>
      <c r="AZ119" s="40">
        <v>96.8</v>
      </c>
      <c r="BA119" s="40">
        <v>96.5</v>
      </c>
      <c r="BB119" s="174">
        <v>42917</v>
      </c>
      <c r="BC119" s="174">
        <v>43511</v>
      </c>
    </row>
    <row r="120" spans="1:55" s="44" customFormat="1" ht="45">
      <c r="A120" s="18" t="s">
        <v>0</v>
      </c>
      <c r="B120" s="154" t="s">
        <v>803</v>
      </c>
      <c r="C120" s="155" t="s">
        <v>10</v>
      </c>
      <c r="D120" s="155" t="s">
        <v>10</v>
      </c>
      <c r="E120" s="23" t="s">
        <v>10</v>
      </c>
      <c r="F120" s="23" t="s">
        <v>11</v>
      </c>
      <c r="G120" s="18" t="s">
        <v>68</v>
      </c>
      <c r="H120" s="19">
        <v>4.5999999999999996</v>
      </c>
      <c r="I120" s="19">
        <v>208</v>
      </c>
      <c r="J120" s="19">
        <v>96.5</v>
      </c>
      <c r="K120" s="21" t="s">
        <v>1215</v>
      </c>
      <c r="L120" s="49" t="s">
        <v>414</v>
      </c>
      <c r="M120" s="21" t="s">
        <v>415</v>
      </c>
      <c r="N120" s="174">
        <v>43388</v>
      </c>
      <c r="O120" s="124" t="s">
        <v>1484</v>
      </c>
      <c r="P120" s="23" t="s">
        <v>17</v>
      </c>
      <c r="Q120" s="23" t="s">
        <v>17</v>
      </c>
      <c r="R120" s="150"/>
      <c r="S120" s="20" t="s">
        <v>10</v>
      </c>
      <c r="T120" s="20" t="s">
        <v>11</v>
      </c>
      <c r="U120" s="19">
        <v>1</v>
      </c>
      <c r="V120" s="19">
        <v>4.5999999999999996</v>
      </c>
      <c r="W120" s="19">
        <v>1</v>
      </c>
      <c r="X120" s="19">
        <v>240</v>
      </c>
      <c r="Y120" s="19">
        <v>340</v>
      </c>
      <c r="Z120" s="19">
        <v>480</v>
      </c>
      <c r="AA120" s="40">
        <v>0.46</v>
      </c>
      <c r="AB120" s="40">
        <v>0.92</v>
      </c>
      <c r="AC120" s="40">
        <v>1.38</v>
      </c>
      <c r="AD120" s="40">
        <v>2.2999999999999998</v>
      </c>
      <c r="AE120" s="40">
        <v>3.45</v>
      </c>
      <c r="AF120" s="40">
        <v>4.5999999999999996</v>
      </c>
      <c r="AG120" s="40">
        <v>93</v>
      </c>
      <c r="AH120" s="40">
        <v>95.4</v>
      </c>
      <c r="AI120" s="40">
        <v>96.2</v>
      </c>
      <c r="AJ120" s="40">
        <v>96.4</v>
      </c>
      <c r="AK120" s="40">
        <v>96.3</v>
      </c>
      <c r="AL120" s="40">
        <v>96.1</v>
      </c>
      <c r="AM120" s="40">
        <v>96.1</v>
      </c>
      <c r="AN120" s="40">
        <v>93.6</v>
      </c>
      <c r="AO120" s="40">
        <v>95.9</v>
      </c>
      <c r="AP120" s="40">
        <v>96.5</v>
      </c>
      <c r="AQ120" s="40">
        <v>96.8</v>
      </c>
      <c r="AR120" s="40">
        <v>96.8</v>
      </c>
      <c r="AS120" s="40">
        <v>96.6</v>
      </c>
      <c r="AT120" s="40">
        <v>96.6</v>
      </c>
      <c r="AU120" s="40">
        <v>90.8</v>
      </c>
      <c r="AV120" s="40">
        <v>94.9</v>
      </c>
      <c r="AW120" s="40">
        <v>95.8</v>
      </c>
      <c r="AX120" s="40">
        <v>96.4</v>
      </c>
      <c r="AY120" s="40">
        <v>96.4</v>
      </c>
      <c r="AZ120" s="40">
        <v>96.3</v>
      </c>
      <c r="BA120" s="40">
        <v>96</v>
      </c>
      <c r="BB120" s="174">
        <v>42917</v>
      </c>
      <c r="BC120" s="174">
        <v>43511</v>
      </c>
    </row>
    <row r="121" spans="1:55" s="44" customFormat="1" ht="45">
      <c r="A121" s="18" t="s">
        <v>0</v>
      </c>
      <c r="B121" s="18" t="s">
        <v>810</v>
      </c>
      <c r="C121" s="23" t="s">
        <v>10</v>
      </c>
      <c r="D121" s="23" t="s">
        <v>10</v>
      </c>
      <c r="E121" s="23" t="s">
        <v>10</v>
      </c>
      <c r="F121" s="23" t="s">
        <v>11</v>
      </c>
      <c r="G121" s="18" t="s">
        <v>72</v>
      </c>
      <c r="H121" s="19">
        <v>5</v>
      </c>
      <c r="I121" s="19">
        <v>240</v>
      </c>
      <c r="J121" s="19">
        <v>96.5</v>
      </c>
      <c r="K121" s="21" t="s">
        <v>1215</v>
      </c>
      <c r="L121" s="49" t="s">
        <v>414</v>
      </c>
      <c r="M121" s="21" t="s">
        <v>415</v>
      </c>
      <c r="N121" s="174">
        <v>43388</v>
      </c>
      <c r="O121" s="124" t="s">
        <v>1484</v>
      </c>
      <c r="P121" s="23" t="s">
        <v>17</v>
      </c>
      <c r="Q121" s="23" t="s">
        <v>17</v>
      </c>
      <c r="R121" s="150"/>
      <c r="S121" s="20" t="s">
        <v>10</v>
      </c>
      <c r="T121" s="20" t="s">
        <v>11</v>
      </c>
      <c r="U121" s="19">
        <v>1</v>
      </c>
      <c r="V121" s="19">
        <v>5</v>
      </c>
      <c r="W121" s="19">
        <v>1</v>
      </c>
      <c r="X121" s="19">
        <v>200</v>
      </c>
      <c r="Y121" s="19">
        <v>355</v>
      </c>
      <c r="Z121" s="19">
        <v>480</v>
      </c>
      <c r="AA121" s="40">
        <v>0.5</v>
      </c>
      <c r="AB121" s="40">
        <v>1</v>
      </c>
      <c r="AC121" s="40">
        <v>1.5</v>
      </c>
      <c r="AD121" s="40">
        <v>2.5</v>
      </c>
      <c r="AE121" s="40">
        <v>3.75</v>
      </c>
      <c r="AF121" s="40">
        <v>5</v>
      </c>
      <c r="AG121" s="40">
        <v>93.1</v>
      </c>
      <c r="AH121" s="40">
        <v>95.5</v>
      </c>
      <c r="AI121" s="40">
        <v>96.1</v>
      </c>
      <c r="AJ121" s="40">
        <v>96.4</v>
      </c>
      <c r="AK121" s="40">
        <v>96.4</v>
      </c>
      <c r="AL121" s="40">
        <v>96.1</v>
      </c>
      <c r="AM121" s="40">
        <v>96.2</v>
      </c>
      <c r="AN121" s="40">
        <v>94</v>
      </c>
      <c r="AO121" s="40">
        <v>96.3</v>
      </c>
      <c r="AP121" s="40">
        <v>96.9</v>
      </c>
      <c r="AQ121" s="40">
        <v>97.2</v>
      </c>
      <c r="AR121" s="40">
        <v>97.2</v>
      </c>
      <c r="AS121" s="40">
        <v>97</v>
      </c>
      <c r="AT121" s="40">
        <v>97</v>
      </c>
      <c r="AU121" s="40">
        <v>91.5</v>
      </c>
      <c r="AV121" s="40">
        <v>95.3</v>
      </c>
      <c r="AW121" s="40">
        <v>96.3</v>
      </c>
      <c r="AX121" s="40">
        <v>96.8</v>
      </c>
      <c r="AY121" s="40">
        <v>96.9</v>
      </c>
      <c r="AZ121" s="40">
        <v>96.8</v>
      </c>
      <c r="BA121" s="40">
        <v>96.5</v>
      </c>
      <c r="BB121" s="174">
        <v>42917</v>
      </c>
      <c r="BC121" s="174">
        <v>43511</v>
      </c>
    </row>
    <row r="122" spans="1:55" s="44" customFormat="1" ht="45">
      <c r="A122" s="18" t="s">
        <v>0</v>
      </c>
      <c r="B122" s="140" t="s">
        <v>814</v>
      </c>
      <c r="C122" s="26" t="s">
        <v>10</v>
      </c>
      <c r="D122" s="26" t="s">
        <v>10</v>
      </c>
      <c r="E122" s="23" t="s">
        <v>10</v>
      </c>
      <c r="F122" s="23" t="s">
        <v>11</v>
      </c>
      <c r="G122" s="18" t="s">
        <v>255</v>
      </c>
      <c r="H122" s="125">
        <v>6</v>
      </c>
      <c r="I122" s="127">
        <v>208</v>
      </c>
      <c r="J122" s="157">
        <v>97</v>
      </c>
      <c r="K122" s="21" t="s">
        <v>1215</v>
      </c>
      <c r="L122" s="49" t="s">
        <v>505</v>
      </c>
      <c r="M122" s="128" t="s">
        <v>418</v>
      </c>
      <c r="N122" s="174">
        <v>43388</v>
      </c>
      <c r="O122" s="124" t="s">
        <v>1485</v>
      </c>
      <c r="P122" s="23" t="s">
        <v>17</v>
      </c>
      <c r="Q122" s="23" t="s">
        <v>17</v>
      </c>
      <c r="R122" s="18" t="s">
        <v>26</v>
      </c>
      <c r="S122" s="23" t="s">
        <v>10</v>
      </c>
      <c r="T122" s="23" t="s">
        <v>11</v>
      </c>
      <c r="U122" s="125">
        <v>1.3</v>
      </c>
      <c r="V122" s="135"/>
      <c r="W122" s="135"/>
      <c r="X122" s="135">
        <v>240</v>
      </c>
      <c r="Y122" s="135">
        <v>340</v>
      </c>
      <c r="Z122" s="135">
        <v>480</v>
      </c>
      <c r="AA122" s="126">
        <v>0.6</v>
      </c>
      <c r="AB122" s="126">
        <v>1.2</v>
      </c>
      <c r="AC122" s="126">
        <v>1.8</v>
      </c>
      <c r="AD122" s="126">
        <v>3</v>
      </c>
      <c r="AE122" s="126">
        <v>4.5</v>
      </c>
      <c r="AF122" s="126">
        <v>6</v>
      </c>
      <c r="AG122" s="126">
        <v>94.3</v>
      </c>
      <c r="AH122" s="126">
        <v>96.3</v>
      </c>
      <c r="AI122" s="126">
        <v>96.7</v>
      </c>
      <c r="AJ122" s="126">
        <v>96.8</v>
      </c>
      <c r="AK122" s="126">
        <v>96.6</v>
      </c>
      <c r="AL122" s="126">
        <v>96.3</v>
      </c>
      <c r="AM122" s="126">
        <v>96.6</v>
      </c>
      <c r="AN122" s="126">
        <v>94.9</v>
      </c>
      <c r="AO122" s="126">
        <v>96.7</v>
      </c>
      <c r="AP122" s="126">
        <v>97</v>
      </c>
      <c r="AQ122" s="126">
        <v>97.1</v>
      </c>
      <c r="AR122" s="126">
        <v>97</v>
      </c>
      <c r="AS122" s="126">
        <v>96.7</v>
      </c>
      <c r="AT122" s="126">
        <v>96.9</v>
      </c>
      <c r="AU122" s="126">
        <v>93.7</v>
      </c>
      <c r="AV122" s="126">
        <v>96.2</v>
      </c>
      <c r="AW122" s="126">
        <v>96.7</v>
      </c>
      <c r="AX122" s="126">
        <v>97.1</v>
      </c>
      <c r="AY122" s="126">
        <v>97.1</v>
      </c>
      <c r="AZ122" s="126">
        <v>96.8</v>
      </c>
      <c r="BA122" s="126">
        <v>96.8</v>
      </c>
      <c r="BB122" s="174">
        <v>43040</v>
      </c>
      <c r="BC122" s="174">
        <v>43511</v>
      </c>
    </row>
    <row r="123" spans="1:55" s="44" customFormat="1" ht="45">
      <c r="A123" s="18" t="s">
        <v>0</v>
      </c>
      <c r="B123" s="140" t="s">
        <v>815</v>
      </c>
      <c r="C123" s="26" t="s">
        <v>10</v>
      </c>
      <c r="D123" s="26" t="s">
        <v>10</v>
      </c>
      <c r="E123" s="23" t="s">
        <v>10</v>
      </c>
      <c r="F123" s="23" t="s">
        <v>11</v>
      </c>
      <c r="G123" s="18" t="s">
        <v>276</v>
      </c>
      <c r="H123" s="125">
        <v>6</v>
      </c>
      <c r="I123" s="127">
        <v>240</v>
      </c>
      <c r="J123" s="157">
        <v>97</v>
      </c>
      <c r="K123" s="21" t="s">
        <v>1215</v>
      </c>
      <c r="L123" s="49" t="s">
        <v>505</v>
      </c>
      <c r="M123" s="128" t="s">
        <v>418</v>
      </c>
      <c r="N123" s="174">
        <v>43388</v>
      </c>
      <c r="O123" s="124" t="s">
        <v>1485</v>
      </c>
      <c r="P123" s="23" t="s">
        <v>17</v>
      </c>
      <c r="Q123" s="23" t="s">
        <v>17</v>
      </c>
      <c r="R123" s="18" t="s">
        <v>26</v>
      </c>
      <c r="S123" s="23" t="s">
        <v>10</v>
      </c>
      <c r="T123" s="23" t="s">
        <v>11</v>
      </c>
      <c r="U123" s="125">
        <v>1.3</v>
      </c>
      <c r="V123" s="135"/>
      <c r="W123" s="135"/>
      <c r="X123" s="135">
        <v>200</v>
      </c>
      <c r="Y123" s="135">
        <v>355</v>
      </c>
      <c r="Z123" s="135">
        <v>480</v>
      </c>
      <c r="AA123" s="126">
        <v>0.6</v>
      </c>
      <c r="AB123" s="126">
        <v>1.2</v>
      </c>
      <c r="AC123" s="126">
        <v>1.8</v>
      </c>
      <c r="AD123" s="126">
        <v>3</v>
      </c>
      <c r="AE123" s="126">
        <v>4.5</v>
      </c>
      <c r="AF123" s="126">
        <v>6</v>
      </c>
      <c r="AG123" s="126">
        <v>94.1</v>
      </c>
      <c r="AH123" s="126">
        <v>96.3</v>
      </c>
      <c r="AI123" s="126">
        <v>96.6</v>
      </c>
      <c r="AJ123" s="126">
        <v>96.8</v>
      </c>
      <c r="AK123" s="126">
        <v>96.7</v>
      </c>
      <c r="AL123" s="126">
        <v>96.4</v>
      </c>
      <c r="AM123" s="126">
        <v>96.6</v>
      </c>
      <c r="AN123" s="126">
        <v>95.1</v>
      </c>
      <c r="AO123" s="126">
        <v>96.9</v>
      </c>
      <c r="AP123" s="126">
        <v>97.3</v>
      </c>
      <c r="AQ123" s="126">
        <v>97.4</v>
      </c>
      <c r="AR123" s="126">
        <v>97.4</v>
      </c>
      <c r="AS123" s="126">
        <v>97.2</v>
      </c>
      <c r="AT123" s="126">
        <v>97.3</v>
      </c>
      <c r="AU123" s="126">
        <v>93.8</v>
      </c>
      <c r="AV123" s="126">
        <v>96.4</v>
      </c>
      <c r="AW123" s="126">
        <v>97.1</v>
      </c>
      <c r="AX123" s="126">
        <v>97.4</v>
      </c>
      <c r="AY123" s="126">
        <v>97.5</v>
      </c>
      <c r="AZ123" s="126">
        <v>97.4</v>
      </c>
      <c r="BA123" s="126">
        <v>97.2</v>
      </c>
      <c r="BB123" s="174">
        <v>43040</v>
      </c>
      <c r="BC123" s="174">
        <v>43511</v>
      </c>
    </row>
    <row r="124" spans="1:55" s="44" customFormat="1" ht="45">
      <c r="A124" s="18" t="s">
        <v>0</v>
      </c>
      <c r="B124" s="140" t="s">
        <v>816</v>
      </c>
      <c r="C124" s="26" t="s">
        <v>10</v>
      </c>
      <c r="D124" s="26" t="s">
        <v>10</v>
      </c>
      <c r="E124" s="23" t="s">
        <v>10</v>
      </c>
      <c r="F124" s="23" t="s">
        <v>11</v>
      </c>
      <c r="G124" s="18" t="s">
        <v>256</v>
      </c>
      <c r="H124" s="125">
        <v>6</v>
      </c>
      <c r="I124" s="127">
        <v>208</v>
      </c>
      <c r="J124" s="157">
        <v>97</v>
      </c>
      <c r="K124" s="21" t="s">
        <v>1215</v>
      </c>
      <c r="L124" s="49" t="s">
        <v>505</v>
      </c>
      <c r="M124" s="128" t="s">
        <v>418</v>
      </c>
      <c r="N124" s="174">
        <v>43388</v>
      </c>
      <c r="O124" s="124" t="s">
        <v>1485</v>
      </c>
      <c r="P124" s="23" t="s">
        <v>17</v>
      </c>
      <c r="Q124" s="23" t="s">
        <v>17</v>
      </c>
      <c r="R124" s="18" t="s">
        <v>26</v>
      </c>
      <c r="S124" s="23" t="s">
        <v>10</v>
      </c>
      <c r="T124" s="23" t="s">
        <v>11</v>
      </c>
      <c r="U124" s="125">
        <v>1.3</v>
      </c>
      <c r="V124" s="135"/>
      <c r="W124" s="135"/>
      <c r="X124" s="135">
        <v>240</v>
      </c>
      <c r="Y124" s="135">
        <v>340</v>
      </c>
      <c r="Z124" s="135">
        <v>480</v>
      </c>
      <c r="AA124" s="126">
        <v>0.6</v>
      </c>
      <c r="AB124" s="126">
        <v>1.2</v>
      </c>
      <c r="AC124" s="126">
        <v>1.8</v>
      </c>
      <c r="AD124" s="126">
        <v>3</v>
      </c>
      <c r="AE124" s="126">
        <v>4.5</v>
      </c>
      <c r="AF124" s="126">
        <v>6</v>
      </c>
      <c r="AG124" s="126">
        <v>94.3</v>
      </c>
      <c r="AH124" s="126">
        <v>96.3</v>
      </c>
      <c r="AI124" s="126">
        <v>96.7</v>
      </c>
      <c r="AJ124" s="126">
        <v>96.8</v>
      </c>
      <c r="AK124" s="126">
        <v>96.6</v>
      </c>
      <c r="AL124" s="126">
        <v>96.3</v>
      </c>
      <c r="AM124" s="126">
        <v>96.6</v>
      </c>
      <c r="AN124" s="126">
        <v>94.9</v>
      </c>
      <c r="AO124" s="126">
        <v>96.7</v>
      </c>
      <c r="AP124" s="126">
        <v>97</v>
      </c>
      <c r="AQ124" s="126">
        <v>97.1</v>
      </c>
      <c r="AR124" s="126">
        <v>97</v>
      </c>
      <c r="AS124" s="126">
        <v>96.7</v>
      </c>
      <c r="AT124" s="126">
        <v>96.9</v>
      </c>
      <c r="AU124" s="126">
        <v>93.7</v>
      </c>
      <c r="AV124" s="126">
        <v>96.2</v>
      </c>
      <c r="AW124" s="126">
        <v>96.7</v>
      </c>
      <c r="AX124" s="126">
        <v>97.1</v>
      </c>
      <c r="AY124" s="126">
        <v>97.1</v>
      </c>
      <c r="AZ124" s="126">
        <v>96.8</v>
      </c>
      <c r="BA124" s="126">
        <v>96.8</v>
      </c>
      <c r="BB124" s="174">
        <v>43040</v>
      </c>
      <c r="BC124" s="174">
        <v>43511</v>
      </c>
    </row>
    <row r="125" spans="1:55" s="44" customFormat="1" ht="45">
      <c r="A125" s="18" t="s">
        <v>0</v>
      </c>
      <c r="B125" s="140" t="s">
        <v>817</v>
      </c>
      <c r="C125" s="26" t="s">
        <v>10</v>
      </c>
      <c r="D125" s="26" t="s">
        <v>10</v>
      </c>
      <c r="E125" s="23" t="s">
        <v>10</v>
      </c>
      <c r="F125" s="23" t="s">
        <v>11</v>
      </c>
      <c r="G125" s="18" t="s">
        <v>278</v>
      </c>
      <c r="H125" s="125">
        <v>6</v>
      </c>
      <c r="I125" s="127">
        <v>240</v>
      </c>
      <c r="J125" s="157">
        <v>97</v>
      </c>
      <c r="K125" s="21" t="s">
        <v>1215</v>
      </c>
      <c r="L125" s="49" t="s">
        <v>505</v>
      </c>
      <c r="M125" s="128" t="s">
        <v>418</v>
      </c>
      <c r="N125" s="174">
        <v>43388</v>
      </c>
      <c r="O125" s="124" t="s">
        <v>1485</v>
      </c>
      <c r="P125" s="23" t="s">
        <v>17</v>
      </c>
      <c r="Q125" s="23" t="s">
        <v>17</v>
      </c>
      <c r="R125" s="18" t="s">
        <v>26</v>
      </c>
      <c r="S125" s="23" t="s">
        <v>10</v>
      </c>
      <c r="T125" s="23" t="s">
        <v>11</v>
      </c>
      <c r="U125" s="125">
        <v>1.3</v>
      </c>
      <c r="V125" s="135"/>
      <c r="W125" s="135"/>
      <c r="X125" s="135">
        <v>200</v>
      </c>
      <c r="Y125" s="135">
        <v>355</v>
      </c>
      <c r="Z125" s="135">
        <v>480</v>
      </c>
      <c r="AA125" s="126">
        <v>0.6</v>
      </c>
      <c r="AB125" s="126">
        <v>1.2</v>
      </c>
      <c r="AC125" s="126">
        <v>1.8</v>
      </c>
      <c r="AD125" s="126">
        <v>3</v>
      </c>
      <c r="AE125" s="126">
        <v>4.5</v>
      </c>
      <c r="AF125" s="126">
        <v>6</v>
      </c>
      <c r="AG125" s="126">
        <v>94.1</v>
      </c>
      <c r="AH125" s="126">
        <v>96.3</v>
      </c>
      <c r="AI125" s="126">
        <v>96.6</v>
      </c>
      <c r="AJ125" s="126">
        <v>96.8</v>
      </c>
      <c r="AK125" s="126">
        <v>96.7</v>
      </c>
      <c r="AL125" s="126">
        <v>96.4</v>
      </c>
      <c r="AM125" s="126">
        <v>96.6</v>
      </c>
      <c r="AN125" s="126">
        <v>95.1</v>
      </c>
      <c r="AO125" s="126">
        <v>96.9</v>
      </c>
      <c r="AP125" s="126">
        <v>97.3</v>
      </c>
      <c r="AQ125" s="126">
        <v>97.4</v>
      </c>
      <c r="AR125" s="126">
        <v>97.4</v>
      </c>
      <c r="AS125" s="126">
        <v>97.2</v>
      </c>
      <c r="AT125" s="126">
        <v>97.3</v>
      </c>
      <c r="AU125" s="126">
        <v>93.8</v>
      </c>
      <c r="AV125" s="126">
        <v>96.4</v>
      </c>
      <c r="AW125" s="126">
        <v>97.1</v>
      </c>
      <c r="AX125" s="126">
        <v>97.4</v>
      </c>
      <c r="AY125" s="126">
        <v>97.5</v>
      </c>
      <c r="AZ125" s="126">
        <v>97.4</v>
      </c>
      <c r="BA125" s="126">
        <v>97.2</v>
      </c>
      <c r="BB125" s="174">
        <v>43040</v>
      </c>
      <c r="BC125" s="174">
        <v>43511</v>
      </c>
    </row>
    <row r="126" spans="1:55" s="44" customFormat="1" ht="45">
      <c r="A126" s="18" t="s">
        <v>0</v>
      </c>
      <c r="B126" s="140" t="s">
        <v>818</v>
      </c>
      <c r="C126" s="26" t="s">
        <v>10</v>
      </c>
      <c r="D126" s="26" t="s">
        <v>10</v>
      </c>
      <c r="E126" s="23" t="s">
        <v>10</v>
      </c>
      <c r="F126" s="23" t="s">
        <v>11</v>
      </c>
      <c r="G126" s="18" t="s">
        <v>257</v>
      </c>
      <c r="H126" s="125">
        <v>6</v>
      </c>
      <c r="I126" s="127">
        <v>208</v>
      </c>
      <c r="J126" s="157">
        <v>97</v>
      </c>
      <c r="K126" s="21" t="s">
        <v>1215</v>
      </c>
      <c r="L126" s="49" t="s">
        <v>505</v>
      </c>
      <c r="M126" s="128" t="s">
        <v>418</v>
      </c>
      <c r="N126" s="174">
        <v>43388</v>
      </c>
      <c r="O126" s="124" t="s">
        <v>1485</v>
      </c>
      <c r="P126" s="23" t="s">
        <v>17</v>
      </c>
      <c r="Q126" s="23" t="s">
        <v>17</v>
      </c>
      <c r="R126" s="18" t="s">
        <v>26</v>
      </c>
      <c r="S126" s="23" t="s">
        <v>10</v>
      </c>
      <c r="T126" s="23" t="s">
        <v>11</v>
      </c>
      <c r="U126" s="125">
        <v>1.3</v>
      </c>
      <c r="V126" s="135"/>
      <c r="W126" s="135"/>
      <c r="X126" s="135">
        <v>240</v>
      </c>
      <c r="Y126" s="135">
        <v>340</v>
      </c>
      <c r="Z126" s="135">
        <v>480</v>
      </c>
      <c r="AA126" s="126">
        <v>0.6</v>
      </c>
      <c r="AB126" s="126">
        <v>1.2</v>
      </c>
      <c r="AC126" s="126">
        <v>1.8</v>
      </c>
      <c r="AD126" s="126">
        <v>3</v>
      </c>
      <c r="AE126" s="126">
        <v>4.5</v>
      </c>
      <c r="AF126" s="126">
        <v>6</v>
      </c>
      <c r="AG126" s="126">
        <v>94.3</v>
      </c>
      <c r="AH126" s="126">
        <v>96.3</v>
      </c>
      <c r="AI126" s="126">
        <v>96.7</v>
      </c>
      <c r="AJ126" s="126">
        <v>96.8</v>
      </c>
      <c r="AK126" s="126">
        <v>96.6</v>
      </c>
      <c r="AL126" s="126">
        <v>96.3</v>
      </c>
      <c r="AM126" s="126">
        <v>96.6</v>
      </c>
      <c r="AN126" s="126">
        <v>94.9</v>
      </c>
      <c r="AO126" s="126">
        <v>96.7</v>
      </c>
      <c r="AP126" s="126">
        <v>97</v>
      </c>
      <c r="AQ126" s="126">
        <v>97.1</v>
      </c>
      <c r="AR126" s="126">
        <v>97</v>
      </c>
      <c r="AS126" s="126">
        <v>96.7</v>
      </c>
      <c r="AT126" s="126">
        <v>96.9</v>
      </c>
      <c r="AU126" s="126">
        <v>93.7</v>
      </c>
      <c r="AV126" s="126">
        <v>96.2</v>
      </c>
      <c r="AW126" s="126">
        <v>96.7</v>
      </c>
      <c r="AX126" s="126">
        <v>97.1</v>
      </c>
      <c r="AY126" s="126">
        <v>97.1</v>
      </c>
      <c r="AZ126" s="126">
        <v>96.8</v>
      </c>
      <c r="BA126" s="126">
        <v>96.8</v>
      </c>
      <c r="BB126" s="174">
        <v>43040</v>
      </c>
      <c r="BC126" s="174">
        <v>43511</v>
      </c>
    </row>
    <row r="127" spans="1:55" s="44" customFormat="1" ht="45">
      <c r="A127" s="18" t="s">
        <v>0</v>
      </c>
      <c r="B127" s="140" t="s">
        <v>819</v>
      </c>
      <c r="C127" s="26" t="s">
        <v>10</v>
      </c>
      <c r="D127" s="26" t="s">
        <v>10</v>
      </c>
      <c r="E127" s="23" t="s">
        <v>10</v>
      </c>
      <c r="F127" s="23" t="s">
        <v>11</v>
      </c>
      <c r="G127" s="18" t="s">
        <v>277</v>
      </c>
      <c r="H127" s="125">
        <v>6</v>
      </c>
      <c r="I127" s="127">
        <v>240</v>
      </c>
      <c r="J127" s="157">
        <v>97</v>
      </c>
      <c r="K127" s="21" t="s">
        <v>1215</v>
      </c>
      <c r="L127" s="49" t="s">
        <v>505</v>
      </c>
      <c r="M127" s="128" t="s">
        <v>418</v>
      </c>
      <c r="N127" s="174">
        <v>43388</v>
      </c>
      <c r="O127" s="124" t="s">
        <v>1485</v>
      </c>
      <c r="P127" s="23" t="s">
        <v>17</v>
      </c>
      <c r="Q127" s="23" t="s">
        <v>17</v>
      </c>
      <c r="R127" s="18" t="s">
        <v>26</v>
      </c>
      <c r="S127" s="23" t="s">
        <v>10</v>
      </c>
      <c r="T127" s="23" t="s">
        <v>11</v>
      </c>
      <c r="U127" s="125">
        <v>1.3</v>
      </c>
      <c r="V127" s="135"/>
      <c r="W127" s="135"/>
      <c r="X127" s="135">
        <v>200</v>
      </c>
      <c r="Y127" s="135">
        <v>355</v>
      </c>
      <c r="Z127" s="135">
        <v>480</v>
      </c>
      <c r="AA127" s="126">
        <v>0.6</v>
      </c>
      <c r="AB127" s="126">
        <v>1.2</v>
      </c>
      <c r="AC127" s="126">
        <v>1.8</v>
      </c>
      <c r="AD127" s="126">
        <v>3</v>
      </c>
      <c r="AE127" s="126">
        <v>4.5</v>
      </c>
      <c r="AF127" s="126">
        <v>6</v>
      </c>
      <c r="AG127" s="126">
        <v>94.1</v>
      </c>
      <c r="AH127" s="126">
        <v>96.3</v>
      </c>
      <c r="AI127" s="126">
        <v>96.6</v>
      </c>
      <c r="AJ127" s="126">
        <v>96.8</v>
      </c>
      <c r="AK127" s="126">
        <v>96.7</v>
      </c>
      <c r="AL127" s="126">
        <v>96.4</v>
      </c>
      <c r="AM127" s="126">
        <v>96.6</v>
      </c>
      <c r="AN127" s="126">
        <v>95.1</v>
      </c>
      <c r="AO127" s="126">
        <v>96.9</v>
      </c>
      <c r="AP127" s="126">
        <v>97.3</v>
      </c>
      <c r="AQ127" s="126">
        <v>97.4</v>
      </c>
      <c r="AR127" s="126">
        <v>97.4</v>
      </c>
      <c r="AS127" s="126">
        <v>97.2</v>
      </c>
      <c r="AT127" s="126">
        <v>97.3</v>
      </c>
      <c r="AU127" s="126">
        <v>93.8</v>
      </c>
      <c r="AV127" s="126">
        <v>96.4</v>
      </c>
      <c r="AW127" s="126">
        <v>97.1</v>
      </c>
      <c r="AX127" s="126">
        <v>97.4</v>
      </c>
      <c r="AY127" s="126">
        <v>97.5</v>
      </c>
      <c r="AZ127" s="126">
        <v>97.4</v>
      </c>
      <c r="BA127" s="126">
        <v>97.2</v>
      </c>
      <c r="BB127" s="174">
        <v>43040</v>
      </c>
      <c r="BC127" s="174">
        <v>43511</v>
      </c>
    </row>
    <row r="128" spans="1:55" s="44" customFormat="1" ht="45">
      <c r="A128" s="18" t="s">
        <v>0</v>
      </c>
      <c r="B128" s="140" t="s">
        <v>820</v>
      </c>
      <c r="C128" s="26" t="s">
        <v>10</v>
      </c>
      <c r="D128" s="26" t="s">
        <v>10</v>
      </c>
      <c r="E128" s="23" t="s">
        <v>10</v>
      </c>
      <c r="F128" s="23" t="s">
        <v>11</v>
      </c>
      <c r="G128" s="18" t="s">
        <v>255</v>
      </c>
      <c r="H128" s="125">
        <v>6</v>
      </c>
      <c r="I128" s="127">
        <v>208</v>
      </c>
      <c r="J128" s="157">
        <v>97</v>
      </c>
      <c r="K128" s="21" t="s">
        <v>1215</v>
      </c>
      <c r="L128" s="49" t="s">
        <v>505</v>
      </c>
      <c r="M128" s="128" t="s">
        <v>418</v>
      </c>
      <c r="N128" s="174">
        <v>43388</v>
      </c>
      <c r="O128" s="124" t="s">
        <v>1485</v>
      </c>
      <c r="P128" s="23" t="s">
        <v>17</v>
      </c>
      <c r="Q128" s="23" t="s">
        <v>17</v>
      </c>
      <c r="R128" s="18" t="s">
        <v>26</v>
      </c>
      <c r="S128" s="23" t="s">
        <v>10</v>
      </c>
      <c r="T128" s="23" t="s">
        <v>11</v>
      </c>
      <c r="U128" s="125">
        <v>1.3</v>
      </c>
      <c r="V128" s="135"/>
      <c r="W128" s="135"/>
      <c r="X128" s="135">
        <v>240</v>
      </c>
      <c r="Y128" s="135">
        <v>340</v>
      </c>
      <c r="Z128" s="135">
        <v>480</v>
      </c>
      <c r="AA128" s="126">
        <v>0.6</v>
      </c>
      <c r="AB128" s="126">
        <v>1.2</v>
      </c>
      <c r="AC128" s="126">
        <v>1.8</v>
      </c>
      <c r="AD128" s="126">
        <v>3</v>
      </c>
      <c r="AE128" s="126">
        <v>4.5</v>
      </c>
      <c r="AF128" s="126">
        <v>6</v>
      </c>
      <c r="AG128" s="126">
        <v>94.3</v>
      </c>
      <c r="AH128" s="126">
        <v>96.3</v>
      </c>
      <c r="AI128" s="126">
        <v>96.7</v>
      </c>
      <c r="AJ128" s="126">
        <v>96.8</v>
      </c>
      <c r="AK128" s="126">
        <v>96.6</v>
      </c>
      <c r="AL128" s="126">
        <v>96.3</v>
      </c>
      <c r="AM128" s="126">
        <v>96.6</v>
      </c>
      <c r="AN128" s="126">
        <v>94.9</v>
      </c>
      <c r="AO128" s="126">
        <v>96.7</v>
      </c>
      <c r="AP128" s="126">
        <v>97</v>
      </c>
      <c r="AQ128" s="126">
        <v>97.1</v>
      </c>
      <c r="AR128" s="126">
        <v>97</v>
      </c>
      <c r="AS128" s="126">
        <v>96.7</v>
      </c>
      <c r="AT128" s="126">
        <v>96.9</v>
      </c>
      <c r="AU128" s="126">
        <v>93.7</v>
      </c>
      <c r="AV128" s="126">
        <v>96.2</v>
      </c>
      <c r="AW128" s="126">
        <v>96.7</v>
      </c>
      <c r="AX128" s="126">
        <v>97.1</v>
      </c>
      <c r="AY128" s="126">
        <v>97.1</v>
      </c>
      <c r="AZ128" s="126">
        <v>96.8</v>
      </c>
      <c r="BA128" s="126">
        <v>96.8</v>
      </c>
      <c r="BB128" s="174">
        <v>43040</v>
      </c>
      <c r="BC128" s="174">
        <v>43511</v>
      </c>
    </row>
    <row r="129" spans="1:55" s="44" customFormat="1" ht="45">
      <c r="A129" s="18" t="s">
        <v>0</v>
      </c>
      <c r="B129" s="140" t="s">
        <v>821</v>
      </c>
      <c r="C129" s="26" t="s">
        <v>10</v>
      </c>
      <c r="D129" s="26" t="s">
        <v>10</v>
      </c>
      <c r="E129" s="23" t="s">
        <v>10</v>
      </c>
      <c r="F129" s="23" t="s">
        <v>11</v>
      </c>
      <c r="G129" s="18" t="s">
        <v>276</v>
      </c>
      <c r="H129" s="125">
        <v>6</v>
      </c>
      <c r="I129" s="127">
        <v>240</v>
      </c>
      <c r="J129" s="157">
        <v>97</v>
      </c>
      <c r="K129" s="21" t="s">
        <v>1215</v>
      </c>
      <c r="L129" s="49" t="s">
        <v>505</v>
      </c>
      <c r="M129" s="128" t="s">
        <v>418</v>
      </c>
      <c r="N129" s="174">
        <v>43388</v>
      </c>
      <c r="O129" s="124" t="s">
        <v>1485</v>
      </c>
      <c r="P129" s="23" t="s">
        <v>17</v>
      </c>
      <c r="Q129" s="23" t="s">
        <v>17</v>
      </c>
      <c r="R129" s="18" t="s">
        <v>26</v>
      </c>
      <c r="S129" s="23" t="s">
        <v>10</v>
      </c>
      <c r="T129" s="23" t="s">
        <v>11</v>
      </c>
      <c r="U129" s="125">
        <v>1.3</v>
      </c>
      <c r="V129" s="135"/>
      <c r="W129" s="135"/>
      <c r="X129" s="135">
        <v>200</v>
      </c>
      <c r="Y129" s="135">
        <v>355</v>
      </c>
      <c r="Z129" s="135">
        <v>480</v>
      </c>
      <c r="AA129" s="126">
        <v>0.6</v>
      </c>
      <c r="AB129" s="126">
        <v>1.2</v>
      </c>
      <c r="AC129" s="126">
        <v>1.8</v>
      </c>
      <c r="AD129" s="126">
        <v>3</v>
      </c>
      <c r="AE129" s="126">
        <v>4.5</v>
      </c>
      <c r="AF129" s="126">
        <v>6</v>
      </c>
      <c r="AG129" s="126">
        <v>94.1</v>
      </c>
      <c r="AH129" s="126">
        <v>96.3</v>
      </c>
      <c r="AI129" s="126">
        <v>96.6</v>
      </c>
      <c r="AJ129" s="126">
        <v>96.8</v>
      </c>
      <c r="AK129" s="126">
        <v>96.7</v>
      </c>
      <c r="AL129" s="126">
        <v>96.4</v>
      </c>
      <c r="AM129" s="126">
        <v>96.6</v>
      </c>
      <c r="AN129" s="126">
        <v>95.1</v>
      </c>
      <c r="AO129" s="126">
        <v>96.9</v>
      </c>
      <c r="AP129" s="126">
        <v>97.3</v>
      </c>
      <c r="AQ129" s="126">
        <v>97.4</v>
      </c>
      <c r="AR129" s="126">
        <v>97.4</v>
      </c>
      <c r="AS129" s="126">
        <v>97.2</v>
      </c>
      <c r="AT129" s="126">
        <v>97.3</v>
      </c>
      <c r="AU129" s="126">
        <v>93.8</v>
      </c>
      <c r="AV129" s="126">
        <v>96.4</v>
      </c>
      <c r="AW129" s="126">
        <v>97.1</v>
      </c>
      <c r="AX129" s="126">
        <v>97.4</v>
      </c>
      <c r="AY129" s="126">
        <v>97.5</v>
      </c>
      <c r="AZ129" s="126">
        <v>97.4</v>
      </c>
      <c r="BA129" s="126">
        <v>97.2</v>
      </c>
      <c r="BB129" s="174">
        <v>43040</v>
      </c>
      <c r="BC129" s="174">
        <v>43511</v>
      </c>
    </row>
    <row r="130" spans="1:55" s="44" customFormat="1" ht="45">
      <c r="A130" s="18" t="s">
        <v>0</v>
      </c>
      <c r="B130" s="140" t="s">
        <v>822</v>
      </c>
      <c r="C130" s="26" t="s">
        <v>10</v>
      </c>
      <c r="D130" s="26" t="s">
        <v>10</v>
      </c>
      <c r="E130" s="23" t="s">
        <v>10</v>
      </c>
      <c r="F130" s="23" t="s">
        <v>11</v>
      </c>
      <c r="G130" s="18" t="s">
        <v>258</v>
      </c>
      <c r="H130" s="125">
        <v>6</v>
      </c>
      <c r="I130" s="127">
        <v>208</v>
      </c>
      <c r="J130" s="157">
        <v>97</v>
      </c>
      <c r="K130" s="21" t="s">
        <v>1215</v>
      </c>
      <c r="L130" s="49" t="s">
        <v>505</v>
      </c>
      <c r="M130" s="128" t="s">
        <v>418</v>
      </c>
      <c r="N130" s="174">
        <v>43388</v>
      </c>
      <c r="O130" s="124" t="s">
        <v>1485</v>
      </c>
      <c r="P130" s="23" t="s">
        <v>17</v>
      </c>
      <c r="Q130" s="23" t="s">
        <v>17</v>
      </c>
      <c r="R130" s="18" t="s">
        <v>26</v>
      </c>
      <c r="S130" s="23" t="s">
        <v>10</v>
      </c>
      <c r="T130" s="23" t="s">
        <v>11</v>
      </c>
      <c r="U130" s="125">
        <v>1.3</v>
      </c>
      <c r="V130" s="135"/>
      <c r="W130" s="135"/>
      <c r="X130" s="135">
        <v>240</v>
      </c>
      <c r="Y130" s="135">
        <v>340</v>
      </c>
      <c r="Z130" s="135">
        <v>480</v>
      </c>
      <c r="AA130" s="126">
        <v>0.6</v>
      </c>
      <c r="AB130" s="126">
        <v>1.2</v>
      </c>
      <c r="AC130" s="126">
        <v>1.8</v>
      </c>
      <c r="AD130" s="126">
        <v>3</v>
      </c>
      <c r="AE130" s="126">
        <v>4.5</v>
      </c>
      <c r="AF130" s="126">
        <v>6</v>
      </c>
      <c r="AG130" s="126">
        <v>94.3</v>
      </c>
      <c r="AH130" s="126">
        <v>96.3</v>
      </c>
      <c r="AI130" s="126">
        <v>96.7</v>
      </c>
      <c r="AJ130" s="126">
        <v>96.8</v>
      </c>
      <c r="AK130" s="126">
        <v>96.6</v>
      </c>
      <c r="AL130" s="126">
        <v>96.3</v>
      </c>
      <c r="AM130" s="126">
        <v>96.6</v>
      </c>
      <c r="AN130" s="126">
        <v>94.9</v>
      </c>
      <c r="AO130" s="126">
        <v>96.7</v>
      </c>
      <c r="AP130" s="126">
        <v>97</v>
      </c>
      <c r="AQ130" s="126">
        <v>97.1</v>
      </c>
      <c r="AR130" s="126">
        <v>97</v>
      </c>
      <c r="AS130" s="126">
        <v>96.7</v>
      </c>
      <c r="AT130" s="126">
        <v>96.9</v>
      </c>
      <c r="AU130" s="126">
        <v>93.7</v>
      </c>
      <c r="AV130" s="126">
        <v>96.2</v>
      </c>
      <c r="AW130" s="126">
        <v>96.7</v>
      </c>
      <c r="AX130" s="126">
        <v>97.1</v>
      </c>
      <c r="AY130" s="126">
        <v>97.1</v>
      </c>
      <c r="AZ130" s="126">
        <v>96.8</v>
      </c>
      <c r="BA130" s="126">
        <v>96.8</v>
      </c>
      <c r="BB130" s="174">
        <v>43040</v>
      </c>
      <c r="BC130" s="174">
        <v>43511</v>
      </c>
    </row>
    <row r="131" spans="1:55" s="44" customFormat="1" ht="45">
      <c r="A131" s="18" t="s">
        <v>0</v>
      </c>
      <c r="B131" s="140" t="s">
        <v>823</v>
      </c>
      <c r="C131" s="26" t="s">
        <v>10</v>
      </c>
      <c r="D131" s="26" t="s">
        <v>10</v>
      </c>
      <c r="E131" s="23" t="s">
        <v>10</v>
      </c>
      <c r="F131" s="23" t="s">
        <v>11</v>
      </c>
      <c r="G131" s="18" t="s">
        <v>275</v>
      </c>
      <c r="H131" s="125">
        <v>6</v>
      </c>
      <c r="I131" s="127">
        <v>240</v>
      </c>
      <c r="J131" s="157">
        <v>97</v>
      </c>
      <c r="K131" s="21" t="s">
        <v>1215</v>
      </c>
      <c r="L131" s="49" t="s">
        <v>505</v>
      </c>
      <c r="M131" s="128" t="s">
        <v>418</v>
      </c>
      <c r="N131" s="174">
        <v>43388</v>
      </c>
      <c r="O131" s="124" t="s">
        <v>1485</v>
      </c>
      <c r="P131" s="23" t="s">
        <v>17</v>
      </c>
      <c r="Q131" s="23" t="s">
        <v>17</v>
      </c>
      <c r="R131" s="18" t="s">
        <v>26</v>
      </c>
      <c r="S131" s="23" t="s">
        <v>10</v>
      </c>
      <c r="T131" s="23" t="s">
        <v>11</v>
      </c>
      <c r="U131" s="125">
        <v>1.3</v>
      </c>
      <c r="V131" s="135"/>
      <c r="W131" s="135"/>
      <c r="X131" s="135">
        <v>200</v>
      </c>
      <c r="Y131" s="135">
        <v>355</v>
      </c>
      <c r="Z131" s="135">
        <v>480</v>
      </c>
      <c r="AA131" s="126">
        <v>0.6</v>
      </c>
      <c r="AB131" s="126">
        <v>1.2</v>
      </c>
      <c r="AC131" s="126">
        <v>1.8</v>
      </c>
      <c r="AD131" s="126">
        <v>3</v>
      </c>
      <c r="AE131" s="126">
        <v>4.5</v>
      </c>
      <c r="AF131" s="126">
        <v>6</v>
      </c>
      <c r="AG131" s="126">
        <v>94.1</v>
      </c>
      <c r="AH131" s="126">
        <v>96.3</v>
      </c>
      <c r="AI131" s="126">
        <v>96.6</v>
      </c>
      <c r="AJ131" s="126">
        <v>96.8</v>
      </c>
      <c r="AK131" s="126">
        <v>96.7</v>
      </c>
      <c r="AL131" s="126">
        <v>96.4</v>
      </c>
      <c r="AM131" s="126">
        <v>96.6</v>
      </c>
      <c r="AN131" s="126">
        <v>95.1</v>
      </c>
      <c r="AO131" s="126">
        <v>96.9</v>
      </c>
      <c r="AP131" s="126">
        <v>97.3</v>
      </c>
      <c r="AQ131" s="126">
        <v>97.4</v>
      </c>
      <c r="AR131" s="126">
        <v>97.4</v>
      </c>
      <c r="AS131" s="126">
        <v>97.2</v>
      </c>
      <c r="AT131" s="126">
        <v>97.3</v>
      </c>
      <c r="AU131" s="126">
        <v>93.8</v>
      </c>
      <c r="AV131" s="126">
        <v>96.4</v>
      </c>
      <c r="AW131" s="126">
        <v>97.1</v>
      </c>
      <c r="AX131" s="126">
        <v>97.4</v>
      </c>
      <c r="AY131" s="126">
        <v>97.5</v>
      </c>
      <c r="AZ131" s="126">
        <v>97.4</v>
      </c>
      <c r="BA131" s="126">
        <v>97.2</v>
      </c>
      <c r="BB131" s="174">
        <v>43040</v>
      </c>
      <c r="BC131" s="174">
        <v>43511</v>
      </c>
    </row>
    <row r="132" spans="1:55" s="44" customFormat="1" ht="45">
      <c r="A132" s="18" t="s">
        <v>352</v>
      </c>
      <c r="B132" s="18" t="s">
        <v>1367</v>
      </c>
      <c r="C132" s="23" t="s">
        <v>10</v>
      </c>
      <c r="D132" s="23" t="s">
        <v>10</v>
      </c>
      <c r="E132" s="23" t="s">
        <v>10</v>
      </c>
      <c r="F132" s="23" t="s">
        <v>11</v>
      </c>
      <c r="G132" s="18" t="s">
        <v>1334</v>
      </c>
      <c r="H132" s="19">
        <v>1.2250000000000001</v>
      </c>
      <c r="I132" s="37">
        <v>240</v>
      </c>
      <c r="J132" s="19">
        <v>96.5</v>
      </c>
      <c r="K132" s="21" t="s">
        <v>1216</v>
      </c>
      <c r="L132" s="49" t="s">
        <v>1335</v>
      </c>
      <c r="M132" s="38" t="s">
        <v>550</v>
      </c>
      <c r="N132" s="174">
        <v>43525</v>
      </c>
      <c r="O132" s="38" t="s">
        <v>1335</v>
      </c>
      <c r="P132" s="38" t="s">
        <v>17</v>
      </c>
      <c r="Q132" s="38" t="s">
        <v>17</v>
      </c>
      <c r="R132" s="151"/>
      <c r="S132" s="39" t="s">
        <v>11</v>
      </c>
      <c r="T132" s="39" t="s">
        <v>10</v>
      </c>
      <c r="U132" s="171">
        <v>0.09</v>
      </c>
      <c r="V132" s="153"/>
      <c r="W132" s="153"/>
      <c r="X132" s="153">
        <v>27</v>
      </c>
      <c r="Y132" s="153">
        <v>37.5</v>
      </c>
      <c r="Z132" s="153">
        <v>48</v>
      </c>
      <c r="AA132" s="40">
        <v>0.12251585203999998</v>
      </c>
      <c r="AB132" s="40">
        <v>0.24503170407999997</v>
      </c>
      <c r="AC132" s="40">
        <v>0.3675475561199999</v>
      </c>
      <c r="AD132" s="40">
        <v>0.61257926019999986</v>
      </c>
      <c r="AE132" s="40">
        <v>0.91886889029999974</v>
      </c>
      <c r="AF132" s="40">
        <v>1.2251585203999997</v>
      </c>
      <c r="AG132" s="40">
        <v>93.497015299373786</v>
      </c>
      <c r="AH132" s="40">
        <v>96.030198868558386</v>
      </c>
      <c r="AI132" s="40">
        <v>96.291805605462031</v>
      </c>
      <c r="AJ132" s="40">
        <v>96.516377648924689</v>
      </c>
      <c r="AK132" s="40">
        <v>96.18970599969785</v>
      </c>
      <c r="AL132" s="40">
        <v>95.636820794062331</v>
      </c>
      <c r="AM132" s="40">
        <v>96.127231753875478</v>
      </c>
      <c r="AN132" s="40">
        <v>93.489077418155247</v>
      </c>
      <c r="AO132" s="40">
        <v>96.010152340904128</v>
      </c>
      <c r="AP132" s="40">
        <v>96.472039013204679</v>
      </c>
      <c r="AQ132" s="40">
        <v>96.70926293039534</v>
      </c>
      <c r="AR132" s="40">
        <v>96.540734712474077</v>
      </c>
      <c r="AS132" s="40">
        <v>96.125506711745189</v>
      </c>
      <c r="AT132" s="40">
        <v>96.398525343937521</v>
      </c>
      <c r="AU132" s="40">
        <v>92.818802764414372</v>
      </c>
      <c r="AV132" s="40">
        <v>95.857275302642961</v>
      </c>
      <c r="AW132" s="40">
        <v>96.491627254570773</v>
      </c>
      <c r="AX132" s="40">
        <v>96.652233435545639</v>
      </c>
      <c r="AY132" s="40">
        <v>96.629689629012688</v>
      </c>
      <c r="AZ132" s="40">
        <v>96.294175176843083</v>
      </c>
      <c r="BA132" s="40">
        <v>96.410024429940677</v>
      </c>
      <c r="BB132" s="178">
        <v>43525</v>
      </c>
      <c r="BC132" s="178"/>
    </row>
    <row r="133" spans="1:55" s="44" customFormat="1" ht="45">
      <c r="A133" s="18" t="s">
        <v>352</v>
      </c>
      <c r="B133" s="18" t="s">
        <v>1368</v>
      </c>
      <c r="C133" s="23" t="s">
        <v>10</v>
      </c>
      <c r="D133" s="23" t="s">
        <v>10</v>
      </c>
      <c r="E133" s="23" t="s">
        <v>10</v>
      </c>
      <c r="F133" s="23" t="s">
        <v>11</v>
      </c>
      <c r="G133" s="18" t="s">
        <v>1334</v>
      </c>
      <c r="H133" s="19">
        <v>1.2250000000000001</v>
      </c>
      <c r="I133" s="37">
        <v>240</v>
      </c>
      <c r="J133" s="19">
        <v>96.5</v>
      </c>
      <c r="K133" s="21" t="s">
        <v>1216</v>
      </c>
      <c r="L133" s="49" t="s">
        <v>1335</v>
      </c>
      <c r="M133" s="38" t="s">
        <v>550</v>
      </c>
      <c r="N133" s="174">
        <v>43525</v>
      </c>
      <c r="O133" s="38" t="s">
        <v>1335</v>
      </c>
      <c r="P133" s="38" t="s">
        <v>17</v>
      </c>
      <c r="Q133" s="38" t="s">
        <v>17</v>
      </c>
      <c r="R133" s="151"/>
      <c r="S133" s="39" t="s">
        <v>11</v>
      </c>
      <c r="T133" s="39" t="s">
        <v>10</v>
      </c>
      <c r="U133" s="171">
        <v>0.09</v>
      </c>
      <c r="V133" s="153"/>
      <c r="W133" s="153"/>
      <c r="X133" s="153">
        <v>27</v>
      </c>
      <c r="Y133" s="153">
        <v>37.5</v>
      </c>
      <c r="Z133" s="153">
        <v>48</v>
      </c>
      <c r="AA133" s="40">
        <v>0.12251585203999998</v>
      </c>
      <c r="AB133" s="40">
        <v>0.24503170407999997</v>
      </c>
      <c r="AC133" s="40">
        <v>0.3675475561199999</v>
      </c>
      <c r="AD133" s="40">
        <v>0.61257926019999986</v>
      </c>
      <c r="AE133" s="40">
        <v>0.91886889029999974</v>
      </c>
      <c r="AF133" s="40">
        <v>1.2251585203999997</v>
      </c>
      <c r="AG133" s="40">
        <v>93.497015299373786</v>
      </c>
      <c r="AH133" s="40">
        <v>96.030198868558386</v>
      </c>
      <c r="AI133" s="40">
        <v>96.291805605462031</v>
      </c>
      <c r="AJ133" s="40">
        <v>96.516377648924689</v>
      </c>
      <c r="AK133" s="40">
        <v>96.18970599969785</v>
      </c>
      <c r="AL133" s="40">
        <v>95.636820794062331</v>
      </c>
      <c r="AM133" s="40">
        <v>96.127231753875478</v>
      </c>
      <c r="AN133" s="40">
        <v>93.489077418155247</v>
      </c>
      <c r="AO133" s="40">
        <v>96.010152340904128</v>
      </c>
      <c r="AP133" s="40">
        <v>96.472039013204679</v>
      </c>
      <c r="AQ133" s="40">
        <v>96.70926293039534</v>
      </c>
      <c r="AR133" s="40">
        <v>96.540734712474077</v>
      </c>
      <c r="AS133" s="40">
        <v>96.125506711745189</v>
      </c>
      <c r="AT133" s="40">
        <v>96.398525343937521</v>
      </c>
      <c r="AU133" s="40">
        <v>92.818802764414372</v>
      </c>
      <c r="AV133" s="40">
        <v>95.857275302642961</v>
      </c>
      <c r="AW133" s="40">
        <v>96.491627254570773</v>
      </c>
      <c r="AX133" s="40">
        <v>96.652233435545639</v>
      </c>
      <c r="AY133" s="40">
        <v>96.629689629012688</v>
      </c>
      <c r="AZ133" s="40">
        <v>96.294175176843083</v>
      </c>
      <c r="BA133" s="40">
        <v>96.410024429940677</v>
      </c>
      <c r="BB133" s="178">
        <v>43525</v>
      </c>
      <c r="BC133" s="178"/>
    </row>
    <row r="134" spans="1:55" s="44" customFormat="1" ht="45">
      <c r="A134" s="168" t="s">
        <v>352</v>
      </c>
      <c r="B134" s="168" t="s">
        <v>1316</v>
      </c>
      <c r="C134" s="158" t="s">
        <v>10</v>
      </c>
      <c r="D134" s="158" t="s">
        <v>10</v>
      </c>
      <c r="E134" s="158" t="s">
        <v>10</v>
      </c>
      <c r="F134" s="158" t="s">
        <v>11</v>
      </c>
      <c r="G134" s="168" t="s">
        <v>548</v>
      </c>
      <c r="H134" s="169">
        <v>0.55000000000000004</v>
      </c>
      <c r="I134" s="159">
        <v>240</v>
      </c>
      <c r="J134" s="164">
        <v>96.5</v>
      </c>
      <c r="K134" s="160" t="s">
        <v>1216</v>
      </c>
      <c r="L134" s="38" t="s">
        <v>549</v>
      </c>
      <c r="M134" s="38" t="s">
        <v>550</v>
      </c>
      <c r="N134" s="174">
        <v>43388</v>
      </c>
      <c r="O134" s="38" t="s">
        <v>1317</v>
      </c>
      <c r="P134" s="38" t="s">
        <v>17</v>
      </c>
      <c r="Q134" s="160" t="s">
        <v>17</v>
      </c>
      <c r="R134" s="170"/>
      <c r="S134" s="161" t="s">
        <v>11</v>
      </c>
      <c r="T134" s="161" t="s">
        <v>10</v>
      </c>
      <c r="U134" s="162">
        <v>0.02</v>
      </c>
      <c r="V134" s="163"/>
      <c r="W134" s="163"/>
      <c r="X134" s="163">
        <v>24</v>
      </c>
      <c r="Y134" s="163">
        <v>36</v>
      </c>
      <c r="Z134" s="163">
        <v>45</v>
      </c>
      <c r="AA134" s="162">
        <v>5.4800000000000001E-2</v>
      </c>
      <c r="AB134" s="162">
        <v>0.1096</v>
      </c>
      <c r="AC134" s="162">
        <v>0.16439999999999999</v>
      </c>
      <c r="AD134" s="162">
        <v>0.27400000000000002</v>
      </c>
      <c r="AE134" s="162">
        <v>0.41099999999999998</v>
      </c>
      <c r="AF134" s="162">
        <v>0.54800000000000004</v>
      </c>
      <c r="AG134" s="164">
        <v>94.4</v>
      </c>
      <c r="AH134" s="164">
        <v>95.9</v>
      </c>
      <c r="AI134" s="164">
        <v>96</v>
      </c>
      <c r="AJ134" s="164">
        <v>96.4</v>
      </c>
      <c r="AK134" s="164">
        <v>96.3</v>
      </c>
      <c r="AL134" s="164">
        <v>96.1</v>
      </c>
      <c r="AM134" s="164">
        <v>96.2</v>
      </c>
      <c r="AN134" s="164">
        <v>94.1</v>
      </c>
      <c r="AO134" s="164">
        <v>95.8</v>
      </c>
      <c r="AP134" s="164">
        <v>96.2</v>
      </c>
      <c r="AQ134" s="164">
        <v>96.5</v>
      </c>
      <c r="AR134" s="164">
        <v>96.7</v>
      </c>
      <c r="AS134" s="164">
        <v>96.6</v>
      </c>
      <c r="AT134" s="164">
        <v>96.4</v>
      </c>
      <c r="AU134" s="164">
        <v>93.7</v>
      </c>
      <c r="AV134" s="164">
        <v>95.7</v>
      </c>
      <c r="AW134" s="164">
        <v>95.8</v>
      </c>
      <c r="AX134" s="164">
        <v>96.4</v>
      </c>
      <c r="AY134" s="164">
        <v>96.7</v>
      </c>
      <c r="AZ134" s="164">
        <v>96.7</v>
      </c>
      <c r="BA134" s="164">
        <v>96.4</v>
      </c>
      <c r="BB134" s="177">
        <v>43160</v>
      </c>
      <c r="BC134" s="175">
        <v>43511</v>
      </c>
    </row>
    <row r="135" spans="1:55" s="44" customFormat="1" ht="45">
      <c r="A135" s="18" t="s">
        <v>1440</v>
      </c>
      <c r="B135" s="18" t="s">
        <v>1457</v>
      </c>
      <c r="C135" s="23" t="s">
        <v>10</v>
      </c>
      <c r="D135" s="23" t="s">
        <v>10</v>
      </c>
      <c r="E135" s="23" t="s">
        <v>10</v>
      </c>
      <c r="F135" s="23" t="s">
        <v>11</v>
      </c>
      <c r="G135" s="18" t="s">
        <v>1441</v>
      </c>
      <c r="H135" s="19">
        <v>0.25</v>
      </c>
      <c r="I135" s="37">
        <v>120</v>
      </c>
      <c r="J135" s="19">
        <v>91.5</v>
      </c>
      <c r="K135" s="21" t="s">
        <v>1215</v>
      </c>
      <c r="L135" s="49" t="s">
        <v>1442</v>
      </c>
      <c r="M135" s="38" t="s">
        <v>1443</v>
      </c>
      <c r="N135" s="174">
        <v>43557</v>
      </c>
      <c r="O135" s="38" t="s">
        <v>1442</v>
      </c>
      <c r="P135" s="38" t="s">
        <v>17</v>
      </c>
      <c r="Q135" s="38" t="s">
        <v>17</v>
      </c>
      <c r="R135" s="151"/>
      <c r="S135" s="39" t="s">
        <v>11</v>
      </c>
      <c r="T135" s="39" t="s">
        <v>10</v>
      </c>
      <c r="U135" s="171">
        <v>0.45</v>
      </c>
      <c r="V135" s="153"/>
      <c r="W135" s="153"/>
      <c r="X135" s="153">
        <v>31.2</v>
      </c>
      <c r="Y135" s="153">
        <v>36.4</v>
      </c>
      <c r="Z135" s="153">
        <v>48.9</v>
      </c>
      <c r="AA135" s="40">
        <v>0.03</v>
      </c>
      <c r="AB135" s="40">
        <v>0.05</v>
      </c>
      <c r="AC135" s="40">
        <v>0.08</v>
      </c>
      <c r="AD135" s="40">
        <v>0.13</v>
      </c>
      <c r="AE135" s="40">
        <v>0.19</v>
      </c>
      <c r="AF135" s="40">
        <v>0.25</v>
      </c>
      <c r="AG135" s="40">
        <v>85.4</v>
      </c>
      <c r="AH135" s="40">
        <v>91.1</v>
      </c>
      <c r="AI135" s="40">
        <v>91.5</v>
      </c>
      <c r="AJ135" s="40">
        <v>92.1</v>
      </c>
      <c r="AK135" s="40">
        <v>91.8</v>
      </c>
      <c r="AL135" s="40">
        <v>90.6</v>
      </c>
      <c r="AM135" s="40">
        <v>91.5</v>
      </c>
      <c r="AN135" s="40">
        <v>87</v>
      </c>
      <c r="AO135" s="40">
        <v>90.8</v>
      </c>
      <c r="AP135" s="40">
        <v>91.5</v>
      </c>
      <c r="AQ135" s="40">
        <v>92.4</v>
      </c>
      <c r="AR135" s="40">
        <v>92.2</v>
      </c>
      <c r="AS135" s="40">
        <v>91.2</v>
      </c>
      <c r="AT135" s="40">
        <v>91.8</v>
      </c>
      <c r="AU135" s="40">
        <v>86.1</v>
      </c>
      <c r="AV135" s="40">
        <v>90.9</v>
      </c>
      <c r="AW135" s="40">
        <v>92</v>
      </c>
      <c r="AX135" s="40">
        <v>92.2</v>
      </c>
      <c r="AY135" s="40">
        <v>92.4</v>
      </c>
      <c r="AZ135" s="40">
        <v>92</v>
      </c>
      <c r="BA135" s="40">
        <v>92</v>
      </c>
      <c r="BB135" s="178">
        <v>43557</v>
      </c>
      <c r="BC135" s="178"/>
    </row>
    <row r="136" spans="1:55" s="44" customFormat="1" ht="60">
      <c r="A136" s="168" t="s">
        <v>1645</v>
      </c>
      <c r="B136" s="168" t="s">
        <v>1647</v>
      </c>
      <c r="C136" s="158" t="s">
        <v>10</v>
      </c>
      <c r="D136" s="158" t="s">
        <v>10</v>
      </c>
      <c r="E136" s="158" t="s">
        <v>10</v>
      </c>
      <c r="F136" s="158" t="s">
        <v>11</v>
      </c>
      <c r="G136" s="168" t="s">
        <v>1654</v>
      </c>
      <c r="H136" s="169">
        <v>501.75599999999997</v>
      </c>
      <c r="I136" s="159">
        <v>480</v>
      </c>
      <c r="J136" s="164">
        <v>96</v>
      </c>
      <c r="K136" s="160" t="s">
        <v>1216</v>
      </c>
      <c r="L136" s="38" t="s">
        <v>1659</v>
      </c>
      <c r="M136" s="38" t="s">
        <v>1660</v>
      </c>
      <c r="N136" s="124">
        <v>43633</v>
      </c>
      <c r="O136" s="38" t="s">
        <v>1659</v>
      </c>
      <c r="P136" s="38" t="s">
        <v>17</v>
      </c>
      <c r="Q136" s="160" t="s">
        <v>17</v>
      </c>
      <c r="R136" s="170" t="s">
        <v>572</v>
      </c>
      <c r="S136" s="161" t="s">
        <v>11</v>
      </c>
      <c r="T136" s="161" t="s">
        <v>11</v>
      </c>
      <c r="U136" s="162">
        <v>2</v>
      </c>
      <c r="V136" s="153"/>
      <c r="W136" s="153"/>
      <c r="X136" s="163">
        <v>780</v>
      </c>
      <c r="Y136" s="163">
        <v>890</v>
      </c>
      <c r="Z136" s="163">
        <v>1000</v>
      </c>
      <c r="AA136" s="162">
        <v>50.175600000000003</v>
      </c>
      <c r="AB136" s="162">
        <v>100.35120000000001</v>
      </c>
      <c r="AC136" s="162">
        <v>150.52679999999998</v>
      </c>
      <c r="AD136" s="162">
        <v>250.87799999999999</v>
      </c>
      <c r="AE136" s="162">
        <v>376.31700000000001</v>
      </c>
      <c r="AF136" s="162">
        <v>501.75599999999997</v>
      </c>
      <c r="AG136" s="164">
        <v>90.958029972476254</v>
      </c>
      <c r="AH136" s="164">
        <v>94.532188562498717</v>
      </c>
      <c r="AI136" s="164">
        <v>95.735257919064097</v>
      </c>
      <c r="AJ136" s="164">
        <v>96.397146690091319</v>
      </c>
      <c r="AK136" s="164">
        <v>96.492303944580257</v>
      </c>
      <c r="AL136" s="164">
        <v>96.358663157741589</v>
      </c>
      <c r="AM136" s="164">
        <v>96.055416630745484</v>
      </c>
      <c r="AN136" s="164">
        <v>90.550616532879019</v>
      </c>
      <c r="AO136" s="164">
        <v>94.242556358693463</v>
      </c>
      <c r="AP136" s="164">
        <v>95.383548684652467</v>
      </c>
      <c r="AQ136" s="164">
        <v>96.175725324137147</v>
      </c>
      <c r="AR136" s="164">
        <v>96.270715930184949</v>
      </c>
      <c r="AS136" s="164">
        <v>96.117643261110658</v>
      </c>
      <c r="AT136" s="164">
        <v>95.806442245530476</v>
      </c>
      <c r="AU136" s="164">
        <v>89.914552634073303</v>
      </c>
      <c r="AV136" s="164">
        <v>93.847654625541466</v>
      </c>
      <c r="AW136" s="164">
        <v>95.078591746021019</v>
      </c>
      <c r="AX136" s="164">
        <v>95.94973301357517</v>
      </c>
      <c r="AY136" s="164">
        <v>96.07268995674913</v>
      </c>
      <c r="AZ136" s="164">
        <v>95.902819861870213</v>
      </c>
      <c r="BA136" s="164">
        <v>95.561506449183867</v>
      </c>
      <c r="BB136" s="180">
        <v>43633</v>
      </c>
      <c r="BC136" s="180"/>
    </row>
    <row r="137" spans="1:55" s="44" customFormat="1" ht="75">
      <c r="A137" s="168" t="s">
        <v>1645</v>
      </c>
      <c r="B137" s="168" t="s">
        <v>1646</v>
      </c>
      <c r="C137" s="158" t="s">
        <v>10</v>
      </c>
      <c r="D137" s="158" t="s">
        <v>10</v>
      </c>
      <c r="E137" s="158" t="s">
        <v>10</v>
      </c>
      <c r="F137" s="158" t="s">
        <v>11</v>
      </c>
      <c r="G137" s="168" t="s">
        <v>1653</v>
      </c>
      <c r="H137" s="169">
        <v>501.75599999999997</v>
      </c>
      <c r="I137" s="159">
        <v>480</v>
      </c>
      <c r="J137" s="164">
        <v>96</v>
      </c>
      <c r="K137" s="160" t="s">
        <v>1216</v>
      </c>
      <c r="L137" s="38" t="s">
        <v>1659</v>
      </c>
      <c r="M137" s="38" t="s">
        <v>1660</v>
      </c>
      <c r="N137" s="124">
        <v>43633</v>
      </c>
      <c r="O137" s="38" t="s">
        <v>1659</v>
      </c>
      <c r="P137" s="38" t="s">
        <v>17</v>
      </c>
      <c r="Q137" s="160" t="s">
        <v>17</v>
      </c>
      <c r="R137" s="170" t="s">
        <v>572</v>
      </c>
      <c r="S137" s="161" t="s">
        <v>11</v>
      </c>
      <c r="T137" s="161" t="s">
        <v>11</v>
      </c>
      <c r="U137" s="162">
        <v>2</v>
      </c>
      <c r="V137" s="153"/>
      <c r="W137" s="153"/>
      <c r="X137" s="163">
        <v>780</v>
      </c>
      <c r="Y137" s="163">
        <v>890</v>
      </c>
      <c r="Z137" s="163">
        <v>1000</v>
      </c>
      <c r="AA137" s="162">
        <v>50.175600000000003</v>
      </c>
      <c r="AB137" s="162">
        <v>100.35120000000001</v>
      </c>
      <c r="AC137" s="162">
        <v>150.52679999999998</v>
      </c>
      <c r="AD137" s="162">
        <v>250.87799999999999</v>
      </c>
      <c r="AE137" s="162">
        <v>376.31700000000001</v>
      </c>
      <c r="AF137" s="162">
        <v>501.75599999999997</v>
      </c>
      <c r="AG137" s="164">
        <v>90.958029972476254</v>
      </c>
      <c r="AH137" s="164">
        <v>94.532188562498717</v>
      </c>
      <c r="AI137" s="164">
        <v>95.735257919064097</v>
      </c>
      <c r="AJ137" s="164">
        <v>96.397146690091319</v>
      </c>
      <c r="AK137" s="164">
        <v>96.492303944580257</v>
      </c>
      <c r="AL137" s="164">
        <v>96.358663157741589</v>
      </c>
      <c r="AM137" s="164">
        <v>96.055416630745484</v>
      </c>
      <c r="AN137" s="164">
        <v>90.550616532879019</v>
      </c>
      <c r="AO137" s="164">
        <v>94.242556358693463</v>
      </c>
      <c r="AP137" s="164">
        <v>95.383548684652467</v>
      </c>
      <c r="AQ137" s="164">
        <v>96.175725324137147</v>
      </c>
      <c r="AR137" s="164">
        <v>96.270715930184949</v>
      </c>
      <c r="AS137" s="164">
        <v>96.117643261110658</v>
      </c>
      <c r="AT137" s="164">
        <v>95.806442245530476</v>
      </c>
      <c r="AU137" s="164">
        <v>89.914552634073303</v>
      </c>
      <c r="AV137" s="164">
        <v>93.847654625541466</v>
      </c>
      <c r="AW137" s="164">
        <v>95.078591746021019</v>
      </c>
      <c r="AX137" s="164">
        <v>95.94973301357517</v>
      </c>
      <c r="AY137" s="164">
        <v>96.07268995674913</v>
      </c>
      <c r="AZ137" s="164">
        <v>95.902819861870213</v>
      </c>
      <c r="BA137" s="164">
        <v>95.561506449183867</v>
      </c>
      <c r="BB137" s="180">
        <v>43633</v>
      </c>
      <c r="BC137" s="180"/>
    </row>
    <row r="138" spans="1:55" s="44" customFormat="1" ht="60">
      <c r="A138" s="186" t="s">
        <v>1645</v>
      </c>
      <c r="B138" s="186" t="s">
        <v>1848</v>
      </c>
      <c r="C138" s="158" t="s">
        <v>10</v>
      </c>
      <c r="D138" s="158" t="s">
        <v>10</v>
      </c>
      <c r="E138" s="158" t="s">
        <v>10</v>
      </c>
      <c r="F138" s="158" t="s">
        <v>11</v>
      </c>
      <c r="G138" s="186" t="s">
        <v>1849</v>
      </c>
      <c r="H138" s="187">
        <v>60.276000000000003</v>
      </c>
      <c r="I138" s="159">
        <v>480</v>
      </c>
      <c r="J138" s="188">
        <v>95.5</v>
      </c>
      <c r="K138" s="160" t="s">
        <v>1216</v>
      </c>
      <c r="L138" s="160" t="s">
        <v>1777</v>
      </c>
      <c r="M138" s="158" t="s">
        <v>1850</v>
      </c>
      <c r="N138" s="160">
        <v>43810</v>
      </c>
      <c r="O138" s="160" t="s">
        <v>1777</v>
      </c>
      <c r="P138" s="160" t="s">
        <v>17</v>
      </c>
      <c r="Q138" s="160" t="s">
        <v>17</v>
      </c>
      <c r="R138" s="189" t="s">
        <v>1851</v>
      </c>
      <c r="S138" s="161" t="s">
        <v>11</v>
      </c>
      <c r="T138" s="161" t="s">
        <v>11</v>
      </c>
      <c r="U138" s="162">
        <v>98</v>
      </c>
      <c r="V138" s="163"/>
      <c r="W138" s="163"/>
      <c r="X138" s="163">
        <v>750</v>
      </c>
      <c r="Y138" s="163">
        <v>850</v>
      </c>
      <c r="Z138" s="163">
        <v>950</v>
      </c>
      <c r="AA138" s="162">
        <v>6.0276000000000005</v>
      </c>
      <c r="AB138" s="162">
        <v>12.055200000000001</v>
      </c>
      <c r="AC138" s="162">
        <v>18.082799999999999</v>
      </c>
      <c r="AD138" s="162">
        <v>30.138000000000002</v>
      </c>
      <c r="AE138" s="162">
        <v>45.207000000000001</v>
      </c>
      <c r="AF138" s="162">
        <v>60.276000000000003</v>
      </c>
      <c r="AG138" s="164">
        <v>92.263877618214693</v>
      </c>
      <c r="AH138" s="164">
        <v>95.092454594879612</v>
      </c>
      <c r="AI138" s="164">
        <v>95.942067621391487</v>
      </c>
      <c r="AJ138" s="164">
        <v>96.374153135355002</v>
      </c>
      <c r="AK138" s="164">
        <v>96.219940794387412</v>
      </c>
      <c r="AL138" s="164">
        <v>95.952632048118147</v>
      </c>
      <c r="AM138" s="164">
        <v>95.990998330895337</v>
      </c>
      <c r="AN138" s="164">
        <v>91.64347702244784</v>
      </c>
      <c r="AO138" s="164">
        <v>94.652932894143404</v>
      </c>
      <c r="AP138" s="164">
        <v>95.552648411714628</v>
      </c>
      <c r="AQ138" s="164">
        <v>96.040657998094431</v>
      </c>
      <c r="AR138" s="164">
        <v>95.949118638076357</v>
      </c>
      <c r="AS138" s="164">
        <v>95.657344012050473</v>
      </c>
      <c r="AT138" s="164">
        <v>95.669141793393663</v>
      </c>
      <c r="AU138" s="164">
        <v>91.217879656652897</v>
      </c>
      <c r="AV138" s="164">
        <v>94.373499874530822</v>
      </c>
      <c r="AW138" s="164">
        <v>95.317484017490955</v>
      </c>
      <c r="AX138" s="164">
        <v>95.825891278353566</v>
      </c>
      <c r="AY138" s="164">
        <v>95.75815891917216</v>
      </c>
      <c r="AZ138" s="164">
        <v>95.462206965876248</v>
      </c>
      <c r="BA138" s="164">
        <v>95.45386000600088</v>
      </c>
      <c r="BB138" s="178">
        <v>43810</v>
      </c>
      <c r="BC138" s="58"/>
    </row>
    <row r="139" spans="1:55" s="44" customFormat="1" ht="45">
      <c r="A139" s="18" t="s">
        <v>208</v>
      </c>
      <c r="B139" s="18" t="s">
        <v>1779</v>
      </c>
      <c r="C139" s="23" t="s">
        <v>10</v>
      </c>
      <c r="D139" s="23" t="s">
        <v>10</v>
      </c>
      <c r="E139" s="23" t="s">
        <v>10</v>
      </c>
      <c r="F139" s="23" t="s">
        <v>11</v>
      </c>
      <c r="G139" s="18" t="s">
        <v>1775</v>
      </c>
      <c r="H139" s="19">
        <v>125</v>
      </c>
      <c r="I139" s="37">
        <v>600</v>
      </c>
      <c r="J139" s="19">
        <v>98.5</v>
      </c>
      <c r="K139" s="20" t="s">
        <v>1216</v>
      </c>
      <c r="L139" s="49" t="s">
        <v>1777</v>
      </c>
      <c r="M139" s="38" t="s">
        <v>1774</v>
      </c>
      <c r="N139" s="124">
        <v>43692</v>
      </c>
      <c r="O139" s="38" t="s">
        <v>1777</v>
      </c>
      <c r="P139" s="38" t="s">
        <v>17</v>
      </c>
      <c r="Q139" s="38" t="s">
        <v>17</v>
      </c>
      <c r="R139" s="151" t="s">
        <v>1778</v>
      </c>
      <c r="S139" s="39" t="s">
        <v>11</v>
      </c>
      <c r="T139" s="39" t="s">
        <v>11</v>
      </c>
      <c r="U139" s="153">
        <v>1</v>
      </c>
      <c r="V139" s="153"/>
      <c r="W139" s="153"/>
      <c r="X139" s="153">
        <v>860</v>
      </c>
      <c r="Y139" s="153">
        <v>950</v>
      </c>
      <c r="Z139" s="153">
        <v>1250</v>
      </c>
      <c r="AA139" s="40">
        <v>12.508265174439627</v>
      </c>
      <c r="AB139" s="40">
        <v>25.016530348879254</v>
      </c>
      <c r="AC139" s="40">
        <v>37.524795523318879</v>
      </c>
      <c r="AD139" s="40">
        <v>62.541325872198129</v>
      </c>
      <c r="AE139" s="40">
        <v>93.811988808297201</v>
      </c>
      <c r="AF139" s="40">
        <v>125.08265174439626</v>
      </c>
      <c r="AG139" s="40">
        <v>98.91665522812005</v>
      </c>
      <c r="AH139" s="40">
        <v>99.027907871118359</v>
      </c>
      <c r="AI139" s="40">
        <v>98.940968438394933</v>
      </c>
      <c r="AJ139" s="40">
        <v>98.94618560587287</v>
      </c>
      <c r="AK139" s="40">
        <v>98.85207356138136</v>
      </c>
      <c r="AL139" s="40">
        <v>98.746414168721444</v>
      </c>
      <c r="AM139" s="40">
        <v>98.888596488489611</v>
      </c>
      <c r="AN139" s="40">
        <v>98.5469464246206</v>
      </c>
      <c r="AO139" s="40">
        <v>98.840474251603069</v>
      </c>
      <c r="AP139" s="40">
        <v>98.772193840490829</v>
      </c>
      <c r="AQ139" s="40">
        <v>98.80392771433803</v>
      </c>
      <c r="AR139" s="40">
        <v>98.633809068909542</v>
      </c>
      <c r="AS139" s="40">
        <v>98.62883538295489</v>
      </c>
      <c r="AT139" s="40">
        <v>98.692750226104664</v>
      </c>
      <c r="AU139" s="40">
        <v>98.280518048463477</v>
      </c>
      <c r="AV139" s="40">
        <v>98.699974088322037</v>
      </c>
      <c r="AW139" s="40">
        <v>98.794745388070737</v>
      </c>
      <c r="AX139" s="40">
        <v>98.661885226486504</v>
      </c>
      <c r="AY139" s="40">
        <v>98.467930647761705</v>
      </c>
      <c r="AZ139" s="40">
        <v>98.300639692202196</v>
      </c>
      <c r="BA139" s="40">
        <v>98.543619998409113</v>
      </c>
      <c r="BB139" s="180">
        <v>43692</v>
      </c>
      <c r="BC139" s="180">
        <v>43784</v>
      </c>
    </row>
    <row r="140" spans="1:55" s="44" customFormat="1" ht="45">
      <c r="A140" s="140" t="s">
        <v>208</v>
      </c>
      <c r="B140" s="18" t="s">
        <v>832</v>
      </c>
      <c r="C140" s="23" t="s">
        <v>10</v>
      </c>
      <c r="D140" s="23" t="s">
        <v>10</v>
      </c>
      <c r="E140" s="23" t="s">
        <v>10</v>
      </c>
      <c r="F140" s="23" t="s">
        <v>11</v>
      </c>
      <c r="G140" s="147" t="s">
        <v>526</v>
      </c>
      <c r="H140" s="19">
        <v>25</v>
      </c>
      <c r="I140" s="19">
        <v>480</v>
      </c>
      <c r="J140" s="19">
        <v>98</v>
      </c>
      <c r="K140" s="21" t="s">
        <v>1217</v>
      </c>
      <c r="L140" s="49" t="s">
        <v>527</v>
      </c>
      <c r="M140" s="21" t="s">
        <v>525</v>
      </c>
      <c r="N140" s="174">
        <v>43405</v>
      </c>
      <c r="O140" s="49" t="s">
        <v>527</v>
      </c>
      <c r="P140" s="23" t="s">
        <v>17</v>
      </c>
      <c r="Q140" s="23" t="s">
        <v>17</v>
      </c>
      <c r="R140" s="150" t="s">
        <v>528</v>
      </c>
      <c r="S140" s="20" t="s">
        <v>11</v>
      </c>
      <c r="T140" s="20" t="s">
        <v>11</v>
      </c>
      <c r="U140" s="19">
        <v>14</v>
      </c>
      <c r="V140" s="19"/>
      <c r="W140" s="19"/>
      <c r="X140" s="19">
        <v>580</v>
      </c>
      <c r="Y140" s="19">
        <v>650</v>
      </c>
      <c r="Z140" s="19">
        <v>780</v>
      </c>
      <c r="AA140" s="40">
        <v>2.5</v>
      </c>
      <c r="AB140" s="40">
        <v>5</v>
      </c>
      <c r="AC140" s="40">
        <v>7.5</v>
      </c>
      <c r="AD140" s="40">
        <v>12.5</v>
      </c>
      <c r="AE140" s="40">
        <v>18.75</v>
      </c>
      <c r="AF140" s="40">
        <v>25</v>
      </c>
      <c r="AG140" s="40">
        <v>97.1</v>
      </c>
      <c r="AH140" s="40">
        <v>97.4</v>
      </c>
      <c r="AI140" s="40">
        <v>97.6</v>
      </c>
      <c r="AJ140" s="40">
        <v>97.9</v>
      </c>
      <c r="AK140" s="40">
        <v>98</v>
      </c>
      <c r="AL140" s="40">
        <v>97.8</v>
      </c>
      <c r="AM140" s="40">
        <v>97.9</v>
      </c>
      <c r="AN140" s="40">
        <v>97.1</v>
      </c>
      <c r="AO140" s="40">
        <v>97.3</v>
      </c>
      <c r="AP140" s="40">
        <v>97.6</v>
      </c>
      <c r="AQ140" s="40">
        <v>97.8</v>
      </c>
      <c r="AR140" s="40">
        <v>98.3</v>
      </c>
      <c r="AS140" s="40">
        <v>97.6</v>
      </c>
      <c r="AT140" s="40">
        <v>98</v>
      </c>
      <c r="AU140" s="40">
        <v>97.2</v>
      </c>
      <c r="AV140" s="40">
        <v>97.4</v>
      </c>
      <c r="AW140" s="40">
        <v>97.7</v>
      </c>
      <c r="AX140" s="40">
        <v>97.8</v>
      </c>
      <c r="AY140" s="40">
        <v>98</v>
      </c>
      <c r="AZ140" s="40">
        <v>97.5</v>
      </c>
      <c r="BA140" s="40">
        <v>97.9</v>
      </c>
      <c r="BB140" s="174">
        <v>43146</v>
      </c>
      <c r="BC140" s="174">
        <v>43784</v>
      </c>
    </row>
    <row r="141" spans="1:55" s="44" customFormat="1" ht="45">
      <c r="A141" s="18" t="s">
        <v>208</v>
      </c>
      <c r="B141" s="18" t="s">
        <v>1561</v>
      </c>
      <c r="C141" s="23" t="s">
        <v>10</v>
      </c>
      <c r="D141" s="23" t="s">
        <v>10</v>
      </c>
      <c r="E141" s="23" t="s">
        <v>10</v>
      </c>
      <c r="F141" s="23" t="s">
        <v>11</v>
      </c>
      <c r="G141" s="18" t="s">
        <v>1336</v>
      </c>
      <c r="H141" s="19">
        <v>25</v>
      </c>
      <c r="I141" s="37">
        <v>480</v>
      </c>
      <c r="J141" s="19">
        <v>98</v>
      </c>
      <c r="K141" s="20" t="s">
        <v>1217</v>
      </c>
      <c r="L141" s="49" t="s">
        <v>1546</v>
      </c>
      <c r="M141" s="38" t="s">
        <v>525</v>
      </c>
      <c r="N141" s="174">
        <v>43586</v>
      </c>
      <c r="O141" s="38" t="s">
        <v>1546</v>
      </c>
      <c r="P141" s="38" t="s">
        <v>17</v>
      </c>
      <c r="Q141" s="38" t="s">
        <v>17</v>
      </c>
      <c r="R141" s="151" t="s">
        <v>1547</v>
      </c>
      <c r="S141" s="39" t="s">
        <v>11</v>
      </c>
      <c r="T141" s="39" t="s">
        <v>11</v>
      </c>
      <c r="U141" s="37">
        <v>14</v>
      </c>
      <c r="V141" s="153"/>
      <c r="W141" s="153"/>
      <c r="X141" s="153">
        <v>580</v>
      </c>
      <c r="Y141" s="153">
        <v>650</v>
      </c>
      <c r="Z141" s="153">
        <v>770</v>
      </c>
      <c r="AA141" s="40">
        <v>2.5</v>
      </c>
      <c r="AB141" s="40">
        <v>5</v>
      </c>
      <c r="AC141" s="40">
        <v>7.5</v>
      </c>
      <c r="AD141" s="40">
        <v>12.5</v>
      </c>
      <c r="AE141" s="40">
        <v>18.75</v>
      </c>
      <c r="AF141" s="40">
        <v>25</v>
      </c>
      <c r="AG141" s="40">
        <v>97.142964722609719</v>
      </c>
      <c r="AH141" s="40">
        <v>97.310266944970607</v>
      </c>
      <c r="AI141" s="40">
        <v>97.558210787909843</v>
      </c>
      <c r="AJ141" s="40">
        <v>97.902019188713425</v>
      </c>
      <c r="AK141" s="40">
        <v>98.186266472133454</v>
      </c>
      <c r="AL141" s="40">
        <v>97.785643565531629</v>
      </c>
      <c r="AM141" s="40">
        <v>97.945644668839236</v>
      </c>
      <c r="AN141" s="40">
        <v>97.136908002620146</v>
      </c>
      <c r="AO141" s="40">
        <v>97.294740203904553</v>
      </c>
      <c r="AP141" s="40">
        <v>97.401291401475831</v>
      </c>
      <c r="AQ141" s="40">
        <v>97.883743867106773</v>
      </c>
      <c r="AR141" s="40">
        <v>98.295370114052176</v>
      </c>
      <c r="AS141" s="40">
        <v>97.750866187372679</v>
      </c>
      <c r="AT141" s="40">
        <v>97.978043980385848</v>
      </c>
      <c r="AU141" s="40">
        <v>97.236056040998633</v>
      </c>
      <c r="AV141" s="40">
        <v>97.395994266218807</v>
      </c>
      <c r="AW141" s="40">
        <v>97.543490263387042</v>
      </c>
      <c r="AX141" s="40">
        <v>97.692214831859445</v>
      </c>
      <c r="AY141" s="40">
        <v>98.001190746739226</v>
      </c>
      <c r="AZ141" s="40">
        <v>97.48550403188284</v>
      </c>
      <c r="BA141" s="40">
        <v>97.794732198613758</v>
      </c>
      <c r="BB141" s="178">
        <v>43586</v>
      </c>
      <c r="BC141" s="178"/>
    </row>
    <row r="142" spans="1:55" s="44" customFormat="1" ht="45">
      <c r="A142" s="140" t="s">
        <v>208</v>
      </c>
      <c r="B142" s="18" t="s">
        <v>833</v>
      </c>
      <c r="C142" s="23" t="s">
        <v>10</v>
      </c>
      <c r="D142" s="23" t="s">
        <v>10</v>
      </c>
      <c r="E142" s="23" t="s">
        <v>10</v>
      </c>
      <c r="F142" s="23" t="s">
        <v>11</v>
      </c>
      <c r="G142" s="147" t="s">
        <v>529</v>
      </c>
      <c r="H142" s="19">
        <v>30</v>
      </c>
      <c r="I142" s="19">
        <v>480</v>
      </c>
      <c r="J142" s="19">
        <v>98</v>
      </c>
      <c r="K142" s="21" t="s">
        <v>1217</v>
      </c>
      <c r="L142" s="49" t="s">
        <v>527</v>
      </c>
      <c r="M142" s="21" t="s">
        <v>525</v>
      </c>
      <c r="N142" s="174">
        <v>43405</v>
      </c>
      <c r="O142" s="49" t="s">
        <v>527</v>
      </c>
      <c r="P142" s="23" t="s">
        <v>17</v>
      </c>
      <c r="Q142" s="23" t="s">
        <v>17</v>
      </c>
      <c r="R142" s="150" t="s">
        <v>530</v>
      </c>
      <c r="S142" s="20" t="s">
        <v>11</v>
      </c>
      <c r="T142" s="20" t="s">
        <v>11</v>
      </c>
      <c r="U142" s="19">
        <v>15</v>
      </c>
      <c r="V142" s="19"/>
      <c r="W142" s="19"/>
      <c r="X142" s="19">
        <v>580</v>
      </c>
      <c r="Y142" s="19">
        <v>650</v>
      </c>
      <c r="Z142" s="19">
        <v>780</v>
      </c>
      <c r="AA142" s="40">
        <v>3</v>
      </c>
      <c r="AB142" s="40">
        <v>6</v>
      </c>
      <c r="AC142" s="40">
        <v>9</v>
      </c>
      <c r="AD142" s="40">
        <v>15</v>
      </c>
      <c r="AE142" s="40">
        <v>22.5</v>
      </c>
      <c r="AF142" s="40">
        <v>30</v>
      </c>
      <c r="AG142" s="40">
        <v>97.1</v>
      </c>
      <c r="AH142" s="40">
        <v>97.9</v>
      </c>
      <c r="AI142" s="40">
        <v>97.9</v>
      </c>
      <c r="AJ142" s="40">
        <v>98.3</v>
      </c>
      <c r="AK142" s="40">
        <v>97.5</v>
      </c>
      <c r="AL142" s="40">
        <v>97.9</v>
      </c>
      <c r="AM142" s="40">
        <v>97.8</v>
      </c>
      <c r="AN142" s="40">
        <v>97.4</v>
      </c>
      <c r="AO142" s="40">
        <v>98.1</v>
      </c>
      <c r="AP142" s="40">
        <v>98.1</v>
      </c>
      <c r="AQ142" s="40">
        <v>98.4</v>
      </c>
      <c r="AR142" s="40">
        <v>98.1</v>
      </c>
      <c r="AS142" s="40">
        <v>97.9</v>
      </c>
      <c r="AT142" s="40">
        <v>98.1</v>
      </c>
      <c r="AU142" s="40">
        <v>97.1</v>
      </c>
      <c r="AV142" s="40">
        <v>97.9</v>
      </c>
      <c r="AW142" s="40">
        <v>98</v>
      </c>
      <c r="AX142" s="40">
        <v>98.3</v>
      </c>
      <c r="AY142" s="40">
        <v>98</v>
      </c>
      <c r="AZ142" s="40">
        <v>97.8</v>
      </c>
      <c r="BA142" s="40">
        <v>98</v>
      </c>
      <c r="BB142" s="174">
        <v>43146</v>
      </c>
      <c r="BC142" s="174">
        <v>43784</v>
      </c>
    </row>
    <row r="143" spans="1:55" s="44" customFormat="1" ht="45">
      <c r="A143" s="18" t="s">
        <v>208</v>
      </c>
      <c r="B143" s="18" t="s">
        <v>1562</v>
      </c>
      <c r="C143" s="23" t="s">
        <v>10</v>
      </c>
      <c r="D143" s="23" t="s">
        <v>10</v>
      </c>
      <c r="E143" s="23" t="s">
        <v>10</v>
      </c>
      <c r="F143" s="23" t="s">
        <v>11</v>
      </c>
      <c r="G143" s="18" t="s">
        <v>1338</v>
      </c>
      <c r="H143" s="19">
        <v>30</v>
      </c>
      <c r="I143" s="37">
        <v>480</v>
      </c>
      <c r="J143" s="19">
        <v>98</v>
      </c>
      <c r="K143" s="20" t="s">
        <v>1217</v>
      </c>
      <c r="L143" s="49" t="s">
        <v>1546</v>
      </c>
      <c r="M143" s="38" t="s">
        <v>525</v>
      </c>
      <c r="N143" s="174">
        <v>43586</v>
      </c>
      <c r="O143" s="38" t="s">
        <v>1546</v>
      </c>
      <c r="P143" s="38" t="s">
        <v>17</v>
      </c>
      <c r="Q143" s="38" t="s">
        <v>17</v>
      </c>
      <c r="R143" s="151" t="s">
        <v>1548</v>
      </c>
      <c r="S143" s="39" t="s">
        <v>11</v>
      </c>
      <c r="T143" s="39" t="s">
        <v>11</v>
      </c>
      <c r="U143" s="37">
        <v>15</v>
      </c>
      <c r="V143" s="153"/>
      <c r="W143" s="153"/>
      <c r="X143" s="153">
        <v>580</v>
      </c>
      <c r="Y143" s="153">
        <v>650</v>
      </c>
      <c r="Z143" s="153">
        <v>780</v>
      </c>
      <c r="AA143" s="40">
        <v>3</v>
      </c>
      <c r="AB143" s="40">
        <v>6</v>
      </c>
      <c r="AC143" s="40">
        <v>9</v>
      </c>
      <c r="AD143" s="40">
        <v>15</v>
      </c>
      <c r="AE143" s="40">
        <v>22.5</v>
      </c>
      <c r="AF143" s="40">
        <v>30</v>
      </c>
      <c r="AG143" s="40">
        <v>97.136729034962897</v>
      </c>
      <c r="AH143" s="40">
        <v>97.91235168892814</v>
      </c>
      <c r="AI143" s="40">
        <v>97.904963869081769</v>
      </c>
      <c r="AJ143" s="40">
        <v>98.308894833573305</v>
      </c>
      <c r="AK143" s="40">
        <v>97.870536038966534</v>
      </c>
      <c r="AL143" s="40">
        <v>97.917405124902231</v>
      </c>
      <c r="AM143" s="40">
        <v>97.94180468208252</v>
      </c>
      <c r="AN143" s="40">
        <v>97.378314041689322</v>
      </c>
      <c r="AO143" s="40">
        <v>98.038837889530924</v>
      </c>
      <c r="AP143" s="40">
        <v>98.035886776299634</v>
      </c>
      <c r="AQ143" s="40">
        <v>98.347723576110241</v>
      </c>
      <c r="AR143" s="40">
        <v>98.11389303563567</v>
      </c>
      <c r="AS143" s="40">
        <v>97.915010820497599</v>
      </c>
      <c r="AT143" s="40">
        <v>98.110516670195011</v>
      </c>
      <c r="AU143" s="40">
        <v>97.119954609958342</v>
      </c>
      <c r="AV143" s="40">
        <v>97.865597999954872</v>
      </c>
      <c r="AW143" s="40">
        <v>97.961685543933498</v>
      </c>
      <c r="AX143" s="40">
        <v>98.238894650235139</v>
      </c>
      <c r="AY143" s="40">
        <v>97.96866928700517</v>
      </c>
      <c r="AZ143" s="40">
        <v>97.810325302197526</v>
      </c>
      <c r="BA143" s="40">
        <v>97.977559213440088</v>
      </c>
      <c r="BB143" s="178">
        <v>43586</v>
      </c>
      <c r="BC143" s="178"/>
    </row>
    <row r="144" spans="1:55" s="44" customFormat="1" ht="60">
      <c r="A144" s="18" t="s">
        <v>208</v>
      </c>
      <c r="B144" s="18" t="s">
        <v>834</v>
      </c>
      <c r="C144" s="39" t="s">
        <v>10</v>
      </c>
      <c r="D144" s="39" t="s">
        <v>10</v>
      </c>
      <c r="E144" s="23" t="s">
        <v>11</v>
      </c>
      <c r="F144" s="23" t="s">
        <v>11</v>
      </c>
      <c r="G144" s="18" t="s">
        <v>204</v>
      </c>
      <c r="H144" s="19">
        <v>36</v>
      </c>
      <c r="I144" s="19">
        <v>480</v>
      </c>
      <c r="J144" s="19">
        <v>98</v>
      </c>
      <c r="K144" s="21" t="s">
        <v>1216</v>
      </c>
      <c r="L144" s="49" t="s">
        <v>422</v>
      </c>
      <c r="M144" s="21" t="s">
        <v>423</v>
      </c>
      <c r="N144" s="174">
        <v>43388</v>
      </c>
      <c r="O144" s="23" t="s">
        <v>17</v>
      </c>
      <c r="P144" s="23" t="s">
        <v>17</v>
      </c>
      <c r="Q144" s="23" t="s">
        <v>17</v>
      </c>
      <c r="R144" s="150" t="s">
        <v>207</v>
      </c>
      <c r="S144" s="20" t="s">
        <v>11</v>
      </c>
      <c r="T144" s="20" t="s">
        <v>11</v>
      </c>
      <c r="U144" s="19">
        <v>0</v>
      </c>
      <c r="V144" s="19"/>
      <c r="W144" s="19"/>
      <c r="X144" s="19">
        <v>540</v>
      </c>
      <c r="Y144" s="19">
        <v>730</v>
      </c>
      <c r="Z144" s="19">
        <v>800</v>
      </c>
      <c r="AA144" s="40">
        <v>3.6</v>
      </c>
      <c r="AB144" s="40">
        <v>7.2</v>
      </c>
      <c r="AC144" s="40">
        <v>10.8</v>
      </c>
      <c r="AD144" s="40">
        <v>18</v>
      </c>
      <c r="AE144" s="40">
        <v>27</v>
      </c>
      <c r="AF144" s="40">
        <v>36</v>
      </c>
      <c r="AG144" s="40">
        <v>95.5</v>
      </c>
      <c r="AH144" s="40">
        <v>96.8</v>
      </c>
      <c r="AI144" s="40">
        <v>97.2</v>
      </c>
      <c r="AJ144" s="40">
        <v>97.5</v>
      </c>
      <c r="AK144" s="40">
        <v>97.5</v>
      </c>
      <c r="AL144" s="40">
        <v>97.3</v>
      </c>
      <c r="AM144" s="40">
        <v>97.3</v>
      </c>
      <c r="AN144" s="40">
        <v>97.4</v>
      </c>
      <c r="AO144" s="40">
        <v>98.3</v>
      </c>
      <c r="AP144" s="40">
        <v>98.5</v>
      </c>
      <c r="AQ144" s="40">
        <v>98.5</v>
      </c>
      <c r="AR144" s="40">
        <v>98.5</v>
      </c>
      <c r="AS144" s="40">
        <v>98.3</v>
      </c>
      <c r="AT144" s="40">
        <v>98.4</v>
      </c>
      <c r="AU144" s="40">
        <v>97.1</v>
      </c>
      <c r="AV144" s="40">
        <v>98</v>
      </c>
      <c r="AW144" s="40">
        <v>98.3</v>
      </c>
      <c r="AX144" s="40">
        <v>98.4</v>
      </c>
      <c r="AY144" s="40">
        <v>98.3</v>
      </c>
      <c r="AZ144" s="40">
        <v>98.2</v>
      </c>
      <c r="BA144" s="40">
        <v>98.3</v>
      </c>
      <c r="BB144" s="174">
        <v>43009</v>
      </c>
      <c r="BC144" s="174">
        <v>43405</v>
      </c>
    </row>
    <row r="145" spans="1:55" s="44" customFormat="1" ht="45">
      <c r="A145" s="140" t="s">
        <v>208</v>
      </c>
      <c r="B145" s="18" t="s">
        <v>835</v>
      </c>
      <c r="C145" s="23" t="s">
        <v>10</v>
      </c>
      <c r="D145" s="23" t="s">
        <v>10</v>
      </c>
      <c r="E145" s="23" t="s">
        <v>10</v>
      </c>
      <c r="F145" s="23" t="s">
        <v>11</v>
      </c>
      <c r="G145" s="147" t="s">
        <v>531</v>
      </c>
      <c r="H145" s="19">
        <v>36</v>
      </c>
      <c r="I145" s="19">
        <v>480</v>
      </c>
      <c r="J145" s="19">
        <v>98</v>
      </c>
      <c r="K145" s="21" t="s">
        <v>1217</v>
      </c>
      <c r="L145" s="49" t="s">
        <v>527</v>
      </c>
      <c r="M145" s="21" t="s">
        <v>525</v>
      </c>
      <c r="N145" s="174">
        <v>43405</v>
      </c>
      <c r="O145" s="49" t="s">
        <v>527</v>
      </c>
      <c r="P145" s="23" t="s">
        <v>17</v>
      </c>
      <c r="Q145" s="23" t="s">
        <v>17</v>
      </c>
      <c r="R145" s="150" t="s">
        <v>532</v>
      </c>
      <c r="S145" s="20" t="s">
        <v>11</v>
      </c>
      <c r="T145" s="20" t="s">
        <v>11</v>
      </c>
      <c r="U145" s="19">
        <v>15</v>
      </c>
      <c r="V145" s="19"/>
      <c r="W145" s="19"/>
      <c r="X145" s="19">
        <v>580</v>
      </c>
      <c r="Y145" s="19">
        <v>650</v>
      </c>
      <c r="Z145" s="19">
        <v>780</v>
      </c>
      <c r="AA145" s="40">
        <v>3.6</v>
      </c>
      <c r="AB145" s="40">
        <v>7.2</v>
      </c>
      <c r="AC145" s="40">
        <v>10.8</v>
      </c>
      <c r="AD145" s="40">
        <v>18</v>
      </c>
      <c r="AE145" s="40">
        <v>27</v>
      </c>
      <c r="AF145" s="40">
        <v>36</v>
      </c>
      <c r="AG145" s="40">
        <v>97.3</v>
      </c>
      <c r="AH145" s="40">
        <v>98.2</v>
      </c>
      <c r="AI145" s="40">
        <v>98.1</v>
      </c>
      <c r="AJ145" s="40">
        <v>98.4</v>
      </c>
      <c r="AK145" s="40">
        <v>97.6</v>
      </c>
      <c r="AL145" s="40">
        <v>98.1</v>
      </c>
      <c r="AM145" s="40">
        <v>97.9</v>
      </c>
      <c r="AN145" s="40">
        <v>97.7</v>
      </c>
      <c r="AO145" s="40">
        <v>98.3</v>
      </c>
      <c r="AP145" s="40">
        <v>98.3</v>
      </c>
      <c r="AQ145" s="40">
        <v>98.4</v>
      </c>
      <c r="AR145" s="40">
        <v>98.3</v>
      </c>
      <c r="AS145" s="40">
        <v>98.1</v>
      </c>
      <c r="AT145" s="40">
        <v>98.3</v>
      </c>
      <c r="AU145" s="40">
        <v>97.4</v>
      </c>
      <c r="AV145" s="40">
        <v>98.1</v>
      </c>
      <c r="AW145" s="40">
        <v>98.2</v>
      </c>
      <c r="AX145" s="40">
        <v>98.3</v>
      </c>
      <c r="AY145" s="40">
        <v>98.2</v>
      </c>
      <c r="AZ145" s="40">
        <v>98.1</v>
      </c>
      <c r="BA145" s="40">
        <v>98.2</v>
      </c>
      <c r="BB145" s="174">
        <v>43146</v>
      </c>
      <c r="BC145" s="174">
        <v>43784</v>
      </c>
    </row>
    <row r="146" spans="1:55" s="44" customFormat="1" ht="45">
      <c r="A146" s="18" t="s">
        <v>208</v>
      </c>
      <c r="B146" s="18" t="s">
        <v>1563</v>
      </c>
      <c r="C146" s="23" t="s">
        <v>10</v>
      </c>
      <c r="D146" s="23" t="s">
        <v>10</v>
      </c>
      <c r="E146" s="23" t="s">
        <v>10</v>
      </c>
      <c r="F146" s="23" t="s">
        <v>11</v>
      </c>
      <c r="G146" s="18" t="s">
        <v>1339</v>
      </c>
      <c r="H146" s="19">
        <v>36</v>
      </c>
      <c r="I146" s="37">
        <v>480</v>
      </c>
      <c r="J146" s="19">
        <v>98</v>
      </c>
      <c r="K146" s="20" t="s">
        <v>1217</v>
      </c>
      <c r="L146" s="49" t="s">
        <v>1546</v>
      </c>
      <c r="M146" s="38" t="s">
        <v>525</v>
      </c>
      <c r="N146" s="174">
        <v>43586</v>
      </c>
      <c r="O146" s="38" t="s">
        <v>1546</v>
      </c>
      <c r="P146" s="38" t="s">
        <v>17</v>
      </c>
      <c r="Q146" s="38" t="s">
        <v>17</v>
      </c>
      <c r="R146" s="151" t="s">
        <v>1549</v>
      </c>
      <c r="S146" s="39" t="s">
        <v>11</v>
      </c>
      <c r="T146" s="39" t="s">
        <v>11</v>
      </c>
      <c r="U146" s="37">
        <v>15</v>
      </c>
      <c r="V146" s="153"/>
      <c r="W146" s="153"/>
      <c r="X146" s="153">
        <v>580</v>
      </c>
      <c r="Y146" s="153">
        <v>650</v>
      </c>
      <c r="Z146" s="153">
        <v>780</v>
      </c>
      <c r="AA146" s="40">
        <v>3.6</v>
      </c>
      <c r="AB146" s="40">
        <v>7.2</v>
      </c>
      <c r="AC146" s="40">
        <v>10.799999999999999</v>
      </c>
      <c r="AD146" s="40">
        <v>18</v>
      </c>
      <c r="AE146" s="40">
        <v>27</v>
      </c>
      <c r="AF146" s="40">
        <v>36</v>
      </c>
      <c r="AG146" s="40">
        <v>97.355578045132162</v>
      </c>
      <c r="AH146" s="40">
        <v>98.146917292221246</v>
      </c>
      <c r="AI146" s="40">
        <v>98.113242472029853</v>
      </c>
      <c r="AJ146" s="40">
        <v>98.345701137831327</v>
      </c>
      <c r="AK146" s="40">
        <v>98.021452704297786</v>
      </c>
      <c r="AL146" s="40">
        <v>98.148305437610048</v>
      </c>
      <c r="AM146" s="40">
        <v>98.086540527162839</v>
      </c>
      <c r="AN146" s="40">
        <v>97.654488278356141</v>
      </c>
      <c r="AO146" s="40">
        <v>98.316398063259214</v>
      </c>
      <c r="AP146" s="40">
        <v>98.259121423086086</v>
      </c>
      <c r="AQ146" s="40">
        <v>98.438016064841605</v>
      </c>
      <c r="AR146" s="40">
        <v>98.34302453004014</v>
      </c>
      <c r="AS146" s="40">
        <v>98.1379196196186</v>
      </c>
      <c r="AT146" s="40">
        <v>98.313776360586488</v>
      </c>
      <c r="AU146" s="40">
        <v>97.362390657069383</v>
      </c>
      <c r="AV146" s="40">
        <v>98.153961833334407</v>
      </c>
      <c r="AW146" s="40">
        <v>98.213796105992046</v>
      </c>
      <c r="AX146" s="40">
        <v>98.374901951968553</v>
      </c>
      <c r="AY146" s="40">
        <v>98.171535410091963</v>
      </c>
      <c r="AZ146" s="40">
        <v>98.075769292291866</v>
      </c>
      <c r="BA146" s="40">
        <v>98.18128089254526</v>
      </c>
      <c r="BB146" s="178">
        <v>43586</v>
      </c>
      <c r="BC146" s="178"/>
    </row>
    <row r="147" spans="1:55" s="44" customFormat="1" ht="45">
      <c r="A147" s="140" t="s">
        <v>208</v>
      </c>
      <c r="B147" s="18" t="s">
        <v>836</v>
      </c>
      <c r="C147" s="23" t="s">
        <v>10</v>
      </c>
      <c r="D147" s="23" t="s">
        <v>10</v>
      </c>
      <c r="E147" s="23" t="s">
        <v>10</v>
      </c>
      <c r="F147" s="23" t="s">
        <v>11</v>
      </c>
      <c r="G147" s="147" t="s">
        <v>535</v>
      </c>
      <c r="H147" s="19">
        <v>40</v>
      </c>
      <c r="I147" s="19">
        <v>480</v>
      </c>
      <c r="J147" s="19">
        <v>98.5</v>
      </c>
      <c r="K147" s="21" t="s">
        <v>1217</v>
      </c>
      <c r="L147" s="49" t="s">
        <v>527</v>
      </c>
      <c r="M147" s="21" t="s">
        <v>525</v>
      </c>
      <c r="N147" s="174">
        <v>43405</v>
      </c>
      <c r="O147" s="49" t="s">
        <v>527</v>
      </c>
      <c r="P147" s="23" t="s">
        <v>17</v>
      </c>
      <c r="Q147" s="23" t="s">
        <v>17</v>
      </c>
      <c r="R147" s="150" t="s">
        <v>536</v>
      </c>
      <c r="S147" s="20" t="s">
        <v>11</v>
      </c>
      <c r="T147" s="20" t="s">
        <v>11</v>
      </c>
      <c r="U147" s="19">
        <v>1</v>
      </c>
      <c r="V147" s="19"/>
      <c r="W147" s="19"/>
      <c r="X147" s="19">
        <v>580</v>
      </c>
      <c r="Y147" s="19">
        <v>650</v>
      </c>
      <c r="Z147" s="19">
        <v>780</v>
      </c>
      <c r="AA147" s="40">
        <v>4</v>
      </c>
      <c r="AB147" s="40">
        <v>8</v>
      </c>
      <c r="AC147" s="40">
        <v>12</v>
      </c>
      <c r="AD147" s="40">
        <v>20</v>
      </c>
      <c r="AE147" s="40">
        <v>30</v>
      </c>
      <c r="AF147" s="40">
        <v>40</v>
      </c>
      <c r="AG147" s="40">
        <v>97.5</v>
      </c>
      <c r="AH147" s="40">
        <v>98</v>
      </c>
      <c r="AI147" s="40">
        <v>98.1</v>
      </c>
      <c r="AJ147" s="40">
        <v>98.2</v>
      </c>
      <c r="AK147" s="40">
        <v>98.1</v>
      </c>
      <c r="AL147" s="40">
        <v>97.7</v>
      </c>
      <c r="AM147" s="40">
        <v>98.1</v>
      </c>
      <c r="AN147" s="40">
        <v>97.8</v>
      </c>
      <c r="AO147" s="40">
        <v>98.3</v>
      </c>
      <c r="AP147" s="40">
        <v>98.4</v>
      </c>
      <c r="AQ147" s="40">
        <v>98.6</v>
      </c>
      <c r="AR147" s="40">
        <v>98.5</v>
      </c>
      <c r="AS147" s="40">
        <v>98.3</v>
      </c>
      <c r="AT147" s="40">
        <v>98.5</v>
      </c>
      <c r="AU147" s="40">
        <v>97.6</v>
      </c>
      <c r="AV147" s="40">
        <v>98.1</v>
      </c>
      <c r="AW147" s="40">
        <v>98.2</v>
      </c>
      <c r="AX147" s="40">
        <v>98.4</v>
      </c>
      <c r="AY147" s="40">
        <v>98.3</v>
      </c>
      <c r="AZ147" s="40">
        <v>98</v>
      </c>
      <c r="BA147" s="40">
        <v>98.3</v>
      </c>
      <c r="BB147" s="174">
        <v>43146</v>
      </c>
      <c r="BC147" s="174">
        <v>43784</v>
      </c>
    </row>
    <row r="148" spans="1:55" s="44" customFormat="1" ht="45">
      <c r="A148" s="18" t="s">
        <v>208</v>
      </c>
      <c r="B148" s="18" t="s">
        <v>1610</v>
      </c>
      <c r="C148" s="23" t="s">
        <v>10</v>
      </c>
      <c r="D148" s="23" t="s">
        <v>10</v>
      </c>
      <c r="E148" s="23" t="s">
        <v>10</v>
      </c>
      <c r="F148" s="23" t="s">
        <v>11</v>
      </c>
      <c r="G148" s="18" t="s">
        <v>1604</v>
      </c>
      <c r="H148" s="19">
        <v>40</v>
      </c>
      <c r="I148" s="37">
        <v>480</v>
      </c>
      <c r="J148" s="19">
        <v>98.5</v>
      </c>
      <c r="K148" s="20" t="s">
        <v>1217</v>
      </c>
      <c r="L148" s="49" t="s">
        <v>1546</v>
      </c>
      <c r="M148" s="38" t="s">
        <v>525</v>
      </c>
      <c r="N148" s="174">
        <v>43600</v>
      </c>
      <c r="O148" s="38" t="s">
        <v>1546</v>
      </c>
      <c r="P148" s="38" t="s">
        <v>17</v>
      </c>
      <c r="Q148" s="38" t="s">
        <v>17</v>
      </c>
      <c r="R148" s="151" t="s">
        <v>1759</v>
      </c>
      <c r="S148" s="39" t="s">
        <v>11</v>
      </c>
      <c r="T148" s="39" t="s">
        <v>11</v>
      </c>
      <c r="U148" s="153">
        <v>1</v>
      </c>
      <c r="V148" s="153"/>
      <c r="W148" s="153"/>
      <c r="X148" s="153">
        <v>580</v>
      </c>
      <c r="Y148" s="153">
        <v>650</v>
      </c>
      <c r="Z148" s="153">
        <v>780</v>
      </c>
      <c r="AA148" s="40">
        <v>4</v>
      </c>
      <c r="AB148" s="40">
        <v>8</v>
      </c>
      <c r="AC148" s="40">
        <v>12</v>
      </c>
      <c r="AD148" s="40">
        <v>20</v>
      </c>
      <c r="AE148" s="40">
        <v>30</v>
      </c>
      <c r="AF148" s="40">
        <v>40</v>
      </c>
      <c r="AG148" s="40">
        <v>97.470025307598263</v>
      </c>
      <c r="AH148" s="40">
        <v>98.006823686121322</v>
      </c>
      <c r="AI148" s="40">
        <v>98.057428071819388</v>
      </c>
      <c r="AJ148" s="40">
        <v>98.197211562051521</v>
      </c>
      <c r="AK148" s="40">
        <v>98.113980664562945</v>
      </c>
      <c r="AL148" s="40">
        <v>98.029180485035397</v>
      </c>
      <c r="AM148" s="40">
        <v>98.089316769729265</v>
      </c>
      <c r="AN148" s="40">
        <v>97.925867299237069</v>
      </c>
      <c r="AO148" s="40">
        <v>98.308888937177215</v>
      </c>
      <c r="AP148" s="40">
        <v>98.392001764941469</v>
      </c>
      <c r="AQ148" s="40">
        <v>98.714528238058236</v>
      </c>
      <c r="AR148" s="40">
        <v>98.572481627994733</v>
      </c>
      <c r="AS148" s="40">
        <v>98.34230976222382</v>
      </c>
      <c r="AT148" s="40">
        <v>98.530101031561941</v>
      </c>
      <c r="AU148" s="40">
        <v>97.582250848768538</v>
      </c>
      <c r="AV148" s="40">
        <v>98.156490052565275</v>
      </c>
      <c r="AW148" s="40">
        <v>98.193182081593463</v>
      </c>
      <c r="AX148" s="40">
        <v>98.435303308923267</v>
      </c>
      <c r="AY148" s="40">
        <v>98.348895960607109</v>
      </c>
      <c r="AZ148" s="40">
        <v>98.244441064517957</v>
      </c>
      <c r="BA148" s="40">
        <v>98.302846993591785</v>
      </c>
      <c r="BB148" s="178">
        <v>43600</v>
      </c>
      <c r="BC148" s="178"/>
    </row>
    <row r="149" spans="1:55" s="44" customFormat="1" ht="45">
      <c r="A149" s="140" t="s">
        <v>208</v>
      </c>
      <c r="B149" s="18" t="s">
        <v>837</v>
      </c>
      <c r="C149" s="23" t="s">
        <v>10</v>
      </c>
      <c r="D149" s="23" t="s">
        <v>10</v>
      </c>
      <c r="E149" s="23" t="s">
        <v>10</v>
      </c>
      <c r="F149" s="23" t="s">
        <v>11</v>
      </c>
      <c r="G149" s="147" t="s">
        <v>533</v>
      </c>
      <c r="H149" s="19">
        <v>40</v>
      </c>
      <c r="I149" s="19">
        <v>480</v>
      </c>
      <c r="J149" s="19">
        <v>98.5</v>
      </c>
      <c r="K149" s="21" t="s">
        <v>1217</v>
      </c>
      <c r="L149" s="49" t="s">
        <v>527</v>
      </c>
      <c r="M149" s="21" t="s">
        <v>525</v>
      </c>
      <c r="N149" s="174">
        <v>43405</v>
      </c>
      <c r="O149" s="49" t="s">
        <v>527</v>
      </c>
      <c r="P149" s="23" t="s">
        <v>17</v>
      </c>
      <c r="Q149" s="23" t="s">
        <v>17</v>
      </c>
      <c r="R149" s="150" t="s">
        <v>534</v>
      </c>
      <c r="S149" s="20" t="s">
        <v>11</v>
      </c>
      <c r="T149" s="20" t="s">
        <v>11</v>
      </c>
      <c r="U149" s="19">
        <v>1</v>
      </c>
      <c r="V149" s="19"/>
      <c r="W149" s="19"/>
      <c r="X149" s="19">
        <v>580</v>
      </c>
      <c r="Y149" s="19">
        <v>650</v>
      </c>
      <c r="Z149" s="19">
        <v>780</v>
      </c>
      <c r="AA149" s="40">
        <v>4</v>
      </c>
      <c r="AB149" s="40">
        <v>8</v>
      </c>
      <c r="AC149" s="40">
        <v>12</v>
      </c>
      <c r="AD149" s="40">
        <v>20</v>
      </c>
      <c r="AE149" s="40">
        <v>30</v>
      </c>
      <c r="AF149" s="40">
        <v>40</v>
      </c>
      <c r="AG149" s="40">
        <v>97.5</v>
      </c>
      <c r="AH149" s="40">
        <v>98</v>
      </c>
      <c r="AI149" s="40">
        <v>98.1</v>
      </c>
      <c r="AJ149" s="40">
        <v>98.2</v>
      </c>
      <c r="AK149" s="40">
        <v>98.1</v>
      </c>
      <c r="AL149" s="40">
        <v>98</v>
      </c>
      <c r="AM149" s="40">
        <v>98.1</v>
      </c>
      <c r="AN149" s="40">
        <v>97.9</v>
      </c>
      <c r="AO149" s="40">
        <v>98.3</v>
      </c>
      <c r="AP149" s="40">
        <v>98.4</v>
      </c>
      <c r="AQ149" s="40">
        <v>98.7</v>
      </c>
      <c r="AR149" s="40">
        <v>98.6</v>
      </c>
      <c r="AS149" s="40">
        <v>98.3</v>
      </c>
      <c r="AT149" s="40">
        <v>98.5</v>
      </c>
      <c r="AU149" s="40">
        <v>97.6</v>
      </c>
      <c r="AV149" s="40">
        <v>98.2</v>
      </c>
      <c r="AW149" s="40">
        <v>98.2</v>
      </c>
      <c r="AX149" s="40">
        <v>98.4</v>
      </c>
      <c r="AY149" s="40">
        <v>98.3</v>
      </c>
      <c r="AZ149" s="40">
        <v>98.2</v>
      </c>
      <c r="BA149" s="40">
        <v>98.3</v>
      </c>
      <c r="BB149" s="174">
        <v>43146</v>
      </c>
      <c r="BC149" s="174">
        <v>43784</v>
      </c>
    </row>
    <row r="150" spans="1:55" s="44" customFormat="1" ht="45">
      <c r="A150" s="18" t="s">
        <v>208</v>
      </c>
      <c r="B150" s="18" t="s">
        <v>1564</v>
      </c>
      <c r="C150" s="23" t="s">
        <v>10</v>
      </c>
      <c r="D150" s="23" t="s">
        <v>10</v>
      </c>
      <c r="E150" s="23" t="s">
        <v>10</v>
      </c>
      <c r="F150" s="23" t="s">
        <v>11</v>
      </c>
      <c r="G150" s="18" t="s">
        <v>1340</v>
      </c>
      <c r="H150" s="19">
        <v>40</v>
      </c>
      <c r="I150" s="37">
        <v>480</v>
      </c>
      <c r="J150" s="19">
        <v>98.5</v>
      </c>
      <c r="K150" s="20" t="s">
        <v>1217</v>
      </c>
      <c r="L150" s="49" t="s">
        <v>1546</v>
      </c>
      <c r="M150" s="38" t="s">
        <v>525</v>
      </c>
      <c r="N150" s="174">
        <v>43586</v>
      </c>
      <c r="O150" s="38" t="s">
        <v>1546</v>
      </c>
      <c r="P150" s="38" t="s">
        <v>17</v>
      </c>
      <c r="Q150" s="38" t="s">
        <v>17</v>
      </c>
      <c r="R150" s="151" t="s">
        <v>1550</v>
      </c>
      <c r="S150" s="39" t="s">
        <v>11</v>
      </c>
      <c r="T150" s="39" t="s">
        <v>11</v>
      </c>
      <c r="U150" s="37">
        <v>1</v>
      </c>
      <c r="V150" s="153"/>
      <c r="W150" s="153"/>
      <c r="X150" s="153">
        <v>580</v>
      </c>
      <c r="Y150" s="153">
        <v>650</v>
      </c>
      <c r="Z150" s="153">
        <v>780</v>
      </c>
      <c r="AA150" s="40">
        <v>4</v>
      </c>
      <c r="AB150" s="40">
        <v>8</v>
      </c>
      <c r="AC150" s="40">
        <v>12</v>
      </c>
      <c r="AD150" s="40">
        <v>20</v>
      </c>
      <c r="AE150" s="40">
        <v>30</v>
      </c>
      <c r="AF150" s="40">
        <v>40</v>
      </c>
      <c r="AG150" s="40">
        <v>97.47774059338056</v>
      </c>
      <c r="AH150" s="40">
        <v>98.003904274929724</v>
      </c>
      <c r="AI150" s="40">
        <v>98.056390714442401</v>
      </c>
      <c r="AJ150" s="40">
        <v>98.19522213581763</v>
      </c>
      <c r="AK150" s="40">
        <v>98.12583970822547</v>
      </c>
      <c r="AL150" s="40">
        <v>98.027356845132402</v>
      </c>
      <c r="AM150" s="40">
        <v>98.095131259352613</v>
      </c>
      <c r="AN150" s="40">
        <v>97.924650523872657</v>
      </c>
      <c r="AO150" s="40">
        <v>98.310478358411089</v>
      </c>
      <c r="AP150" s="40">
        <v>98.400182583606565</v>
      </c>
      <c r="AQ150" s="40">
        <v>98.72105900754346</v>
      </c>
      <c r="AR150" s="40">
        <v>98.578524443130533</v>
      </c>
      <c r="AS150" s="40">
        <v>98.342023806171653</v>
      </c>
      <c r="AT150" s="40">
        <v>98.535673385660147</v>
      </c>
      <c r="AU150" s="40">
        <v>97.576353190610263</v>
      </c>
      <c r="AV150" s="40">
        <v>98.150441636686395</v>
      </c>
      <c r="AW150" s="40">
        <v>98.179486696378575</v>
      </c>
      <c r="AX150" s="40">
        <v>98.433666102320259</v>
      </c>
      <c r="AY150" s="40">
        <v>98.342812395871789</v>
      </c>
      <c r="AZ150" s="40">
        <v>98.244022499188716</v>
      </c>
      <c r="BA150" s="40">
        <v>98.297076189282905</v>
      </c>
      <c r="BB150" s="178">
        <v>43586</v>
      </c>
      <c r="BC150" s="178"/>
    </row>
    <row r="151" spans="1:55" s="44" customFormat="1" ht="60">
      <c r="A151" s="18" t="s">
        <v>208</v>
      </c>
      <c r="B151" s="18" t="s">
        <v>353</v>
      </c>
      <c r="C151" s="39" t="s">
        <v>10</v>
      </c>
      <c r="D151" s="39" t="s">
        <v>10</v>
      </c>
      <c r="E151" s="23" t="s">
        <v>11</v>
      </c>
      <c r="F151" s="23" t="s">
        <v>11</v>
      </c>
      <c r="G151" s="18" t="s">
        <v>205</v>
      </c>
      <c r="H151" s="19">
        <v>50</v>
      </c>
      <c r="I151" s="19">
        <v>480</v>
      </c>
      <c r="J151" s="19">
        <v>98.5</v>
      </c>
      <c r="K151" s="21" t="s">
        <v>1216</v>
      </c>
      <c r="L151" s="49" t="s">
        <v>424</v>
      </c>
      <c r="M151" s="21" t="s">
        <v>425</v>
      </c>
      <c r="N151" s="174">
        <v>43388</v>
      </c>
      <c r="O151" s="23" t="s">
        <v>17</v>
      </c>
      <c r="P151" s="23" t="s">
        <v>17</v>
      </c>
      <c r="Q151" s="23" t="s">
        <v>17</v>
      </c>
      <c r="R151" s="150" t="s">
        <v>209</v>
      </c>
      <c r="S151" s="20" t="s">
        <v>11</v>
      </c>
      <c r="T151" s="20" t="s">
        <v>11</v>
      </c>
      <c r="U151" s="19">
        <v>0.88</v>
      </c>
      <c r="V151" s="19"/>
      <c r="W151" s="19"/>
      <c r="X151" s="19">
        <v>480</v>
      </c>
      <c r="Y151" s="19">
        <v>730</v>
      </c>
      <c r="Z151" s="19">
        <v>850</v>
      </c>
      <c r="AA151" s="40">
        <v>5</v>
      </c>
      <c r="AB151" s="40">
        <v>10</v>
      </c>
      <c r="AC151" s="40">
        <v>15</v>
      </c>
      <c r="AD151" s="40">
        <v>25</v>
      </c>
      <c r="AE151" s="40">
        <v>37.5</v>
      </c>
      <c r="AF151" s="40">
        <v>50</v>
      </c>
      <c r="AG151" s="40">
        <v>95.608866666666671</v>
      </c>
      <c r="AH151" s="40">
        <v>96.843033333333338</v>
      </c>
      <c r="AI151" s="40">
        <v>97.481599999999986</v>
      </c>
      <c r="AJ151" s="40">
        <v>97.854866666666666</v>
      </c>
      <c r="AK151" s="40">
        <v>97.832722222222202</v>
      </c>
      <c r="AL151" s="40">
        <v>97.690433333333345</v>
      </c>
      <c r="AM151" s="40">
        <v>97.649684777777765</v>
      </c>
      <c r="AN151" s="40">
        <v>98.018411111111092</v>
      </c>
      <c r="AO151" s="40">
        <v>98.627466666666663</v>
      </c>
      <c r="AP151" s="40">
        <v>98.774899999999988</v>
      </c>
      <c r="AQ151" s="40">
        <v>98.802266666666668</v>
      </c>
      <c r="AR151" s="40">
        <v>98.719577777777744</v>
      </c>
      <c r="AS151" s="40">
        <v>98.610844444444439</v>
      </c>
      <c r="AT151" s="40">
        <v>98.705492222222205</v>
      </c>
      <c r="AU151" s="40">
        <v>97.733900000000006</v>
      </c>
      <c r="AV151" s="40">
        <v>98.458566666666655</v>
      </c>
      <c r="AW151" s="40">
        <v>98.622255555555569</v>
      </c>
      <c r="AX151" s="40">
        <v>98.659377777777792</v>
      </c>
      <c r="AY151" s="40">
        <v>98.586888888888865</v>
      </c>
      <c r="AZ151" s="40">
        <v>98.469777777777765</v>
      </c>
      <c r="BA151" s="40">
        <v>98.559964333333326</v>
      </c>
      <c r="BB151" s="174">
        <v>43009</v>
      </c>
      <c r="BC151" s="174">
        <v>43405</v>
      </c>
    </row>
    <row r="152" spans="1:55" s="44" customFormat="1" ht="45">
      <c r="A152" s="18" t="s">
        <v>208</v>
      </c>
      <c r="B152" s="140" t="s">
        <v>838</v>
      </c>
      <c r="C152" s="26" t="s">
        <v>10</v>
      </c>
      <c r="D152" s="23" t="s">
        <v>10</v>
      </c>
      <c r="E152" s="23" t="s">
        <v>10</v>
      </c>
      <c r="F152" s="23" t="s">
        <v>11</v>
      </c>
      <c r="G152" s="140" t="s">
        <v>488</v>
      </c>
      <c r="H152" s="132">
        <v>50</v>
      </c>
      <c r="I152" s="129">
        <v>480</v>
      </c>
      <c r="J152" s="137">
        <v>98.5</v>
      </c>
      <c r="K152" s="21" t="s">
        <v>1217</v>
      </c>
      <c r="L152" s="130" t="s">
        <v>494</v>
      </c>
      <c r="M152" s="26" t="s">
        <v>487</v>
      </c>
      <c r="N152" s="174">
        <v>43405</v>
      </c>
      <c r="O152" s="130" t="s">
        <v>494</v>
      </c>
      <c r="P152" s="23" t="s">
        <v>17</v>
      </c>
      <c r="Q152" s="23" t="s">
        <v>17</v>
      </c>
      <c r="R152" s="152" t="s">
        <v>1760</v>
      </c>
      <c r="S152" s="131" t="s">
        <v>11</v>
      </c>
      <c r="T152" s="131" t="s">
        <v>11</v>
      </c>
      <c r="U152" s="132">
        <v>1</v>
      </c>
      <c r="V152" s="133"/>
      <c r="W152" s="133"/>
      <c r="X152" s="133">
        <v>580</v>
      </c>
      <c r="Y152" s="133">
        <v>650</v>
      </c>
      <c r="Z152" s="133">
        <v>720</v>
      </c>
      <c r="AA152" s="134">
        <v>5</v>
      </c>
      <c r="AB152" s="134">
        <v>10</v>
      </c>
      <c r="AC152" s="134">
        <v>15</v>
      </c>
      <c r="AD152" s="134">
        <v>25</v>
      </c>
      <c r="AE152" s="134">
        <v>37.5</v>
      </c>
      <c r="AF152" s="134">
        <v>50</v>
      </c>
      <c r="AG152" s="134">
        <v>97.7</v>
      </c>
      <c r="AH152" s="134">
        <v>98.4</v>
      </c>
      <c r="AI152" s="134">
        <v>98.5</v>
      </c>
      <c r="AJ152" s="134">
        <v>98.6</v>
      </c>
      <c r="AK152" s="134">
        <v>98.5</v>
      </c>
      <c r="AL152" s="134">
        <v>98.4</v>
      </c>
      <c r="AM152" s="134">
        <v>98.4</v>
      </c>
      <c r="AN152" s="134">
        <v>97.8</v>
      </c>
      <c r="AO152" s="134">
        <v>98.5</v>
      </c>
      <c r="AP152" s="134">
        <v>98.6</v>
      </c>
      <c r="AQ152" s="134">
        <v>98.7</v>
      </c>
      <c r="AR152" s="134">
        <v>98.5</v>
      </c>
      <c r="AS152" s="134">
        <v>98.4</v>
      </c>
      <c r="AT152" s="134">
        <v>98.5</v>
      </c>
      <c r="AU152" s="134">
        <v>97.9</v>
      </c>
      <c r="AV152" s="134">
        <v>98.6</v>
      </c>
      <c r="AW152" s="134">
        <v>98.7</v>
      </c>
      <c r="AX152" s="134">
        <v>98.8</v>
      </c>
      <c r="AY152" s="134">
        <v>98.6</v>
      </c>
      <c r="AZ152" s="134">
        <v>98.5</v>
      </c>
      <c r="BA152" s="134">
        <v>98.6</v>
      </c>
      <c r="BB152" s="174">
        <v>43132</v>
      </c>
      <c r="BC152" s="174">
        <v>43784</v>
      </c>
    </row>
    <row r="153" spans="1:55" s="44" customFormat="1" ht="45">
      <c r="A153" s="18" t="s">
        <v>208</v>
      </c>
      <c r="B153" s="140" t="s">
        <v>842</v>
      </c>
      <c r="C153" s="26" t="s">
        <v>10</v>
      </c>
      <c r="D153" s="23" t="s">
        <v>10</v>
      </c>
      <c r="E153" s="23" t="s">
        <v>10</v>
      </c>
      <c r="F153" s="23" t="s">
        <v>11</v>
      </c>
      <c r="G153" s="140" t="s">
        <v>495</v>
      </c>
      <c r="H153" s="132">
        <v>50</v>
      </c>
      <c r="I153" s="129">
        <v>480</v>
      </c>
      <c r="J153" s="137">
        <v>98.5</v>
      </c>
      <c r="K153" s="21" t="s">
        <v>1217</v>
      </c>
      <c r="L153" s="130" t="s">
        <v>494</v>
      </c>
      <c r="M153" s="26" t="s">
        <v>487</v>
      </c>
      <c r="N153" s="174">
        <v>43405</v>
      </c>
      <c r="O153" s="130" t="s">
        <v>494</v>
      </c>
      <c r="P153" s="23" t="s">
        <v>17</v>
      </c>
      <c r="Q153" s="23" t="s">
        <v>17</v>
      </c>
      <c r="R153" s="152" t="s">
        <v>1761</v>
      </c>
      <c r="S153" s="131" t="s">
        <v>11</v>
      </c>
      <c r="T153" s="131" t="s">
        <v>11</v>
      </c>
      <c r="U153" s="132">
        <v>1</v>
      </c>
      <c r="V153" s="133"/>
      <c r="W153" s="133"/>
      <c r="X153" s="133">
        <v>580</v>
      </c>
      <c r="Y153" s="133">
        <v>650</v>
      </c>
      <c r="Z153" s="133">
        <v>720</v>
      </c>
      <c r="AA153" s="134">
        <v>5</v>
      </c>
      <c r="AB153" s="134">
        <v>10</v>
      </c>
      <c r="AC153" s="134">
        <v>15</v>
      </c>
      <c r="AD153" s="134">
        <v>25</v>
      </c>
      <c r="AE153" s="134">
        <v>37.5</v>
      </c>
      <c r="AF153" s="134">
        <v>50</v>
      </c>
      <c r="AG153" s="134">
        <v>97.73621</v>
      </c>
      <c r="AH153" s="134">
        <v>98.444220000000001</v>
      </c>
      <c r="AI153" s="134">
        <v>98.455920000000006</v>
      </c>
      <c r="AJ153" s="134">
        <v>98.582179999999994</v>
      </c>
      <c r="AK153" s="134">
        <v>98.449969999999993</v>
      </c>
      <c r="AL153" s="134">
        <v>98.347470000000001</v>
      </c>
      <c r="AM153" s="134">
        <v>98.444490000000002</v>
      </c>
      <c r="AN153" s="134">
        <v>97.798339999999996</v>
      </c>
      <c r="AO153" s="134">
        <v>98.53134</v>
      </c>
      <c r="AP153" s="134">
        <v>98.552109999999999</v>
      </c>
      <c r="AQ153" s="134">
        <v>98.700419999999994</v>
      </c>
      <c r="AR153" s="134">
        <v>98.512280000000004</v>
      </c>
      <c r="AS153" s="134">
        <v>98.395949999999999</v>
      </c>
      <c r="AT153" s="134">
        <v>98.523150000000001</v>
      </c>
      <c r="AU153" s="134">
        <v>97.876750000000001</v>
      </c>
      <c r="AV153" s="134">
        <v>98.578149999999994</v>
      </c>
      <c r="AW153" s="134">
        <v>98.650589999999994</v>
      </c>
      <c r="AX153" s="134">
        <v>98.759609999999995</v>
      </c>
      <c r="AY153" s="134">
        <v>98.567750000000004</v>
      </c>
      <c r="AZ153" s="134">
        <v>98.464439999999996</v>
      </c>
      <c r="BA153" s="134">
        <v>98.585700000000003</v>
      </c>
      <c r="BB153" s="174">
        <v>43132</v>
      </c>
      <c r="BC153" s="174">
        <v>43784</v>
      </c>
    </row>
    <row r="154" spans="1:55" s="44" customFormat="1" ht="45">
      <c r="A154" s="18" t="s">
        <v>208</v>
      </c>
      <c r="B154" s="140" t="s">
        <v>839</v>
      </c>
      <c r="C154" s="26" t="s">
        <v>10</v>
      </c>
      <c r="D154" s="23" t="s">
        <v>10</v>
      </c>
      <c r="E154" s="23" t="s">
        <v>10</v>
      </c>
      <c r="F154" s="23" t="s">
        <v>11</v>
      </c>
      <c r="G154" s="140" t="s">
        <v>485</v>
      </c>
      <c r="H154" s="132">
        <v>50</v>
      </c>
      <c r="I154" s="129">
        <v>480</v>
      </c>
      <c r="J154" s="137">
        <v>98.5</v>
      </c>
      <c r="K154" s="21" t="s">
        <v>1217</v>
      </c>
      <c r="L154" s="130" t="s">
        <v>494</v>
      </c>
      <c r="M154" s="26" t="s">
        <v>487</v>
      </c>
      <c r="N154" s="174">
        <v>43405</v>
      </c>
      <c r="O154" s="130" t="s">
        <v>494</v>
      </c>
      <c r="P154" s="23" t="s">
        <v>17</v>
      </c>
      <c r="Q154" s="23" t="s">
        <v>17</v>
      </c>
      <c r="R154" s="152" t="s">
        <v>1763</v>
      </c>
      <c r="S154" s="131" t="s">
        <v>11</v>
      </c>
      <c r="T154" s="131" t="s">
        <v>11</v>
      </c>
      <c r="U154" s="132">
        <v>1</v>
      </c>
      <c r="V154" s="133"/>
      <c r="W154" s="133"/>
      <c r="X154" s="133">
        <v>580</v>
      </c>
      <c r="Y154" s="133">
        <v>650</v>
      </c>
      <c r="Z154" s="133">
        <v>720</v>
      </c>
      <c r="AA154" s="134">
        <v>5</v>
      </c>
      <c r="AB154" s="134">
        <v>10</v>
      </c>
      <c r="AC154" s="134">
        <v>15</v>
      </c>
      <c r="AD154" s="134">
        <v>25</v>
      </c>
      <c r="AE154" s="134">
        <v>37.5</v>
      </c>
      <c r="AF154" s="134">
        <v>50</v>
      </c>
      <c r="AG154" s="134">
        <v>97.5</v>
      </c>
      <c r="AH154" s="134">
        <v>98.5</v>
      </c>
      <c r="AI154" s="134">
        <v>98.4</v>
      </c>
      <c r="AJ154" s="134">
        <v>98.6</v>
      </c>
      <c r="AK154" s="134">
        <v>98.3</v>
      </c>
      <c r="AL154" s="134">
        <v>98.5</v>
      </c>
      <c r="AM154" s="134">
        <v>98.4</v>
      </c>
      <c r="AN154" s="134">
        <v>97.8</v>
      </c>
      <c r="AO154" s="134">
        <v>98.6</v>
      </c>
      <c r="AP154" s="134">
        <v>98.5</v>
      </c>
      <c r="AQ154" s="134">
        <v>98.7</v>
      </c>
      <c r="AR154" s="134">
        <v>98.4</v>
      </c>
      <c r="AS154" s="134">
        <v>98.5</v>
      </c>
      <c r="AT154" s="134">
        <v>98.5</v>
      </c>
      <c r="AU154" s="134">
        <v>98</v>
      </c>
      <c r="AV154" s="134">
        <v>98.7</v>
      </c>
      <c r="AW154" s="134">
        <v>98.8</v>
      </c>
      <c r="AX154" s="134">
        <v>98.8</v>
      </c>
      <c r="AY154" s="134">
        <v>98.6</v>
      </c>
      <c r="AZ154" s="134">
        <v>98.5</v>
      </c>
      <c r="BA154" s="134">
        <v>98.6</v>
      </c>
      <c r="BB154" s="174">
        <v>43132</v>
      </c>
      <c r="BC154" s="174">
        <v>43784</v>
      </c>
    </row>
    <row r="155" spans="1:55" s="44" customFormat="1" ht="45">
      <c r="A155" s="18" t="s">
        <v>208</v>
      </c>
      <c r="B155" s="140" t="s">
        <v>843</v>
      </c>
      <c r="C155" s="26" t="s">
        <v>10</v>
      </c>
      <c r="D155" s="23" t="s">
        <v>10</v>
      </c>
      <c r="E155" s="23" t="s">
        <v>10</v>
      </c>
      <c r="F155" s="23" t="s">
        <v>11</v>
      </c>
      <c r="G155" s="140" t="s">
        <v>493</v>
      </c>
      <c r="H155" s="132">
        <v>50</v>
      </c>
      <c r="I155" s="129">
        <v>480</v>
      </c>
      <c r="J155" s="137">
        <v>98.5</v>
      </c>
      <c r="K155" s="21" t="s">
        <v>1217</v>
      </c>
      <c r="L155" s="130" t="s">
        <v>494</v>
      </c>
      <c r="M155" s="26" t="s">
        <v>487</v>
      </c>
      <c r="N155" s="174">
        <v>43405</v>
      </c>
      <c r="O155" s="130" t="s">
        <v>494</v>
      </c>
      <c r="P155" s="23" t="s">
        <v>17</v>
      </c>
      <c r="Q155" s="23" t="s">
        <v>17</v>
      </c>
      <c r="R155" s="152" t="s">
        <v>1762</v>
      </c>
      <c r="S155" s="131" t="s">
        <v>11</v>
      </c>
      <c r="T155" s="131" t="s">
        <v>11</v>
      </c>
      <c r="U155" s="132">
        <v>1</v>
      </c>
      <c r="V155" s="133"/>
      <c r="W155" s="133"/>
      <c r="X155" s="133">
        <v>580</v>
      </c>
      <c r="Y155" s="133">
        <v>650</v>
      </c>
      <c r="Z155" s="133">
        <v>720</v>
      </c>
      <c r="AA155" s="134">
        <v>5</v>
      </c>
      <c r="AB155" s="134">
        <v>10</v>
      </c>
      <c r="AC155" s="134">
        <v>15</v>
      </c>
      <c r="AD155" s="134">
        <v>25</v>
      </c>
      <c r="AE155" s="134">
        <v>37.5</v>
      </c>
      <c r="AF155" s="134">
        <v>50</v>
      </c>
      <c r="AG155" s="134">
        <v>97.516660000000002</v>
      </c>
      <c r="AH155" s="134">
        <v>98.527910000000006</v>
      </c>
      <c r="AI155" s="134">
        <v>98.440969999999993</v>
      </c>
      <c r="AJ155" s="134">
        <v>98.556190000000001</v>
      </c>
      <c r="AK155" s="134">
        <v>98.322069999999997</v>
      </c>
      <c r="AL155" s="134">
        <v>98.44641</v>
      </c>
      <c r="AM155" s="134">
        <v>98.369799999999998</v>
      </c>
      <c r="AN155" s="134">
        <v>97.746949999999998</v>
      </c>
      <c r="AO155" s="134">
        <v>98.550470000000004</v>
      </c>
      <c r="AP155" s="134">
        <v>98.522189999999995</v>
      </c>
      <c r="AQ155" s="134">
        <v>98.653930000000003</v>
      </c>
      <c r="AR155" s="134">
        <v>98.433809999999994</v>
      </c>
      <c r="AS155" s="134">
        <v>98.488839999999996</v>
      </c>
      <c r="AT155" s="134">
        <v>98.47175</v>
      </c>
      <c r="AU155" s="134">
        <v>97.980519999999999</v>
      </c>
      <c r="AV155" s="134">
        <v>98.699969999999993</v>
      </c>
      <c r="AW155" s="134">
        <v>98.804749999999999</v>
      </c>
      <c r="AX155" s="134">
        <v>98.791889999999995</v>
      </c>
      <c r="AY155" s="134">
        <v>98.567930000000004</v>
      </c>
      <c r="AZ155" s="134">
        <v>98.500640000000004</v>
      </c>
      <c r="BA155" s="134">
        <v>98.62312</v>
      </c>
      <c r="BB155" s="174">
        <v>43132</v>
      </c>
      <c r="BC155" s="174">
        <v>43784</v>
      </c>
    </row>
    <row r="156" spans="1:55" s="44" customFormat="1" ht="60">
      <c r="A156" s="18" t="s">
        <v>208</v>
      </c>
      <c r="B156" s="18" t="s">
        <v>354</v>
      </c>
      <c r="C156" s="39" t="s">
        <v>10</v>
      </c>
      <c r="D156" s="39" t="s">
        <v>10</v>
      </c>
      <c r="E156" s="23" t="s">
        <v>11</v>
      </c>
      <c r="F156" s="23" t="s">
        <v>11</v>
      </c>
      <c r="G156" s="18" t="s">
        <v>206</v>
      </c>
      <c r="H156" s="19">
        <v>60</v>
      </c>
      <c r="I156" s="19">
        <v>480</v>
      </c>
      <c r="J156" s="19">
        <v>98.5</v>
      </c>
      <c r="K156" s="21" t="s">
        <v>1216</v>
      </c>
      <c r="L156" s="49" t="s">
        <v>424</v>
      </c>
      <c r="M156" s="21" t="s">
        <v>425</v>
      </c>
      <c r="N156" s="174">
        <v>43388</v>
      </c>
      <c r="O156" s="23" t="s">
        <v>17</v>
      </c>
      <c r="P156" s="23" t="s">
        <v>17</v>
      </c>
      <c r="Q156" s="23" t="s">
        <v>17</v>
      </c>
      <c r="R156" s="150" t="s">
        <v>210</v>
      </c>
      <c r="S156" s="20" t="s">
        <v>11</v>
      </c>
      <c r="T156" s="20" t="s">
        <v>11</v>
      </c>
      <c r="U156" s="19">
        <v>0.88</v>
      </c>
      <c r="V156" s="19"/>
      <c r="W156" s="19"/>
      <c r="X156" s="19">
        <v>540</v>
      </c>
      <c r="Y156" s="19">
        <v>730</v>
      </c>
      <c r="Z156" s="19">
        <v>850</v>
      </c>
      <c r="AA156" s="40">
        <v>6</v>
      </c>
      <c r="AB156" s="40">
        <v>12</v>
      </c>
      <c r="AC156" s="40">
        <v>18</v>
      </c>
      <c r="AD156" s="40">
        <v>30</v>
      </c>
      <c r="AE156" s="40">
        <v>45</v>
      </c>
      <c r="AF156" s="40">
        <v>60</v>
      </c>
      <c r="AG156" s="40">
        <v>96.510377777777791</v>
      </c>
      <c r="AH156" s="40">
        <v>97.476077777777775</v>
      </c>
      <c r="AI156" s="40">
        <v>97.885233333333332</v>
      </c>
      <c r="AJ156" s="40">
        <v>98.052477777777781</v>
      </c>
      <c r="AK156" s="40">
        <v>97.943411111111089</v>
      </c>
      <c r="AL156" s="40">
        <v>97.727133333333313</v>
      </c>
      <c r="AM156" s="40">
        <v>97.867831888888873</v>
      </c>
      <c r="AN156" s="40">
        <v>98.222722222222217</v>
      </c>
      <c r="AO156" s="40">
        <v>98.711588888888883</v>
      </c>
      <c r="AP156" s="40">
        <v>98.791055555555559</v>
      </c>
      <c r="AQ156" s="40">
        <v>98.779022222222224</v>
      </c>
      <c r="AR156" s="40">
        <v>98.654766666666688</v>
      </c>
      <c r="AS156" s="40">
        <v>98.498144444444435</v>
      </c>
      <c r="AT156" s="40">
        <v>98.674943222222225</v>
      </c>
      <c r="AU156" s="40">
        <v>98.000833333333347</v>
      </c>
      <c r="AV156" s="40">
        <v>98.550600000000003</v>
      </c>
      <c r="AW156" s="40">
        <v>98.663277777777779</v>
      </c>
      <c r="AX156" s="40">
        <v>98.658800000000014</v>
      </c>
      <c r="AY156" s="40">
        <v>98.522800000000018</v>
      </c>
      <c r="AZ156" s="40">
        <v>98.354055555555547</v>
      </c>
      <c r="BA156" s="40">
        <v>98.540291444444463</v>
      </c>
      <c r="BB156" s="174">
        <v>43009</v>
      </c>
      <c r="BC156" s="174">
        <v>43405</v>
      </c>
    </row>
    <row r="157" spans="1:55" s="44" customFormat="1" ht="45">
      <c r="A157" s="18" t="s">
        <v>208</v>
      </c>
      <c r="B157" s="140" t="s">
        <v>840</v>
      </c>
      <c r="C157" s="26" t="s">
        <v>10</v>
      </c>
      <c r="D157" s="23" t="s">
        <v>10</v>
      </c>
      <c r="E157" s="23" t="s">
        <v>10</v>
      </c>
      <c r="F157" s="23" t="s">
        <v>11</v>
      </c>
      <c r="G157" s="140" t="s">
        <v>489</v>
      </c>
      <c r="H157" s="132">
        <v>60</v>
      </c>
      <c r="I157" s="129">
        <v>480</v>
      </c>
      <c r="J157" s="137">
        <v>98.5</v>
      </c>
      <c r="K157" s="21" t="s">
        <v>1217</v>
      </c>
      <c r="L157" s="130" t="s">
        <v>494</v>
      </c>
      <c r="M157" s="26" t="s">
        <v>487</v>
      </c>
      <c r="N157" s="174">
        <v>43405</v>
      </c>
      <c r="O157" s="130" t="s">
        <v>494</v>
      </c>
      <c r="P157" s="23" t="s">
        <v>17</v>
      </c>
      <c r="Q157" s="23" t="s">
        <v>17</v>
      </c>
      <c r="R157" s="152" t="s">
        <v>1764</v>
      </c>
      <c r="S157" s="131" t="s">
        <v>11</v>
      </c>
      <c r="T157" s="131" t="s">
        <v>11</v>
      </c>
      <c r="U157" s="132">
        <v>1</v>
      </c>
      <c r="V157" s="133"/>
      <c r="W157" s="133"/>
      <c r="X157" s="133">
        <v>580</v>
      </c>
      <c r="Y157" s="133">
        <v>650</v>
      </c>
      <c r="Z157" s="133">
        <v>720</v>
      </c>
      <c r="AA157" s="134">
        <v>6</v>
      </c>
      <c r="AB157" s="134">
        <v>12</v>
      </c>
      <c r="AC157" s="134">
        <v>18</v>
      </c>
      <c r="AD157" s="134">
        <v>30</v>
      </c>
      <c r="AE157" s="134">
        <v>45</v>
      </c>
      <c r="AF157" s="134">
        <v>60</v>
      </c>
      <c r="AG157" s="134">
        <v>97.7</v>
      </c>
      <c r="AH157" s="134">
        <v>98.3</v>
      </c>
      <c r="AI157" s="134">
        <v>98.4</v>
      </c>
      <c r="AJ157" s="134">
        <v>98.6</v>
      </c>
      <c r="AK157" s="134">
        <v>98.4</v>
      </c>
      <c r="AL157" s="134">
        <v>98.2</v>
      </c>
      <c r="AM157" s="134">
        <v>98.4</v>
      </c>
      <c r="AN157" s="134">
        <v>97.8</v>
      </c>
      <c r="AO157" s="134">
        <v>98.5</v>
      </c>
      <c r="AP157" s="134">
        <v>98.5</v>
      </c>
      <c r="AQ157" s="134">
        <v>98.6</v>
      </c>
      <c r="AR157" s="134">
        <v>98.5</v>
      </c>
      <c r="AS157" s="134">
        <v>98.3</v>
      </c>
      <c r="AT157" s="134">
        <v>98.5</v>
      </c>
      <c r="AU157" s="134">
        <v>97.9</v>
      </c>
      <c r="AV157" s="134">
        <v>98.5</v>
      </c>
      <c r="AW157" s="134">
        <v>98.6</v>
      </c>
      <c r="AX157" s="134">
        <v>98.7</v>
      </c>
      <c r="AY157" s="134">
        <v>98.6</v>
      </c>
      <c r="AZ157" s="134">
        <v>98.5</v>
      </c>
      <c r="BA157" s="134">
        <v>98.6</v>
      </c>
      <c r="BB157" s="174">
        <v>43132</v>
      </c>
      <c r="BC157" s="174">
        <v>43784</v>
      </c>
    </row>
    <row r="158" spans="1:55" s="44" customFormat="1" ht="45">
      <c r="A158" s="18" t="s">
        <v>208</v>
      </c>
      <c r="B158" s="140" t="s">
        <v>844</v>
      </c>
      <c r="C158" s="26" t="s">
        <v>10</v>
      </c>
      <c r="D158" s="23" t="s">
        <v>10</v>
      </c>
      <c r="E158" s="23" t="s">
        <v>10</v>
      </c>
      <c r="F158" s="23" t="s">
        <v>11</v>
      </c>
      <c r="G158" s="140" t="s">
        <v>496</v>
      </c>
      <c r="H158" s="132">
        <v>60</v>
      </c>
      <c r="I158" s="129">
        <v>480</v>
      </c>
      <c r="J158" s="137">
        <v>98.5</v>
      </c>
      <c r="K158" s="21" t="s">
        <v>1217</v>
      </c>
      <c r="L158" s="130" t="s">
        <v>494</v>
      </c>
      <c r="M158" s="26" t="s">
        <v>487</v>
      </c>
      <c r="N158" s="174">
        <v>43405</v>
      </c>
      <c r="O158" s="130" t="s">
        <v>494</v>
      </c>
      <c r="P158" s="23" t="s">
        <v>17</v>
      </c>
      <c r="Q158" s="23" t="s">
        <v>17</v>
      </c>
      <c r="R158" s="152" t="s">
        <v>1765</v>
      </c>
      <c r="S158" s="131" t="s">
        <v>11</v>
      </c>
      <c r="T158" s="131" t="s">
        <v>11</v>
      </c>
      <c r="U158" s="132">
        <v>1</v>
      </c>
      <c r="V158" s="133"/>
      <c r="W158" s="133"/>
      <c r="X158" s="133">
        <v>580</v>
      </c>
      <c r="Y158" s="133">
        <v>650</v>
      </c>
      <c r="Z158" s="133">
        <v>720</v>
      </c>
      <c r="AA158" s="134">
        <v>6</v>
      </c>
      <c r="AB158" s="134">
        <v>12</v>
      </c>
      <c r="AC158" s="134">
        <v>18</v>
      </c>
      <c r="AD158" s="134">
        <v>30</v>
      </c>
      <c r="AE158" s="134">
        <v>45</v>
      </c>
      <c r="AF158" s="134">
        <v>60</v>
      </c>
      <c r="AG158" s="134">
        <v>97.725110000000001</v>
      </c>
      <c r="AH158" s="134">
        <v>98.310810000000004</v>
      </c>
      <c r="AI158" s="134">
        <v>98.418899999999994</v>
      </c>
      <c r="AJ158" s="134">
        <v>98.550129999999996</v>
      </c>
      <c r="AK158" s="134">
        <v>98.371089999999995</v>
      </c>
      <c r="AL158" s="134">
        <v>98.223780000000005</v>
      </c>
      <c r="AM158" s="134">
        <v>98.378209999999996</v>
      </c>
      <c r="AN158" s="134">
        <v>97.822659999999999</v>
      </c>
      <c r="AO158" s="134">
        <v>98.449550000000002</v>
      </c>
      <c r="AP158" s="134">
        <v>98.540400000000005</v>
      </c>
      <c r="AQ158" s="134">
        <v>98.626189999999994</v>
      </c>
      <c r="AR158" s="134">
        <v>98.49897</v>
      </c>
      <c r="AS158" s="134">
        <v>98.329369999999997</v>
      </c>
      <c r="AT158" s="134">
        <v>98.492649999999998</v>
      </c>
      <c r="AU158" s="134">
        <v>97.862219999999994</v>
      </c>
      <c r="AV158" s="134">
        <v>98.525220000000004</v>
      </c>
      <c r="AW158" s="134">
        <v>98.586510000000004</v>
      </c>
      <c r="AX158" s="134">
        <v>98.699969999999993</v>
      </c>
      <c r="AY158" s="134">
        <v>98.55256</v>
      </c>
      <c r="AZ158" s="134">
        <v>98.449910000000003</v>
      </c>
      <c r="BA158" s="134">
        <v>98.553479999999993</v>
      </c>
      <c r="BB158" s="174">
        <v>43132</v>
      </c>
      <c r="BC158" s="174">
        <v>43784</v>
      </c>
    </row>
    <row r="159" spans="1:55" s="44" customFormat="1" ht="45">
      <c r="A159" s="18" t="s">
        <v>208</v>
      </c>
      <c r="B159" s="140" t="s">
        <v>841</v>
      </c>
      <c r="C159" s="26" t="s">
        <v>10</v>
      </c>
      <c r="D159" s="23" t="s">
        <v>10</v>
      </c>
      <c r="E159" s="23" t="s">
        <v>10</v>
      </c>
      <c r="F159" s="23" t="s">
        <v>11</v>
      </c>
      <c r="G159" s="140" t="s">
        <v>492</v>
      </c>
      <c r="H159" s="132">
        <v>66</v>
      </c>
      <c r="I159" s="129">
        <v>480</v>
      </c>
      <c r="J159" s="137">
        <v>98.5</v>
      </c>
      <c r="K159" s="21" t="s">
        <v>1217</v>
      </c>
      <c r="L159" s="130" t="s">
        <v>494</v>
      </c>
      <c r="M159" s="26" t="s">
        <v>487</v>
      </c>
      <c r="N159" s="174">
        <v>43405</v>
      </c>
      <c r="O159" s="130" t="s">
        <v>494</v>
      </c>
      <c r="P159" s="23" t="s">
        <v>17</v>
      </c>
      <c r="Q159" s="23" t="s">
        <v>17</v>
      </c>
      <c r="R159" s="152" t="s">
        <v>1766</v>
      </c>
      <c r="S159" s="131" t="s">
        <v>11</v>
      </c>
      <c r="T159" s="131" t="s">
        <v>11</v>
      </c>
      <c r="U159" s="132">
        <v>1</v>
      </c>
      <c r="V159" s="133"/>
      <c r="W159" s="133"/>
      <c r="X159" s="133">
        <v>580</v>
      </c>
      <c r="Y159" s="133">
        <v>650</v>
      </c>
      <c r="Z159" s="133">
        <v>720</v>
      </c>
      <c r="AA159" s="134">
        <v>6.6</v>
      </c>
      <c r="AB159" s="134">
        <v>13.2</v>
      </c>
      <c r="AC159" s="134">
        <v>19.8</v>
      </c>
      <c r="AD159" s="134">
        <v>33</v>
      </c>
      <c r="AE159" s="134">
        <v>49.5</v>
      </c>
      <c r="AF159" s="134">
        <v>66</v>
      </c>
      <c r="AG159" s="134">
        <v>97.6</v>
      </c>
      <c r="AH159" s="134">
        <v>98.4</v>
      </c>
      <c r="AI159" s="134">
        <v>98.5</v>
      </c>
      <c r="AJ159" s="134">
        <v>98.6</v>
      </c>
      <c r="AK159" s="134">
        <v>98.4</v>
      </c>
      <c r="AL159" s="134">
        <v>98.3</v>
      </c>
      <c r="AM159" s="134">
        <v>98.4</v>
      </c>
      <c r="AN159" s="134">
        <v>97.7</v>
      </c>
      <c r="AO159" s="134">
        <v>98.5</v>
      </c>
      <c r="AP159" s="134">
        <v>98.6</v>
      </c>
      <c r="AQ159" s="134">
        <v>98.7</v>
      </c>
      <c r="AR159" s="134">
        <v>98.5</v>
      </c>
      <c r="AS159" s="134">
        <v>98.4</v>
      </c>
      <c r="AT159" s="134">
        <v>98.5</v>
      </c>
      <c r="AU159" s="134">
        <v>97.8</v>
      </c>
      <c r="AV159" s="134">
        <v>98.7</v>
      </c>
      <c r="AW159" s="134">
        <v>98.7</v>
      </c>
      <c r="AX159" s="134">
        <v>98.8</v>
      </c>
      <c r="AY159" s="134">
        <v>98.6</v>
      </c>
      <c r="AZ159" s="134">
        <v>98.5</v>
      </c>
      <c r="BA159" s="134">
        <v>98.6</v>
      </c>
      <c r="BB159" s="174">
        <v>43132</v>
      </c>
      <c r="BC159" s="174">
        <v>43784</v>
      </c>
    </row>
    <row r="160" spans="1:55" s="44" customFormat="1" ht="45">
      <c r="A160" s="18" t="s">
        <v>208</v>
      </c>
      <c r="B160" s="140" t="s">
        <v>845</v>
      </c>
      <c r="C160" s="26" t="s">
        <v>10</v>
      </c>
      <c r="D160" s="23" t="s">
        <v>10</v>
      </c>
      <c r="E160" s="23" t="s">
        <v>10</v>
      </c>
      <c r="F160" s="23" t="s">
        <v>11</v>
      </c>
      <c r="G160" s="140" t="s">
        <v>497</v>
      </c>
      <c r="H160" s="132">
        <v>66</v>
      </c>
      <c r="I160" s="129">
        <v>480</v>
      </c>
      <c r="J160" s="137">
        <v>98.5</v>
      </c>
      <c r="K160" s="21" t="s">
        <v>1217</v>
      </c>
      <c r="L160" s="130" t="s">
        <v>494</v>
      </c>
      <c r="M160" s="26" t="s">
        <v>487</v>
      </c>
      <c r="N160" s="174">
        <v>43405</v>
      </c>
      <c r="O160" s="130" t="s">
        <v>494</v>
      </c>
      <c r="P160" s="23" t="s">
        <v>17</v>
      </c>
      <c r="Q160" s="23" t="s">
        <v>17</v>
      </c>
      <c r="R160" s="152" t="s">
        <v>1767</v>
      </c>
      <c r="S160" s="131" t="s">
        <v>11</v>
      </c>
      <c r="T160" s="131" t="s">
        <v>11</v>
      </c>
      <c r="U160" s="132">
        <v>1</v>
      </c>
      <c r="V160" s="133"/>
      <c r="W160" s="133"/>
      <c r="X160" s="133">
        <v>580</v>
      </c>
      <c r="Y160" s="133">
        <v>650</v>
      </c>
      <c r="Z160" s="133">
        <v>720</v>
      </c>
      <c r="AA160" s="134">
        <v>6.6</v>
      </c>
      <c r="AB160" s="134">
        <v>13.2</v>
      </c>
      <c r="AC160" s="134">
        <v>19.8</v>
      </c>
      <c r="AD160" s="134">
        <v>33</v>
      </c>
      <c r="AE160" s="134">
        <v>49.5</v>
      </c>
      <c r="AF160" s="134">
        <v>66</v>
      </c>
      <c r="AG160" s="134">
        <v>97.571680000000001</v>
      </c>
      <c r="AH160" s="134">
        <v>98.376260000000002</v>
      </c>
      <c r="AI160" s="134">
        <v>98.476309999999998</v>
      </c>
      <c r="AJ160" s="134">
        <v>98.563289999999995</v>
      </c>
      <c r="AK160" s="134">
        <v>98.421390000000002</v>
      </c>
      <c r="AL160" s="134">
        <v>98.311779999999999</v>
      </c>
      <c r="AM160" s="134">
        <v>98.416049999999998</v>
      </c>
      <c r="AN160" s="134">
        <v>97.744069999999994</v>
      </c>
      <c r="AO160" s="134">
        <v>98.500609999999995</v>
      </c>
      <c r="AP160" s="134">
        <v>98.553719999999998</v>
      </c>
      <c r="AQ160" s="134">
        <v>98.7042</v>
      </c>
      <c r="AR160" s="134">
        <v>98.498869999999997</v>
      </c>
      <c r="AS160" s="134">
        <v>98.390150000000006</v>
      </c>
      <c r="AT160" s="134">
        <v>98.513030000000001</v>
      </c>
      <c r="AU160" s="134">
        <v>97.772109999999998</v>
      </c>
      <c r="AV160" s="134">
        <v>98.671279999999996</v>
      </c>
      <c r="AW160" s="134">
        <v>98.653779999999998</v>
      </c>
      <c r="AX160" s="134">
        <v>98.773750000000007</v>
      </c>
      <c r="AY160" s="134">
        <v>98.556129999999996</v>
      </c>
      <c r="AZ160" s="134">
        <v>98.491799999999998</v>
      </c>
      <c r="BA160" s="134">
        <v>98.584729999999993</v>
      </c>
      <c r="BB160" s="174">
        <v>43132</v>
      </c>
      <c r="BC160" s="174">
        <v>43784</v>
      </c>
    </row>
    <row r="161" spans="1:55" s="44" customFormat="1" ht="45">
      <c r="A161" s="18" t="s">
        <v>1261</v>
      </c>
      <c r="B161" s="18" t="s">
        <v>846</v>
      </c>
      <c r="C161" s="23" t="s">
        <v>10</v>
      </c>
      <c r="D161" s="23" t="s">
        <v>10</v>
      </c>
      <c r="E161" s="23" t="s">
        <v>10</v>
      </c>
      <c r="F161" s="23" t="s">
        <v>11</v>
      </c>
      <c r="G161" s="18" t="s">
        <v>294</v>
      </c>
      <c r="H161" s="125">
        <v>0.27700000000000002</v>
      </c>
      <c r="I161" s="127">
        <v>208</v>
      </c>
      <c r="J161" s="125">
        <v>95.5</v>
      </c>
      <c r="K161" s="21" t="s">
        <v>1217</v>
      </c>
      <c r="L161" s="49" t="s">
        <v>426</v>
      </c>
      <c r="M161" s="23" t="s">
        <v>427</v>
      </c>
      <c r="N161" s="174">
        <v>43388</v>
      </c>
      <c r="O161" s="23" t="s">
        <v>1450</v>
      </c>
      <c r="P161" s="23" t="s">
        <v>17</v>
      </c>
      <c r="Q161" s="23" t="s">
        <v>17</v>
      </c>
      <c r="R161" s="151"/>
      <c r="S161" s="23" t="s">
        <v>11</v>
      </c>
      <c r="T161" s="23" t="s">
        <v>10</v>
      </c>
      <c r="U161" s="125">
        <v>0.02</v>
      </c>
      <c r="V161" s="135"/>
      <c r="W161" s="135"/>
      <c r="X161" s="135">
        <v>28</v>
      </c>
      <c r="Y161" s="135">
        <v>30</v>
      </c>
      <c r="Z161" s="135">
        <v>32</v>
      </c>
      <c r="AA161" s="126">
        <v>0.03</v>
      </c>
      <c r="AB161" s="126">
        <v>0.06</v>
      </c>
      <c r="AC161" s="126">
        <v>0.08</v>
      </c>
      <c r="AD161" s="126">
        <v>0.14000000000000001</v>
      </c>
      <c r="AE161" s="126">
        <v>0.21</v>
      </c>
      <c r="AF161" s="126">
        <v>0.28000000000000003</v>
      </c>
      <c r="AG161" s="126">
        <v>92</v>
      </c>
      <c r="AH161" s="126">
        <v>95.1</v>
      </c>
      <c r="AI161" s="126">
        <v>95.9</v>
      </c>
      <c r="AJ161" s="126">
        <v>96</v>
      </c>
      <c r="AK161" s="126">
        <v>95.6</v>
      </c>
      <c r="AL161" s="126">
        <v>94.9</v>
      </c>
      <c r="AM161" s="126">
        <v>95.5</v>
      </c>
      <c r="AN161" s="126">
        <v>91.2</v>
      </c>
      <c r="AO161" s="126">
        <v>94.8</v>
      </c>
      <c r="AP161" s="126">
        <v>95.7</v>
      </c>
      <c r="AQ161" s="126">
        <v>96</v>
      </c>
      <c r="AR161" s="126">
        <v>95.6</v>
      </c>
      <c r="AS161" s="126">
        <v>95.1</v>
      </c>
      <c r="AT161" s="126">
        <v>95.5</v>
      </c>
      <c r="AU161" s="126">
        <v>90.6</v>
      </c>
      <c r="AV161" s="126">
        <v>94.5</v>
      </c>
      <c r="AW161" s="126">
        <v>95.6</v>
      </c>
      <c r="AX161" s="126">
        <v>96</v>
      </c>
      <c r="AY161" s="126">
        <v>95.7</v>
      </c>
      <c r="AZ161" s="126">
        <v>95.2</v>
      </c>
      <c r="BA161" s="126">
        <v>95.4</v>
      </c>
      <c r="BB161" s="174">
        <v>43084</v>
      </c>
      <c r="BC161" s="174">
        <v>43557</v>
      </c>
    </row>
    <row r="162" spans="1:55" s="44" customFormat="1" ht="45">
      <c r="A162" s="18" t="s">
        <v>1261</v>
      </c>
      <c r="B162" s="18" t="s">
        <v>847</v>
      </c>
      <c r="C162" s="23" t="s">
        <v>10</v>
      </c>
      <c r="D162" s="23" t="s">
        <v>10</v>
      </c>
      <c r="E162" s="23" t="s">
        <v>10</v>
      </c>
      <c r="F162" s="23" t="s">
        <v>11</v>
      </c>
      <c r="G162" s="18" t="s">
        <v>295</v>
      </c>
      <c r="H162" s="125">
        <v>0.28899999999999998</v>
      </c>
      <c r="I162" s="127">
        <v>240</v>
      </c>
      <c r="J162" s="125">
        <v>96</v>
      </c>
      <c r="K162" s="21" t="s">
        <v>1217</v>
      </c>
      <c r="L162" s="49" t="s">
        <v>426</v>
      </c>
      <c r="M162" s="23" t="s">
        <v>427</v>
      </c>
      <c r="N162" s="174">
        <v>43388</v>
      </c>
      <c r="O162" s="23" t="s">
        <v>1450</v>
      </c>
      <c r="P162" s="23" t="s">
        <v>17</v>
      </c>
      <c r="Q162" s="23" t="s">
        <v>17</v>
      </c>
      <c r="R162" s="151"/>
      <c r="S162" s="23" t="s">
        <v>11</v>
      </c>
      <c r="T162" s="23" t="s">
        <v>10</v>
      </c>
      <c r="U162" s="125">
        <v>0.06</v>
      </c>
      <c r="V162" s="135"/>
      <c r="W162" s="135"/>
      <c r="X162" s="135">
        <v>28</v>
      </c>
      <c r="Y162" s="135">
        <v>30</v>
      </c>
      <c r="Z162" s="135">
        <v>32</v>
      </c>
      <c r="AA162" s="126">
        <v>0.03</v>
      </c>
      <c r="AB162" s="126">
        <v>0.06</v>
      </c>
      <c r="AC162" s="126">
        <v>0.09</v>
      </c>
      <c r="AD162" s="126">
        <v>0.14000000000000001</v>
      </c>
      <c r="AE162" s="126">
        <v>0.22</v>
      </c>
      <c r="AF162" s="126">
        <v>0.28999999999999998</v>
      </c>
      <c r="AG162" s="126">
        <v>92.3</v>
      </c>
      <c r="AH162" s="126">
        <v>95.4</v>
      </c>
      <c r="AI162" s="126">
        <v>96.1</v>
      </c>
      <c r="AJ162" s="126">
        <v>96.2</v>
      </c>
      <c r="AK162" s="126">
        <v>95.9</v>
      </c>
      <c r="AL162" s="126">
        <v>95.2</v>
      </c>
      <c r="AM162" s="126">
        <v>95.8</v>
      </c>
      <c r="AN162" s="126">
        <v>91.6</v>
      </c>
      <c r="AO162" s="126">
        <v>95.2</v>
      </c>
      <c r="AP162" s="126">
        <v>96</v>
      </c>
      <c r="AQ162" s="126">
        <v>96.3</v>
      </c>
      <c r="AR162" s="126">
        <v>96</v>
      </c>
      <c r="AS162" s="126">
        <v>95.4</v>
      </c>
      <c r="AT162" s="126">
        <v>95.8</v>
      </c>
      <c r="AU162" s="126">
        <v>91</v>
      </c>
      <c r="AV162" s="126">
        <v>95.1</v>
      </c>
      <c r="AW162" s="126">
        <v>95.9</v>
      </c>
      <c r="AX162" s="126">
        <v>96.3</v>
      </c>
      <c r="AY162" s="126">
        <v>96.1</v>
      </c>
      <c r="AZ162" s="126">
        <v>95.6</v>
      </c>
      <c r="BA162" s="126">
        <v>95.8</v>
      </c>
      <c r="BB162" s="174">
        <v>43084</v>
      </c>
      <c r="BC162" s="174">
        <v>43557</v>
      </c>
    </row>
    <row r="163" spans="1:55" s="44" customFormat="1" ht="45">
      <c r="A163" s="18" t="s">
        <v>1261</v>
      </c>
      <c r="B163" s="18" t="s">
        <v>1274</v>
      </c>
      <c r="C163" s="23" t="s">
        <v>10</v>
      </c>
      <c r="D163" s="23" t="s">
        <v>10</v>
      </c>
      <c r="E163" s="23" t="s">
        <v>10</v>
      </c>
      <c r="F163" s="23" t="s">
        <v>11</v>
      </c>
      <c r="G163" s="18" t="s">
        <v>1268</v>
      </c>
      <c r="H163" s="19">
        <v>0.72499999999999998</v>
      </c>
      <c r="I163" s="37">
        <v>208</v>
      </c>
      <c r="J163" s="19">
        <v>95.5</v>
      </c>
      <c r="K163" s="21" t="s">
        <v>1217</v>
      </c>
      <c r="L163" s="49" t="s">
        <v>1269</v>
      </c>
      <c r="M163" s="38" t="s">
        <v>1270</v>
      </c>
      <c r="N163" s="174">
        <v>43497</v>
      </c>
      <c r="O163" s="38" t="s">
        <v>1451</v>
      </c>
      <c r="P163" s="38" t="s">
        <v>17</v>
      </c>
      <c r="Q163" s="38" t="s">
        <v>17</v>
      </c>
      <c r="R163" s="151"/>
      <c r="S163" s="39" t="s">
        <v>11</v>
      </c>
      <c r="T163" s="39" t="s">
        <v>10</v>
      </c>
      <c r="U163" s="171">
        <v>0.1</v>
      </c>
      <c r="V163" s="153"/>
      <c r="W163" s="153"/>
      <c r="X163" s="153">
        <v>60</v>
      </c>
      <c r="Y163" s="153">
        <v>65</v>
      </c>
      <c r="Z163" s="153">
        <v>70</v>
      </c>
      <c r="AA163" s="40">
        <v>7.254300000000001E-2</v>
      </c>
      <c r="AB163" s="40">
        <v>0.14508600000000002</v>
      </c>
      <c r="AC163" s="40">
        <v>0.21762899999999999</v>
      </c>
      <c r="AD163" s="40">
        <v>0.36271500000000001</v>
      </c>
      <c r="AE163" s="40">
        <v>0.54407249999999996</v>
      </c>
      <c r="AF163" s="40">
        <v>0.72543000000000002</v>
      </c>
      <c r="AG163" s="40">
        <v>93.072133333333326</v>
      </c>
      <c r="AH163" s="40">
        <v>95.575999999999993</v>
      </c>
      <c r="AI163" s="40">
        <v>96.237066666666664</v>
      </c>
      <c r="AJ163" s="40">
        <v>96.324399999999997</v>
      </c>
      <c r="AK163" s="40">
        <v>95.675333333333342</v>
      </c>
      <c r="AL163" s="40">
        <v>94.843733333333347</v>
      </c>
      <c r="AM163" s="40">
        <v>95.728370666666677</v>
      </c>
      <c r="AN163" s="40">
        <v>93.002266666666657</v>
      </c>
      <c r="AO163" s="40">
        <v>95.359733333333324</v>
      </c>
      <c r="AP163" s="40">
        <v>96.085999999999984</v>
      </c>
      <c r="AQ163" s="40">
        <v>96.33593333333333</v>
      </c>
      <c r="AR163" s="40">
        <v>95.730400000000003</v>
      </c>
      <c r="AS163" s="40">
        <v>94.913666666666671</v>
      </c>
      <c r="AT163" s="40">
        <v>95.731738666666658</v>
      </c>
      <c r="AU163" s="40">
        <v>92.399799999999999</v>
      </c>
      <c r="AV163" s="40">
        <v>94.870333333333335</v>
      </c>
      <c r="AW163" s="40">
        <v>95.874399999999994</v>
      </c>
      <c r="AX163" s="40">
        <v>96.234199999999987</v>
      </c>
      <c r="AY163" s="40">
        <v>95.68846666666667</v>
      </c>
      <c r="AZ163" s="40">
        <v>94.621066666666678</v>
      </c>
      <c r="BA163" s="40">
        <v>95.599559333333332</v>
      </c>
      <c r="BB163" s="178">
        <v>43497</v>
      </c>
      <c r="BC163" s="178">
        <v>43557</v>
      </c>
    </row>
    <row r="164" spans="1:55" s="44" customFormat="1" ht="45">
      <c r="A164" s="18" t="s">
        <v>1261</v>
      </c>
      <c r="B164" s="18" t="s">
        <v>1273</v>
      </c>
      <c r="C164" s="23" t="s">
        <v>10</v>
      </c>
      <c r="D164" s="23" t="s">
        <v>10</v>
      </c>
      <c r="E164" s="23" t="s">
        <v>10</v>
      </c>
      <c r="F164" s="23" t="s">
        <v>11</v>
      </c>
      <c r="G164" s="18" t="s">
        <v>1271</v>
      </c>
      <c r="H164" s="19">
        <v>0.72099999999999997</v>
      </c>
      <c r="I164" s="37">
        <v>240</v>
      </c>
      <c r="J164" s="19">
        <v>96</v>
      </c>
      <c r="K164" s="21" t="s">
        <v>1217</v>
      </c>
      <c r="L164" s="49" t="s">
        <v>1269</v>
      </c>
      <c r="M164" s="38" t="s">
        <v>1270</v>
      </c>
      <c r="N164" s="174">
        <v>43497</v>
      </c>
      <c r="O164" s="38" t="s">
        <v>1451</v>
      </c>
      <c r="P164" s="38" t="s">
        <v>17</v>
      </c>
      <c r="Q164" s="38" t="s">
        <v>17</v>
      </c>
      <c r="R164" s="151"/>
      <c r="S164" s="39" t="s">
        <v>11</v>
      </c>
      <c r="T164" s="39" t="s">
        <v>10</v>
      </c>
      <c r="U164" s="171">
        <v>0.1</v>
      </c>
      <c r="V164" s="153"/>
      <c r="W164" s="153"/>
      <c r="X164" s="153">
        <v>60</v>
      </c>
      <c r="Y164" s="153">
        <v>65</v>
      </c>
      <c r="Z164" s="153">
        <v>70</v>
      </c>
      <c r="AA164" s="40">
        <v>7.2121866666666673E-2</v>
      </c>
      <c r="AB164" s="40">
        <v>0.14424373333333335</v>
      </c>
      <c r="AC164" s="40">
        <v>0.21636559999999999</v>
      </c>
      <c r="AD164" s="40">
        <v>0.36060933333333334</v>
      </c>
      <c r="AE164" s="40">
        <v>0.54091400000000001</v>
      </c>
      <c r="AF164" s="40">
        <v>0.72121866666666667</v>
      </c>
      <c r="AG164" s="40">
        <v>93.132533333333342</v>
      </c>
      <c r="AH164" s="40">
        <v>95.850773333333336</v>
      </c>
      <c r="AI164" s="40">
        <v>96.484973333333329</v>
      </c>
      <c r="AJ164" s="40">
        <v>96.66358666666666</v>
      </c>
      <c r="AK164" s="40">
        <v>96.312706666666671</v>
      </c>
      <c r="AL164" s="40">
        <v>95.434200000000004</v>
      </c>
      <c r="AM164" s="40">
        <v>96.212834533333336</v>
      </c>
      <c r="AN164" s="40">
        <v>92.506166666666687</v>
      </c>
      <c r="AO164" s="40">
        <v>95.53543333333333</v>
      </c>
      <c r="AP164" s="40">
        <v>96.34790666666666</v>
      </c>
      <c r="AQ164" s="40">
        <v>96.695073333333312</v>
      </c>
      <c r="AR164" s="40">
        <v>96.259353333333337</v>
      </c>
      <c r="AS164" s="40">
        <v>95.397799999999989</v>
      </c>
      <c r="AT164" s="40">
        <v>96.1320798</v>
      </c>
      <c r="AU164" s="40">
        <v>91.717346666666657</v>
      </c>
      <c r="AV164" s="40">
        <v>95.219053333333321</v>
      </c>
      <c r="AW164" s="40">
        <v>96.14567333333332</v>
      </c>
      <c r="AX164" s="40">
        <v>96.611386666666675</v>
      </c>
      <c r="AY164" s="40">
        <v>96.027659999999997</v>
      </c>
      <c r="AZ164" s="40">
        <v>95.18540666666668</v>
      </c>
      <c r="BA164" s="40">
        <v>95.909448666666663</v>
      </c>
      <c r="BB164" s="178">
        <v>43497</v>
      </c>
      <c r="BC164" s="178">
        <v>43557</v>
      </c>
    </row>
    <row r="165" spans="1:55" s="44" customFormat="1" ht="45">
      <c r="A165" s="18" t="s">
        <v>1</v>
      </c>
      <c r="B165" s="18" t="s">
        <v>1565</v>
      </c>
      <c r="C165" s="23" t="s">
        <v>10</v>
      </c>
      <c r="D165" s="23" t="s">
        <v>10</v>
      </c>
      <c r="E165" s="23" t="s">
        <v>10</v>
      </c>
      <c r="F165" s="23" t="s">
        <v>11</v>
      </c>
      <c r="G165" s="18" t="s">
        <v>1518</v>
      </c>
      <c r="H165" s="19">
        <v>30.26</v>
      </c>
      <c r="I165" s="37">
        <v>480</v>
      </c>
      <c r="J165" s="19">
        <v>97</v>
      </c>
      <c r="K165" s="20" t="s">
        <v>1216</v>
      </c>
      <c r="L165" s="49" t="s">
        <v>1519</v>
      </c>
      <c r="M165" s="38" t="s">
        <v>1520</v>
      </c>
      <c r="N165" s="174">
        <v>43586</v>
      </c>
      <c r="O165" s="38" t="s">
        <v>1519</v>
      </c>
      <c r="P165" s="38" t="s">
        <v>17</v>
      </c>
      <c r="Q165" s="38" t="s">
        <v>17</v>
      </c>
      <c r="R165" s="151"/>
      <c r="S165" s="39" t="s">
        <v>11</v>
      </c>
      <c r="T165" s="39" t="s">
        <v>11</v>
      </c>
      <c r="U165" s="37">
        <v>20</v>
      </c>
      <c r="V165" s="153"/>
      <c r="W165" s="153"/>
      <c r="X165" s="153">
        <v>450</v>
      </c>
      <c r="Y165" s="153">
        <v>660</v>
      </c>
      <c r="Z165" s="153">
        <v>800</v>
      </c>
      <c r="AA165" s="40">
        <v>3.0260000000000002</v>
      </c>
      <c r="AB165" s="40">
        <v>6.0520000000000005</v>
      </c>
      <c r="AC165" s="40">
        <v>9.0779999999999994</v>
      </c>
      <c r="AD165" s="40">
        <v>15.13</v>
      </c>
      <c r="AE165" s="40">
        <v>22.695</v>
      </c>
      <c r="AF165" s="40">
        <v>30.26</v>
      </c>
      <c r="AG165" s="40">
        <v>94.650549450549448</v>
      </c>
      <c r="AH165" s="40">
        <v>96.014145313854698</v>
      </c>
      <c r="AI165" s="40">
        <v>96.064140587128364</v>
      </c>
      <c r="AJ165" s="40">
        <v>96.638393035728811</v>
      </c>
      <c r="AK165" s="40">
        <v>96.725422757237041</v>
      </c>
      <c r="AL165" s="40">
        <v>96.610667520072766</v>
      </c>
      <c r="AM165" s="40">
        <v>96.503496089012444</v>
      </c>
      <c r="AN165" s="40">
        <v>94.958847736625515</v>
      </c>
      <c r="AO165" s="40">
        <v>96.639455782312936</v>
      </c>
      <c r="AP165" s="40">
        <v>97.06512226512227</v>
      </c>
      <c r="AQ165" s="40">
        <v>97.26634431964176</v>
      </c>
      <c r="AR165" s="40">
        <v>97.306673196986623</v>
      </c>
      <c r="AS165" s="40">
        <v>97.205048552911052</v>
      </c>
      <c r="AT165" s="40">
        <v>97.13686289956857</v>
      </c>
      <c r="AU165" s="40">
        <v>96.046130952380935</v>
      </c>
      <c r="AV165" s="40">
        <v>97.482087912087906</v>
      </c>
      <c r="AW165" s="40">
        <v>97.708787218591155</v>
      </c>
      <c r="AX165" s="40">
        <v>98.011066617712572</v>
      </c>
      <c r="AY165" s="40">
        <v>97.951717272274763</v>
      </c>
      <c r="AZ165" s="40">
        <v>97.797109100820805</v>
      </c>
      <c r="BA165" s="40">
        <v>97.827593698996878</v>
      </c>
      <c r="BB165" s="178">
        <v>43586</v>
      </c>
      <c r="BC165" s="178"/>
    </row>
    <row r="166" spans="1:55" s="44" customFormat="1" ht="45">
      <c r="A166" s="18" t="s">
        <v>1</v>
      </c>
      <c r="B166" s="18" t="s">
        <v>355</v>
      </c>
      <c r="C166" s="23" t="s">
        <v>10</v>
      </c>
      <c r="D166" s="23" t="s">
        <v>10</v>
      </c>
      <c r="E166" s="23" t="s">
        <v>10</v>
      </c>
      <c r="F166" s="23" t="s">
        <v>11</v>
      </c>
      <c r="G166" s="18" t="s">
        <v>193</v>
      </c>
      <c r="H166" s="19">
        <v>36</v>
      </c>
      <c r="I166" s="19">
        <v>480</v>
      </c>
      <c r="J166" s="19">
        <v>98</v>
      </c>
      <c r="K166" s="21" t="s">
        <v>1216</v>
      </c>
      <c r="L166" s="49" t="s">
        <v>1601</v>
      </c>
      <c r="M166" s="21" t="s">
        <v>1602</v>
      </c>
      <c r="N166" s="174">
        <v>43388</v>
      </c>
      <c r="O166" s="23" t="s">
        <v>1603</v>
      </c>
      <c r="P166" s="23" t="s">
        <v>17</v>
      </c>
      <c r="Q166" s="23" t="s">
        <v>17</v>
      </c>
      <c r="R166" s="150" t="s">
        <v>216</v>
      </c>
      <c r="S166" s="20" t="s">
        <v>10</v>
      </c>
      <c r="T166" s="20" t="s">
        <v>11</v>
      </c>
      <c r="U166" s="19">
        <v>0</v>
      </c>
      <c r="V166" s="19"/>
      <c r="W166" s="19"/>
      <c r="X166" s="19">
        <v>540</v>
      </c>
      <c r="Y166" s="19">
        <v>730</v>
      </c>
      <c r="Z166" s="19">
        <v>800</v>
      </c>
      <c r="AA166" s="40">
        <v>3.6</v>
      </c>
      <c r="AB166" s="40">
        <v>7.2</v>
      </c>
      <c r="AC166" s="40">
        <v>10.8</v>
      </c>
      <c r="AD166" s="40">
        <v>18</v>
      </c>
      <c r="AE166" s="40">
        <v>27</v>
      </c>
      <c r="AF166" s="40">
        <v>36</v>
      </c>
      <c r="AG166" s="40">
        <v>95.5</v>
      </c>
      <c r="AH166" s="40">
        <v>96.8</v>
      </c>
      <c r="AI166" s="40">
        <v>97.2</v>
      </c>
      <c r="AJ166" s="40">
        <v>97.5</v>
      </c>
      <c r="AK166" s="40">
        <v>97.5</v>
      </c>
      <c r="AL166" s="40">
        <v>97.3</v>
      </c>
      <c r="AM166" s="40">
        <v>97.3</v>
      </c>
      <c r="AN166" s="40">
        <v>97.4</v>
      </c>
      <c r="AO166" s="40">
        <v>98.3</v>
      </c>
      <c r="AP166" s="40">
        <v>98.5</v>
      </c>
      <c r="AQ166" s="40">
        <v>98.5</v>
      </c>
      <c r="AR166" s="40">
        <v>98.5</v>
      </c>
      <c r="AS166" s="40">
        <v>98.3</v>
      </c>
      <c r="AT166" s="40">
        <v>98.4</v>
      </c>
      <c r="AU166" s="40">
        <v>97.1</v>
      </c>
      <c r="AV166" s="40">
        <v>98</v>
      </c>
      <c r="AW166" s="40">
        <v>98.3</v>
      </c>
      <c r="AX166" s="40">
        <v>98.4</v>
      </c>
      <c r="AY166" s="40">
        <v>98.3</v>
      </c>
      <c r="AZ166" s="40">
        <v>98.2</v>
      </c>
      <c r="BA166" s="40">
        <v>98.3</v>
      </c>
      <c r="BB166" s="174">
        <v>42979</v>
      </c>
      <c r="BC166" s="174">
        <v>43600</v>
      </c>
    </row>
    <row r="167" spans="1:55" s="44" customFormat="1" ht="45">
      <c r="A167" s="18" t="s">
        <v>1</v>
      </c>
      <c r="B167" s="18" t="s">
        <v>356</v>
      </c>
      <c r="C167" s="23" t="s">
        <v>10</v>
      </c>
      <c r="D167" s="23" t="s">
        <v>10</v>
      </c>
      <c r="E167" s="23" t="s">
        <v>10</v>
      </c>
      <c r="F167" s="23" t="s">
        <v>11</v>
      </c>
      <c r="G167" s="147" t="s">
        <v>128</v>
      </c>
      <c r="H167" s="125">
        <v>50</v>
      </c>
      <c r="I167" s="125">
        <v>480</v>
      </c>
      <c r="J167" s="125">
        <v>98.5</v>
      </c>
      <c r="K167" s="21" t="s">
        <v>1216</v>
      </c>
      <c r="L167" s="49" t="s">
        <v>1472</v>
      </c>
      <c r="M167" s="21" t="s">
        <v>1473</v>
      </c>
      <c r="N167" s="174">
        <v>43388</v>
      </c>
      <c r="O167" s="124" t="s">
        <v>1486</v>
      </c>
      <c r="P167" s="23" t="s">
        <v>17</v>
      </c>
      <c r="Q167" s="23" t="s">
        <v>17</v>
      </c>
      <c r="R167" s="150" t="s">
        <v>215</v>
      </c>
      <c r="S167" s="21" t="s">
        <v>10</v>
      </c>
      <c r="T167" s="21" t="s">
        <v>11</v>
      </c>
      <c r="U167" s="125">
        <v>0.88</v>
      </c>
      <c r="V167" s="125"/>
      <c r="W167" s="125"/>
      <c r="X167" s="125">
        <v>480</v>
      </c>
      <c r="Y167" s="125">
        <v>730</v>
      </c>
      <c r="Z167" s="125">
        <v>850</v>
      </c>
      <c r="AA167" s="126">
        <v>5</v>
      </c>
      <c r="AB167" s="126">
        <v>10</v>
      </c>
      <c r="AC167" s="126">
        <v>15</v>
      </c>
      <c r="AD167" s="126">
        <v>25</v>
      </c>
      <c r="AE167" s="126">
        <v>37.5</v>
      </c>
      <c r="AF167" s="126">
        <v>50</v>
      </c>
      <c r="AG167" s="126">
        <v>95.6</v>
      </c>
      <c r="AH167" s="126">
        <v>96.8</v>
      </c>
      <c r="AI167" s="126">
        <v>97.5</v>
      </c>
      <c r="AJ167" s="126">
        <v>97.9</v>
      </c>
      <c r="AK167" s="126">
        <v>97.8</v>
      </c>
      <c r="AL167" s="126">
        <v>97.7</v>
      </c>
      <c r="AM167" s="126">
        <v>97.6</v>
      </c>
      <c r="AN167" s="126">
        <v>98</v>
      </c>
      <c r="AO167" s="126">
        <v>98.6</v>
      </c>
      <c r="AP167" s="126">
        <v>98.8</v>
      </c>
      <c r="AQ167" s="126">
        <v>98.8</v>
      </c>
      <c r="AR167" s="126">
        <v>98.7</v>
      </c>
      <c r="AS167" s="126">
        <v>98.6</v>
      </c>
      <c r="AT167" s="126">
        <v>98.7</v>
      </c>
      <c r="AU167" s="126">
        <v>97.7</v>
      </c>
      <c r="AV167" s="126">
        <v>98.5</v>
      </c>
      <c r="AW167" s="126">
        <v>98.6</v>
      </c>
      <c r="AX167" s="126">
        <v>98.7</v>
      </c>
      <c r="AY167" s="126">
        <v>98.6</v>
      </c>
      <c r="AZ167" s="126">
        <v>98.5</v>
      </c>
      <c r="BA167" s="126">
        <v>98.6</v>
      </c>
      <c r="BB167" s="174">
        <v>42948</v>
      </c>
      <c r="BC167" s="174">
        <v>43570</v>
      </c>
    </row>
    <row r="168" spans="1:55" s="44" customFormat="1" ht="45">
      <c r="A168" s="18" t="s">
        <v>1</v>
      </c>
      <c r="B168" s="18" t="s">
        <v>357</v>
      </c>
      <c r="C168" s="23" t="s">
        <v>10</v>
      </c>
      <c r="D168" s="23" t="s">
        <v>10</v>
      </c>
      <c r="E168" s="23" t="s">
        <v>10</v>
      </c>
      <c r="F168" s="23" t="s">
        <v>11</v>
      </c>
      <c r="G168" s="147" t="s">
        <v>129</v>
      </c>
      <c r="H168" s="125">
        <v>60</v>
      </c>
      <c r="I168" s="125">
        <v>480</v>
      </c>
      <c r="J168" s="125">
        <v>98.5</v>
      </c>
      <c r="K168" s="21" t="s">
        <v>1216</v>
      </c>
      <c r="L168" s="49" t="s">
        <v>1474</v>
      </c>
      <c r="M168" s="21" t="s">
        <v>1473</v>
      </c>
      <c r="N168" s="174">
        <v>43388</v>
      </c>
      <c r="O168" s="124" t="s">
        <v>1486</v>
      </c>
      <c r="P168" s="23" t="s">
        <v>17</v>
      </c>
      <c r="Q168" s="23" t="s">
        <v>17</v>
      </c>
      <c r="R168" s="150" t="s">
        <v>217</v>
      </c>
      <c r="S168" s="21" t="s">
        <v>10</v>
      </c>
      <c r="T168" s="21" t="s">
        <v>11</v>
      </c>
      <c r="U168" s="125">
        <v>0.88</v>
      </c>
      <c r="V168" s="125"/>
      <c r="W168" s="125"/>
      <c r="X168" s="125">
        <v>540</v>
      </c>
      <c r="Y168" s="125">
        <v>730</v>
      </c>
      <c r="Z168" s="125">
        <v>850</v>
      </c>
      <c r="AA168" s="126">
        <v>6</v>
      </c>
      <c r="AB168" s="126">
        <v>12</v>
      </c>
      <c r="AC168" s="126">
        <v>18</v>
      </c>
      <c r="AD168" s="126">
        <v>30</v>
      </c>
      <c r="AE168" s="126">
        <v>45</v>
      </c>
      <c r="AF168" s="126">
        <v>60</v>
      </c>
      <c r="AG168" s="126">
        <v>96.5</v>
      </c>
      <c r="AH168" s="126">
        <v>97.5</v>
      </c>
      <c r="AI168" s="126">
        <v>97.9</v>
      </c>
      <c r="AJ168" s="126">
        <v>98.1</v>
      </c>
      <c r="AK168" s="126">
        <v>97.9</v>
      </c>
      <c r="AL168" s="126">
        <v>97.7</v>
      </c>
      <c r="AM168" s="126">
        <v>97.9</v>
      </c>
      <c r="AN168" s="126">
        <v>98.2</v>
      </c>
      <c r="AO168" s="126">
        <v>98.7</v>
      </c>
      <c r="AP168" s="126">
        <v>98.8</v>
      </c>
      <c r="AQ168" s="126">
        <v>98.8</v>
      </c>
      <c r="AR168" s="126">
        <v>98.7</v>
      </c>
      <c r="AS168" s="126">
        <v>98.5</v>
      </c>
      <c r="AT168" s="126">
        <v>98.7</v>
      </c>
      <c r="AU168" s="126">
        <v>98</v>
      </c>
      <c r="AV168" s="126">
        <v>98.6</v>
      </c>
      <c r="AW168" s="126">
        <v>98.7</v>
      </c>
      <c r="AX168" s="126">
        <v>98.7</v>
      </c>
      <c r="AY168" s="126">
        <v>98.5</v>
      </c>
      <c r="AZ168" s="126">
        <v>98.4</v>
      </c>
      <c r="BA168" s="126">
        <v>98.5</v>
      </c>
      <c r="BB168" s="174">
        <v>42948</v>
      </c>
      <c r="BC168" s="174">
        <v>43570</v>
      </c>
    </row>
    <row r="169" spans="1:55" s="44" customFormat="1" ht="45">
      <c r="A169" s="18" t="s">
        <v>1</v>
      </c>
      <c r="B169" s="18" t="s">
        <v>1821</v>
      </c>
      <c r="C169" s="23" t="s">
        <v>10</v>
      </c>
      <c r="D169" s="23" t="s">
        <v>10</v>
      </c>
      <c r="E169" s="23" t="s">
        <v>10</v>
      </c>
      <c r="F169" s="23" t="s">
        <v>11</v>
      </c>
      <c r="G169" s="18" t="s">
        <v>711</v>
      </c>
      <c r="H169" s="19">
        <v>100.56</v>
      </c>
      <c r="I169" s="37">
        <v>600</v>
      </c>
      <c r="J169" s="19">
        <v>98.5</v>
      </c>
      <c r="K169" s="20" t="s">
        <v>1216</v>
      </c>
      <c r="L169" s="49" t="s">
        <v>1819</v>
      </c>
      <c r="M169" s="38" t="s">
        <v>1820</v>
      </c>
      <c r="N169" s="124">
        <v>43770</v>
      </c>
      <c r="O169" s="38" t="s">
        <v>1819</v>
      </c>
      <c r="P169" s="38" t="s">
        <v>17</v>
      </c>
      <c r="Q169" s="38" t="s">
        <v>17</v>
      </c>
      <c r="R169" s="151"/>
      <c r="S169" s="39" t="s">
        <v>11</v>
      </c>
      <c r="T169" s="39" t="s">
        <v>11</v>
      </c>
      <c r="U169" s="153">
        <v>0.33</v>
      </c>
      <c r="V169" s="153"/>
      <c r="W169" s="153"/>
      <c r="X169" s="153">
        <v>870</v>
      </c>
      <c r="Y169" s="153">
        <v>1000</v>
      </c>
      <c r="Z169" s="153">
        <v>1300</v>
      </c>
      <c r="AA169" s="40">
        <v>10.055999999999999</v>
      </c>
      <c r="AB169" s="40">
        <v>20.111999999999998</v>
      </c>
      <c r="AC169" s="40">
        <v>30.167999999999999</v>
      </c>
      <c r="AD169" s="40">
        <v>50.28</v>
      </c>
      <c r="AE169" s="40">
        <v>75.42</v>
      </c>
      <c r="AF169" s="40">
        <v>100.56</v>
      </c>
      <c r="AG169" s="40">
        <v>98.51</v>
      </c>
      <c r="AH169" s="40">
        <v>99</v>
      </c>
      <c r="AI169" s="40">
        <v>99.01</v>
      </c>
      <c r="AJ169" s="40">
        <v>99.09</v>
      </c>
      <c r="AK169" s="40">
        <v>98.94</v>
      </c>
      <c r="AL169" s="40">
        <v>98.78</v>
      </c>
      <c r="AM169" s="40">
        <v>98.96</v>
      </c>
      <c r="AN169" s="40">
        <v>98.03</v>
      </c>
      <c r="AO169" s="40">
        <v>98.44</v>
      </c>
      <c r="AP169" s="40">
        <v>98.61</v>
      </c>
      <c r="AQ169" s="40">
        <v>98.6</v>
      </c>
      <c r="AR169" s="40">
        <v>98.48</v>
      </c>
      <c r="AS169" s="40">
        <v>98.29</v>
      </c>
      <c r="AT169" s="40">
        <v>98.49</v>
      </c>
      <c r="AU169" s="40">
        <v>97.25</v>
      </c>
      <c r="AV169" s="40">
        <v>97.82</v>
      </c>
      <c r="AW169" s="40">
        <v>98.17</v>
      </c>
      <c r="AX169" s="40">
        <v>98.19</v>
      </c>
      <c r="AY169" s="40">
        <v>98.14</v>
      </c>
      <c r="AZ169" s="40">
        <v>97.93</v>
      </c>
      <c r="BA169" s="40">
        <v>98.09</v>
      </c>
      <c r="BB169" s="180">
        <v>43770</v>
      </c>
      <c r="BC169" s="180"/>
    </row>
    <row r="170" spans="1:55" s="44" customFormat="1" ht="45">
      <c r="A170" s="18" t="s">
        <v>1</v>
      </c>
      <c r="B170" s="18" t="s">
        <v>848</v>
      </c>
      <c r="C170" s="23" t="s">
        <v>10</v>
      </c>
      <c r="D170" s="23" t="s">
        <v>10</v>
      </c>
      <c r="E170" s="23" t="s">
        <v>10</v>
      </c>
      <c r="F170" s="23" t="s">
        <v>11</v>
      </c>
      <c r="G170" s="18" t="s">
        <v>711</v>
      </c>
      <c r="H170" s="19">
        <v>100</v>
      </c>
      <c r="I170" s="37">
        <v>600</v>
      </c>
      <c r="J170" s="19">
        <v>98.5</v>
      </c>
      <c r="K170" s="21" t="s">
        <v>1216</v>
      </c>
      <c r="L170" s="49" t="s">
        <v>712</v>
      </c>
      <c r="M170" s="38" t="s">
        <v>713</v>
      </c>
      <c r="N170" s="174">
        <v>43388</v>
      </c>
      <c r="O170" s="49" t="s">
        <v>712</v>
      </c>
      <c r="P170" s="23" t="s">
        <v>17</v>
      </c>
      <c r="Q170" s="23" t="s">
        <v>17</v>
      </c>
      <c r="R170" s="151"/>
      <c r="S170" s="39" t="s">
        <v>11</v>
      </c>
      <c r="T170" s="39" t="s">
        <v>11</v>
      </c>
      <c r="U170" s="153">
        <v>4.5</v>
      </c>
      <c r="V170" s="153"/>
      <c r="W170" s="153"/>
      <c r="X170" s="153">
        <v>870</v>
      </c>
      <c r="Y170" s="153">
        <v>1000</v>
      </c>
      <c r="Z170" s="153">
        <v>1300</v>
      </c>
      <c r="AA170" s="40">
        <v>10</v>
      </c>
      <c r="AB170" s="40">
        <v>20</v>
      </c>
      <c r="AC170" s="40">
        <v>30</v>
      </c>
      <c r="AD170" s="40">
        <v>50</v>
      </c>
      <c r="AE170" s="40">
        <v>75</v>
      </c>
      <c r="AF170" s="40">
        <v>100</v>
      </c>
      <c r="AG170" s="40">
        <v>98.551913170550606</v>
      </c>
      <c r="AH170" s="40">
        <v>98.997154065699576</v>
      </c>
      <c r="AI170" s="40">
        <v>99.061972328956216</v>
      </c>
      <c r="AJ170" s="40">
        <v>99.00078048409739</v>
      </c>
      <c r="AK170" s="40">
        <v>98.873762893254693</v>
      </c>
      <c r="AL170" s="40">
        <v>98.745242502108027</v>
      </c>
      <c r="AM170" s="40">
        <v>98.909891269772601</v>
      </c>
      <c r="AN170" s="40">
        <v>97.902550474383133</v>
      </c>
      <c r="AO170" s="40">
        <v>98.484857507533135</v>
      </c>
      <c r="AP170" s="40">
        <v>98.532225912684183</v>
      </c>
      <c r="AQ170" s="40">
        <v>98.567385583558817</v>
      </c>
      <c r="AR170" s="40">
        <v>98.447013080233702</v>
      </c>
      <c r="AS170" s="40">
        <v>98.281050897108159</v>
      </c>
      <c r="AT170" s="40">
        <v>98.454332453800717</v>
      </c>
      <c r="AU170" s="40">
        <v>97.097950071451592</v>
      </c>
      <c r="AV170" s="40">
        <v>97.901048246755153</v>
      </c>
      <c r="AW170" s="40">
        <v>98.071044058010003</v>
      </c>
      <c r="AX170" s="40">
        <v>98.105298659618327</v>
      </c>
      <c r="AY170" s="40">
        <v>98.080044777547087</v>
      </c>
      <c r="AZ170" s="40">
        <v>97.905368682202621</v>
      </c>
      <c r="BA170" s="40">
        <v>98.027300586886966</v>
      </c>
      <c r="BB170" s="174">
        <v>43313</v>
      </c>
      <c r="BC170" s="174">
        <v>43388</v>
      </c>
    </row>
    <row r="171" spans="1:55" s="44" customFormat="1" ht="45">
      <c r="A171" s="18" t="s">
        <v>1</v>
      </c>
      <c r="B171" s="18" t="s">
        <v>1822</v>
      </c>
      <c r="C171" s="23" t="s">
        <v>10</v>
      </c>
      <c r="D171" s="23" t="s">
        <v>10</v>
      </c>
      <c r="E171" s="23" t="s">
        <v>10</v>
      </c>
      <c r="F171" s="23" t="s">
        <v>11</v>
      </c>
      <c r="G171" s="18" t="s">
        <v>714</v>
      </c>
      <c r="H171" s="19">
        <v>125.54600000000001</v>
      </c>
      <c r="I171" s="37">
        <v>600</v>
      </c>
      <c r="J171" s="19">
        <v>98.5</v>
      </c>
      <c r="K171" s="20" t="s">
        <v>1216</v>
      </c>
      <c r="L171" s="49" t="s">
        <v>1819</v>
      </c>
      <c r="M171" s="38" t="s">
        <v>1820</v>
      </c>
      <c r="N171" s="124">
        <v>43770</v>
      </c>
      <c r="O171" s="38" t="s">
        <v>1819</v>
      </c>
      <c r="P171" s="38" t="s">
        <v>17</v>
      </c>
      <c r="Q171" s="38" t="s">
        <v>17</v>
      </c>
      <c r="R171" s="151"/>
      <c r="S171" s="39" t="s">
        <v>11</v>
      </c>
      <c r="T171" s="39" t="s">
        <v>11</v>
      </c>
      <c r="U171" s="153">
        <v>0.33</v>
      </c>
      <c r="V171" s="153"/>
      <c r="W171" s="153"/>
      <c r="X171" s="153">
        <v>870</v>
      </c>
      <c r="Y171" s="153">
        <v>1000</v>
      </c>
      <c r="Z171" s="153">
        <v>1300</v>
      </c>
      <c r="AA171" s="40">
        <v>12.555</v>
      </c>
      <c r="AB171" s="40">
        <v>25.109000000000002</v>
      </c>
      <c r="AC171" s="40">
        <v>37.664000000000001</v>
      </c>
      <c r="AD171" s="40">
        <v>62.773000000000003</v>
      </c>
      <c r="AE171" s="40">
        <v>94.16</v>
      </c>
      <c r="AF171" s="40">
        <v>125.54600000000001</v>
      </c>
      <c r="AG171" s="40">
        <v>98.79</v>
      </c>
      <c r="AH171" s="40">
        <v>99.03</v>
      </c>
      <c r="AI171" s="40">
        <v>99.05</v>
      </c>
      <c r="AJ171" s="40">
        <v>99.01</v>
      </c>
      <c r="AK171" s="40">
        <v>98.81</v>
      </c>
      <c r="AL171" s="40">
        <v>98.58</v>
      </c>
      <c r="AM171" s="40">
        <v>98.88</v>
      </c>
      <c r="AN171" s="40">
        <v>98.2</v>
      </c>
      <c r="AO171" s="40">
        <v>98.51</v>
      </c>
      <c r="AP171" s="40">
        <v>98.6</v>
      </c>
      <c r="AQ171" s="40">
        <v>98.54</v>
      </c>
      <c r="AR171" s="40">
        <v>98.33</v>
      </c>
      <c r="AS171" s="40">
        <v>98.01</v>
      </c>
      <c r="AT171" s="40">
        <v>98.39</v>
      </c>
      <c r="AU171" s="40">
        <v>97.56</v>
      </c>
      <c r="AV171" s="40">
        <v>98.01</v>
      </c>
      <c r="AW171" s="40">
        <v>98.15</v>
      </c>
      <c r="AX171" s="40">
        <v>98.17</v>
      </c>
      <c r="AY171" s="40">
        <v>97.96</v>
      </c>
      <c r="AZ171" s="40">
        <v>97.63</v>
      </c>
      <c r="BA171" s="40">
        <v>98</v>
      </c>
      <c r="BB171" s="180">
        <v>43770</v>
      </c>
      <c r="BC171" s="180"/>
    </row>
    <row r="172" spans="1:55" s="44" customFormat="1" ht="45">
      <c r="A172" s="18" t="s">
        <v>1</v>
      </c>
      <c r="B172" s="18" t="s">
        <v>849</v>
      </c>
      <c r="C172" s="23" t="s">
        <v>10</v>
      </c>
      <c r="D172" s="23" t="s">
        <v>10</v>
      </c>
      <c r="E172" s="23" t="s">
        <v>10</v>
      </c>
      <c r="F172" s="23" t="s">
        <v>11</v>
      </c>
      <c r="G172" s="18" t="s">
        <v>714</v>
      </c>
      <c r="H172" s="19">
        <v>125</v>
      </c>
      <c r="I172" s="37">
        <v>600</v>
      </c>
      <c r="J172" s="19">
        <v>98.5</v>
      </c>
      <c r="K172" s="21" t="s">
        <v>1216</v>
      </c>
      <c r="L172" s="49" t="s">
        <v>712</v>
      </c>
      <c r="M172" s="38" t="s">
        <v>713</v>
      </c>
      <c r="N172" s="174">
        <v>43388</v>
      </c>
      <c r="O172" s="49" t="s">
        <v>712</v>
      </c>
      <c r="P172" s="23" t="s">
        <v>17</v>
      </c>
      <c r="Q172" s="23" t="s">
        <v>17</v>
      </c>
      <c r="R172" s="151"/>
      <c r="S172" s="39" t="s">
        <v>11</v>
      </c>
      <c r="T172" s="39" t="s">
        <v>11</v>
      </c>
      <c r="U172" s="153">
        <v>4.9000000000000004</v>
      </c>
      <c r="V172" s="153"/>
      <c r="W172" s="153"/>
      <c r="X172" s="153">
        <v>870</v>
      </c>
      <c r="Y172" s="153">
        <v>1000</v>
      </c>
      <c r="Z172" s="153">
        <v>1300</v>
      </c>
      <c r="AA172" s="40">
        <v>12.5</v>
      </c>
      <c r="AB172" s="40">
        <v>25</v>
      </c>
      <c r="AC172" s="40">
        <v>37.5</v>
      </c>
      <c r="AD172" s="40">
        <v>62.5</v>
      </c>
      <c r="AE172" s="40">
        <v>93.75</v>
      </c>
      <c r="AF172" s="40">
        <v>125</v>
      </c>
      <c r="AG172" s="40">
        <v>98.707684820160623</v>
      </c>
      <c r="AH172" s="40">
        <v>99.032876683015886</v>
      </c>
      <c r="AI172" s="40">
        <v>99.06907867202689</v>
      </c>
      <c r="AJ172" s="40">
        <v>98.952307926326014</v>
      </c>
      <c r="AK172" s="40">
        <v>98.789908624320944</v>
      </c>
      <c r="AL172" s="40">
        <v>98.561327097315782</v>
      </c>
      <c r="AM172" s="40">
        <v>98.854943257884798</v>
      </c>
      <c r="AN172" s="40">
        <v>98.100765115696163</v>
      </c>
      <c r="AO172" s="40">
        <v>98.562967124892893</v>
      </c>
      <c r="AP172" s="40">
        <v>98.584147101616665</v>
      </c>
      <c r="AQ172" s="40">
        <v>98.538352052196359</v>
      </c>
      <c r="AR172" s="40">
        <v>98.35202881328668</v>
      </c>
      <c r="AS172" s="40">
        <v>98.051253876208165</v>
      </c>
      <c r="AT172" s="40">
        <v>98.404468508880086</v>
      </c>
      <c r="AU172" s="40">
        <v>97.417075240097319</v>
      </c>
      <c r="AV172" s="40">
        <v>98.038277017220338</v>
      </c>
      <c r="AW172" s="40">
        <v>98.140012382549841</v>
      </c>
      <c r="AX172" s="40">
        <v>98.141131689216635</v>
      </c>
      <c r="AY172" s="40">
        <v>97.978233161124621</v>
      </c>
      <c r="AZ172" s="40">
        <v>97.699223726568917</v>
      </c>
      <c r="BA172" s="40">
        <v>97.998460762830888</v>
      </c>
      <c r="BB172" s="174">
        <v>43313</v>
      </c>
      <c r="BC172" s="174">
        <v>43388</v>
      </c>
    </row>
    <row r="173" spans="1:55" s="44" customFormat="1" ht="60">
      <c r="A173" s="168" t="s">
        <v>551</v>
      </c>
      <c r="B173" s="168" t="s">
        <v>1670</v>
      </c>
      <c r="C173" s="158" t="s">
        <v>10</v>
      </c>
      <c r="D173" s="158" t="s">
        <v>10</v>
      </c>
      <c r="E173" s="158" t="s">
        <v>10</v>
      </c>
      <c r="F173" s="158" t="s">
        <v>11</v>
      </c>
      <c r="G173" s="168" t="s">
        <v>1613</v>
      </c>
      <c r="H173" s="169">
        <v>5.0739999999999998</v>
      </c>
      <c r="I173" s="159">
        <v>240</v>
      </c>
      <c r="J173" s="164">
        <v>95.5</v>
      </c>
      <c r="K173" s="160" t="s">
        <v>1217</v>
      </c>
      <c r="L173" s="38" t="s">
        <v>555</v>
      </c>
      <c r="M173" s="38" t="s">
        <v>556</v>
      </c>
      <c r="N173" s="174">
        <v>43388</v>
      </c>
      <c r="O173" s="124" t="s">
        <v>1637</v>
      </c>
      <c r="P173" s="23" t="s">
        <v>17</v>
      </c>
      <c r="Q173" s="23" t="s">
        <v>17</v>
      </c>
      <c r="R173" s="170"/>
      <c r="S173" s="39" t="s">
        <v>11</v>
      </c>
      <c r="T173" s="39" t="s">
        <v>11</v>
      </c>
      <c r="U173" s="153">
        <v>0.43</v>
      </c>
      <c r="V173" s="163"/>
      <c r="W173" s="163"/>
      <c r="X173" s="153">
        <v>300</v>
      </c>
      <c r="Y173" s="153">
        <v>360</v>
      </c>
      <c r="Z173" s="153">
        <v>380</v>
      </c>
      <c r="AA173" s="40">
        <v>0.50800000000000001</v>
      </c>
      <c r="AB173" s="40">
        <v>1.016</v>
      </c>
      <c r="AC173" s="40">
        <v>1.524</v>
      </c>
      <c r="AD173" s="40">
        <v>2.54</v>
      </c>
      <c r="AE173" s="40">
        <v>3.81</v>
      </c>
      <c r="AF173" s="40">
        <v>5.0759999999999996</v>
      </c>
      <c r="AG173" s="40">
        <v>89.228338400000013</v>
      </c>
      <c r="AH173" s="40">
        <v>93.736259799999999</v>
      </c>
      <c r="AI173" s="40">
        <v>94.907423600000001</v>
      </c>
      <c r="AJ173" s="40">
        <v>95.751822599999997</v>
      </c>
      <c r="AK173" s="40">
        <v>95.886322399999997</v>
      </c>
      <c r="AL173" s="40">
        <v>95.612956999999994</v>
      </c>
      <c r="AM173" s="40">
        <v>95.353118825999999</v>
      </c>
      <c r="AN173" s="40">
        <v>89.489125199999989</v>
      </c>
      <c r="AO173" s="40">
        <v>93.948561799999993</v>
      </c>
      <c r="AP173" s="40">
        <v>95.256629000000004</v>
      </c>
      <c r="AQ173" s="40">
        <v>95.913850999999994</v>
      </c>
      <c r="AR173" s="40">
        <v>96.033797399999997</v>
      </c>
      <c r="AS173" s="40">
        <v>95.885842800000006</v>
      </c>
      <c r="AT173" s="40">
        <v>95.54190204999999</v>
      </c>
      <c r="AU173" s="40">
        <v>89.3176694</v>
      </c>
      <c r="AV173" s="40">
        <v>94.004821399999997</v>
      </c>
      <c r="AW173" s="40">
        <v>95.202498000000006</v>
      </c>
      <c r="AX173" s="40">
        <v>95.947675400000008</v>
      </c>
      <c r="AY173" s="40">
        <v>96.0160956</v>
      </c>
      <c r="AZ173" s="40">
        <v>95.91960379999999</v>
      </c>
      <c r="BA173" s="40">
        <v>95.530770297999993</v>
      </c>
      <c r="BB173" s="174">
        <v>43174</v>
      </c>
      <c r="BC173" s="178">
        <v>43254</v>
      </c>
    </row>
    <row r="174" spans="1:55" s="44" customFormat="1" ht="60">
      <c r="A174" s="18" t="s">
        <v>551</v>
      </c>
      <c r="B174" s="18" t="s">
        <v>1744</v>
      </c>
      <c r="C174" s="23" t="s">
        <v>10</v>
      </c>
      <c r="D174" s="23" t="s">
        <v>10</v>
      </c>
      <c r="E174" s="23" t="s">
        <v>10</v>
      </c>
      <c r="F174" s="23" t="s">
        <v>11</v>
      </c>
      <c r="G174" s="18" t="s">
        <v>1728</v>
      </c>
      <c r="H174" s="19">
        <v>4.665</v>
      </c>
      <c r="I174" s="37">
        <v>240</v>
      </c>
      <c r="J174" s="19">
        <v>90</v>
      </c>
      <c r="K174" s="20" t="s">
        <v>1217</v>
      </c>
      <c r="L174" s="49" t="s">
        <v>1729</v>
      </c>
      <c r="M174" s="38" t="s">
        <v>1730</v>
      </c>
      <c r="N174" s="124">
        <v>43678</v>
      </c>
      <c r="O174" s="38" t="s">
        <v>1729</v>
      </c>
      <c r="P174" s="38" t="s">
        <v>17</v>
      </c>
      <c r="Q174" s="38" t="s">
        <v>17</v>
      </c>
      <c r="R174" s="151"/>
      <c r="S174" s="39" t="s">
        <v>11</v>
      </c>
      <c r="T174" s="39" t="s">
        <v>11</v>
      </c>
      <c r="U174" s="162">
        <v>0.60209999999999997</v>
      </c>
      <c r="V174" s="153"/>
      <c r="W174" s="153"/>
      <c r="X174" s="153">
        <v>48</v>
      </c>
      <c r="Y174" s="153">
        <v>53</v>
      </c>
      <c r="Z174" s="153">
        <v>56.5</v>
      </c>
      <c r="AA174" s="40">
        <v>0.46648040000000002</v>
      </c>
      <c r="AB174" s="40">
        <v>0.93296080000000003</v>
      </c>
      <c r="AC174" s="40">
        <v>1.3994412000000001</v>
      </c>
      <c r="AD174" s="40">
        <v>2.3324020000000001</v>
      </c>
      <c r="AE174" s="40">
        <v>3.4986030000000001</v>
      </c>
      <c r="AF174" s="40">
        <v>4.6648040000000002</v>
      </c>
      <c r="AG174" s="40">
        <v>82.117947999999984</v>
      </c>
      <c r="AH174" s="40">
        <v>89.1570854</v>
      </c>
      <c r="AI174" s="40">
        <v>90.215769399999999</v>
      </c>
      <c r="AJ174" s="40">
        <v>90.006299400000003</v>
      </c>
      <c r="AK174" s="40">
        <v>88.786562600000011</v>
      </c>
      <c r="AL174" s="40">
        <v>86.890373199999999</v>
      </c>
      <c r="AM174" s="40">
        <v>88.871184230000011</v>
      </c>
      <c r="AN174" s="40">
        <v>82.005393799999993</v>
      </c>
      <c r="AO174" s="40">
        <v>89.687109800000002</v>
      </c>
      <c r="AP174" s="40">
        <v>91.170325399999996</v>
      </c>
      <c r="AQ174" s="40">
        <v>91.382553000000001</v>
      </c>
      <c r="AR174" s="40">
        <v>90.554287599999995</v>
      </c>
      <c r="AS174" s="40">
        <v>89.469502599999998</v>
      </c>
      <c r="AT174" s="40">
        <v>90.362593977999992</v>
      </c>
      <c r="AU174" s="40">
        <v>80.886379600000012</v>
      </c>
      <c r="AV174" s="40">
        <v>89.174117199999998</v>
      </c>
      <c r="AW174" s="40">
        <v>90.992482999999993</v>
      </c>
      <c r="AX174" s="40">
        <v>91.440130600000003</v>
      </c>
      <c r="AY174" s="40">
        <v>91.1443522</v>
      </c>
      <c r="AZ174" s="40">
        <v>90.180666800000012</v>
      </c>
      <c r="BA174" s="40">
        <v>90.631226436000006</v>
      </c>
      <c r="BB174" s="180">
        <v>43678</v>
      </c>
      <c r="BC174" s="180"/>
    </row>
    <row r="175" spans="1:55" s="44" customFormat="1" ht="45">
      <c r="A175" s="18" t="s">
        <v>2</v>
      </c>
      <c r="B175" s="18" t="s">
        <v>880</v>
      </c>
      <c r="C175" s="39" t="s">
        <v>10</v>
      </c>
      <c r="D175" s="39" t="s">
        <v>10</v>
      </c>
      <c r="E175" s="23" t="s">
        <v>10</v>
      </c>
      <c r="F175" s="23" t="s">
        <v>11</v>
      </c>
      <c r="G175" s="18" t="s">
        <v>270</v>
      </c>
      <c r="H175" s="125">
        <v>125</v>
      </c>
      <c r="I175" s="127">
        <v>480</v>
      </c>
      <c r="J175" s="136">
        <v>97</v>
      </c>
      <c r="K175" s="21" t="s">
        <v>1216</v>
      </c>
      <c r="L175" s="49" t="s">
        <v>432</v>
      </c>
      <c r="M175" s="23" t="s">
        <v>752</v>
      </c>
      <c r="N175" s="174">
        <v>43388</v>
      </c>
      <c r="O175" s="49" t="s">
        <v>432</v>
      </c>
      <c r="P175" s="23" t="s">
        <v>17</v>
      </c>
      <c r="Q175" s="23" t="s">
        <v>17</v>
      </c>
      <c r="R175" s="18"/>
      <c r="S175" s="23" t="s">
        <v>11</v>
      </c>
      <c r="T175" s="23" t="s">
        <v>11</v>
      </c>
      <c r="U175" s="19">
        <v>22.4</v>
      </c>
      <c r="V175" s="153"/>
      <c r="W175" s="153"/>
      <c r="X175" s="153">
        <v>750</v>
      </c>
      <c r="Y175" s="153">
        <v>900</v>
      </c>
      <c r="Z175" s="153">
        <v>1000</v>
      </c>
      <c r="AA175" s="40">
        <v>12.5</v>
      </c>
      <c r="AB175" s="40">
        <v>25</v>
      </c>
      <c r="AC175" s="40">
        <v>37.5</v>
      </c>
      <c r="AD175" s="40">
        <v>62.5</v>
      </c>
      <c r="AE175" s="40">
        <v>93.75</v>
      </c>
      <c r="AF175" s="40">
        <v>125</v>
      </c>
      <c r="AG175" s="40">
        <v>95.730999999999995</v>
      </c>
      <c r="AH175" s="40">
        <v>97.198189999999997</v>
      </c>
      <c r="AI175" s="40">
        <v>97.548190000000005</v>
      </c>
      <c r="AJ175" s="40">
        <v>97.647239999999996</v>
      </c>
      <c r="AK175" s="40">
        <v>97.441190000000006</v>
      </c>
      <c r="AL175" s="40">
        <v>97.214240000000004</v>
      </c>
      <c r="AM175" s="40">
        <v>97.4054</v>
      </c>
      <c r="AN175" s="40">
        <v>93.804569999999998</v>
      </c>
      <c r="AO175" s="40">
        <v>96.323999999999998</v>
      </c>
      <c r="AP175" s="40">
        <v>96.933099999999996</v>
      </c>
      <c r="AQ175" s="40">
        <v>97.278049999999993</v>
      </c>
      <c r="AR175" s="40">
        <v>97.268619999999999</v>
      </c>
      <c r="AS175" s="40">
        <v>97.116900000000001</v>
      </c>
      <c r="AT175" s="40">
        <v>97.036959999999993</v>
      </c>
      <c r="AU175" s="40">
        <v>92.311189999999996</v>
      </c>
      <c r="AV175" s="40">
        <v>95.662189999999995</v>
      </c>
      <c r="AW175" s="40">
        <v>96.477620000000002</v>
      </c>
      <c r="AX175" s="40">
        <v>96.970429999999993</v>
      </c>
      <c r="AY175" s="40">
        <v>97.034760000000006</v>
      </c>
      <c r="AZ175" s="40">
        <v>96.800430000000006</v>
      </c>
      <c r="BA175" s="40">
        <v>96.685109999999995</v>
      </c>
      <c r="BB175" s="174">
        <v>43040</v>
      </c>
      <c r="BC175" s="174">
        <v>43388</v>
      </c>
    </row>
    <row r="176" spans="1:55" s="44" customFormat="1" ht="45">
      <c r="A176" s="18" t="s">
        <v>2</v>
      </c>
      <c r="B176" s="18" t="s">
        <v>1745</v>
      </c>
      <c r="C176" s="23" t="s">
        <v>10</v>
      </c>
      <c r="D176" s="23" t="s">
        <v>10</v>
      </c>
      <c r="E176" s="23" t="s">
        <v>10</v>
      </c>
      <c r="F176" s="23" t="s">
        <v>11</v>
      </c>
      <c r="G176" s="18" t="s">
        <v>1741</v>
      </c>
      <c r="H176" s="19">
        <v>30.488</v>
      </c>
      <c r="I176" s="37">
        <v>277</v>
      </c>
      <c r="J176" s="19">
        <v>98</v>
      </c>
      <c r="K176" s="20" t="s">
        <v>1216</v>
      </c>
      <c r="L176" s="49" t="s">
        <v>1742</v>
      </c>
      <c r="M176" s="38" t="s">
        <v>1743</v>
      </c>
      <c r="N176" s="124">
        <v>43678</v>
      </c>
      <c r="O176" s="38" t="s">
        <v>1742</v>
      </c>
      <c r="P176" s="38" t="s">
        <v>17</v>
      </c>
      <c r="Q176" s="38" t="s">
        <v>17</v>
      </c>
      <c r="R176" s="151"/>
      <c r="S176" s="39" t="s">
        <v>11</v>
      </c>
      <c r="T176" s="39" t="s">
        <v>11</v>
      </c>
      <c r="U176" s="153">
        <v>1.59</v>
      </c>
      <c r="V176" s="153"/>
      <c r="W176" s="153"/>
      <c r="X176" s="153">
        <v>515</v>
      </c>
      <c r="Y176" s="153">
        <v>750</v>
      </c>
      <c r="Z176" s="153">
        <v>830</v>
      </c>
      <c r="AA176" s="40">
        <v>3.048756</v>
      </c>
      <c r="AB176" s="40">
        <v>6.097512</v>
      </c>
      <c r="AC176" s="40">
        <v>9.1462679999999992</v>
      </c>
      <c r="AD176" s="40">
        <v>15.243779999999999</v>
      </c>
      <c r="AE176" s="40">
        <v>22.865669999999998</v>
      </c>
      <c r="AF176" s="40">
        <v>30.487559999999998</v>
      </c>
      <c r="AG176" s="40">
        <v>95.922154835817892</v>
      </c>
      <c r="AH176" s="40">
        <v>97.135291210035561</v>
      </c>
      <c r="AI176" s="40">
        <v>97.544908906393758</v>
      </c>
      <c r="AJ176" s="40">
        <v>97.751463175700522</v>
      </c>
      <c r="AK176" s="40">
        <v>97.700984927947204</v>
      </c>
      <c r="AL176" s="40">
        <v>97.479578495437408</v>
      </c>
      <c r="AM176" s="40">
        <v>97.582348026182757</v>
      </c>
      <c r="AN176" s="40">
        <v>97.446064997289312</v>
      </c>
      <c r="AO176" s="40">
        <v>98.320910511694706</v>
      </c>
      <c r="AP176" s="40">
        <v>98.555546035701482</v>
      </c>
      <c r="AQ176" s="40">
        <v>98.626573936177579</v>
      </c>
      <c r="AR176" s="40">
        <v>98.580992908231693</v>
      </c>
      <c r="AS176" s="40">
        <v>98.464732043126773</v>
      </c>
      <c r="AT176" s="40">
        <v>98.523297019876921</v>
      </c>
      <c r="AU176" s="40">
        <v>96.972530703660837</v>
      </c>
      <c r="AV176" s="40">
        <v>98.105529055929964</v>
      </c>
      <c r="AW176" s="40">
        <v>98.382049606322511</v>
      </c>
      <c r="AX176" s="40">
        <v>98.480939986559989</v>
      </c>
      <c r="AY176" s="40">
        <v>98.451648843723589</v>
      </c>
      <c r="AZ176" s="40">
        <v>98.316574438180396</v>
      </c>
      <c r="BA176" s="40">
        <v>98.366223639961746</v>
      </c>
      <c r="BB176" s="180">
        <v>43678</v>
      </c>
      <c r="BC176" s="180"/>
    </row>
    <row r="177" spans="1:55" s="44" customFormat="1" ht="45">
      <c r="A177" s="18" t="s">
        <v>2</v>
      </c>
      <c r="B177" s="18" t="s">
        <v>857</v>
      </c>
      <c r="C177" s="23" t="s">
        <v>10</v>
      </c>
      <c r="D177" s="23" t="s">
        <v>10</v>
      </c>
      <c r="E177" s="23" t="s">
        <v>10</v>
      </c>
      <c r="F177" s="23" t="s">
        <v>11</v>
      </c>
      <c r="G177" s="18" t="s">
        <v>678</v>
      </c>
      <c r="H177" s="19">
        <v>4.992</v>
      </c>
      <c r="I177" s="37">
        <v>208</v>
      </c>
      <c r="J177" s="19">
        <v>97</v>
      </c>
      <c r="K177" s="21" t="s">
        <v>1216</v>
      </c>
      <c r="L177" s="49" t="s">
        <v>679</v>
      </c>
      <c r="M177" s="38" t="s">
        <v>540</v>
      </c>
      <c r="N177" s="174">
        <v>43388</v>
      </c>
      <c r="O177" s="49" t="s">
        <v>679</v>
      </c>
      <c r="P177" s="23" t="s">
        <v>17</v>
      </c>
      <c r="Q177" s="23" t="s">
        <v>17</v>
      </c>
      <c r="R177" s="151"/>
      <c r="S177" s="39" t="s">
        <v>10</v>
      </c>
      <c r="T177" s="39" t="s">
        <v>11</v>
      </c>
      <c r="U177" s="153">
        <v>1.86</v>
      </c>
      <c r="V177" s="153"/>
      <c r="W177" s="153"/>
      <c r="X177" s="153">
        <v>200</v>
      </c>
      <c r="Y177" s="153">
        <v>380</v>
      </c>
      <c r="Z177" s="153">
        <v>480</v>
      </c>
      <c r="AA177" s="40">
        <v>0.49920000000000003</v>
      </c>
      <c r="AB177" s="40">
        <v>0.99840000000000007</v>
      </c>
      <c r="AC177" s="40">
        <v>1.4976</v>
      </c>
      <c r="AD177" s="40">
        <v>2.496</v>
      </c>
      <c r="AE177" s="40">
        <v>3.7439999999999998</v>
      </c>
      <c r="AF177" s="40">
        <v>4.992</v>
      </c>
      <c r="AG177" s="40">
        <v>94.001552279710452</v>
      </c>
      <c r="AH177" s="40">
        <v>95.64854413845292</v>
      </c>
      <c r="AI177" s="40">
        <v>96.470502310715119</v>
      </c>
      <c r="AJ177" s="40">
        <v>97.031778029948327</v>
      </c>
      <c r="AK177" s="40">
        <v>96.98839431139308</v>
      </c>
      <c r="AL177" s="40">
        <v>96.678915967705834</v>
      </c>
      <c r="AM177" s="40">
        <v>96.733417745109648</v>
      </c>
      <c r="AN177" s="40">
        <v>95.696002839548186</v>
      </c>
      <c r="AO177" s="40">
        <v>97.220439644049392</v>
      </c>
      <c r="AP177" s="40">
        <v>97.652205765380231</v>
      </c>
      <c r="AQ177" s="40">
        <v>97.83623139070302</v>
      </c>
      <c r="AR177" s="40">
        <v>97.667061705813495</v>
      </c>
      <c r="AS177" s="40">
        <v>97.349085557061244</v>
      </c>
      <c r="AT177" s="40">
        <v>97.583732361611879</v>
      </c>
      <c r="AU177" s="40">
        <v>94.631669734067614</v>
      </c>
      <c r="AV177" s="40">
        <v>96.516985505297939</v>
      </c>
      <c r="AW177" s="40">
        <v>97.173540834476398</v>
      </c>
      <c r="AX177" s="40">
        <v>97.541628657333121</v>
      </c>
      <c r="AY177" s="40">
        <v>97.47105873269301</v>
      </c>
      <c r="AZ177" s="40">
        <v>97.173936814249188</v>
      </c>
      <c r="BA177" s="40">
        <v>97.274040951844484</v>
      </c>
      <c r="BB177" s="174">
        <v>43313</v>
      </c>
      <c r="BC177" s="174">
        <v>43388</v>
      </c>
    </row>
    <row r="178" spans="1:55" s="44" customFormat="1" ht="45">
      <c r="A178" s="18" t="s">
        <v>2</v>
      </c>
      <c r="B178" s="18" t="s">
        <v>862</v>
      </c>
      <c r="C178" s="23" t="s">
        <v>10</v>
      </c>
      <c r="D178" s="23" t="s">
        <v>10</v>
      </c>
      <c r="E178" s="23" t="s">
        <v>10</v>
      </c>
      <c r="F178" s="23" t="s">
        <v>11</v>
      </c>
      <c r="G178" s="18" t="s">
        <v>680</v>
      </c>
      <c r="H178" s="19">
        <v>5.76</v>
      </c>
      <c r="I178" s="37">
        <v>240</v>
      </c>
      <c r="J178" s="19">
        <v>97.5</v>
      </c>
      <c r="K178" s="21" t="s">
        <v>1216</v>
      </c>
      <c r="L178" s="49" t="s">
        <v>679</v>
      </c>
      <c r="M178" s="38" t="s">
        <v>540</v>
      </c>
      <c r="N178" s="174">
        <v>43388</v>
      </c>
      <c r="O178" s="49" t="s">
        <v>679</v>
      </c>
      <c r="P178" s="23" t="s">
        <v>17</v>
      </c>
      <c r="Q178" s="23" t="s">
        <v>17</v>
      </c>
      <c r="R178" s="151"/>
      <c r="S178" s="39" t="s">
        <v>10</v>
      </c>
      <c r="T178" s="39" t="s">
        <v>11</v>
      </c>
      <c r="U178" s="153">
        <v>2.25</v>
      </c>
      <c r="V178" s="153"/>
      <c r="W178" s="153"/>
      <c r="X178" s="153">
        <v>200</v>
      </c>
      <c r="Y178" s="153">
        <v>380</v>
      </c>
      <c r="Z178" s="153">
        <v>480</v>
      </c>
      <c r="AA178" s="40">
        <v>0.57599999999999996</v>
      </c>
      <c r="AB178" s="40">
        <v>1.1519999999999999</v>
      </c>
      <c r="AC178" s="40">
        <v>1.728</v>
      </c>
      <c r="AD178" s="40">
        <v>2.88</v>
      </c>
      <c r="AE178" s="40">
        <v>4.32</v>
      </c>
      <c r="AF178" s="40">
        <v>5.76</v>
      </c>
      <c r="AG178" s="40">
        <v>93.963625969438439</v>
      </c>
      <c r="AH178" s="40">
        <v>95.732446384706193</v>
      </c>
      <c r="AI178" s="40">
        <v>96.532807684212585</v>
      </c>
      <c r="AJ178" s="40">
        <v>97.118348653429621</v>
      </c>
      <c r="AK178" s="40">
        <v>97.062377987109016</v>
      </c>
      <c r="AL178" s="40">
        <v>96.774553568769321</v>
      </c>
      <c r="AM178" s="40">
        <v>96.805745508944824</v>
      </c>
      <c r="AN178" s="40">
        <v>96.257434448555912</v>
      </c>
      <c r="AO178" s="40">
        <v>97.61499418821316</v>
      </c>
      <c r="AP178" s="40">
        <v>97.981948161933175</v>
      </c>
      <c r="AQ178" s="40">
        <v>98.081440619035661</v>
      </c>
      <c r="AR178" s="40">
        <v>97.680440613673383</v>
      </c>
      <c r="AS178" s="40">
        <v>97.626730315988667</v>
      </c>
      <c r="AT178" s="40">
        <v>97.737953437828693</v>
      </c>
      <c r="AU178" s="40">
        <v>95.238569980658667</v>
      </c>
      <c r="AV178" s="40">
        <v>96.982509064759839</v>
      </c>
      <c r="AW178" s="40">
        <v>97.535664405666651</v>
      </c>
      <c r="AX178" s="40">
        <v>97.834209595941928</v>
      </c>
      <c r="AY178" s="40">
        <v>97.754794153662942</v>
      </c>
      <c r="AZ178" s="40">
        <v>97.458502206940707</v>
      </c>
      <c r="BA178" s="40">
        <v>97.591098008080536</v>
      </c>
      <c r="BB178" s="174">
        <v>43313</v>
      </c>
      <c r="BC178" s="174">
        <v>43388</v>
      </c>
    </row>
    <row r="179" spans="1:55" s="44" customFormat="1" ht="45">
      <c r="A179" s="18" t="s">
        <v>2</v>
      </c>
      <c r="B179" s="18" t="s">
        <v>858</v>
      </c>
      <c r="C179" s="23" t="s">
        <v>10</v>
      </c>
      <c r="D179" s="23" t="s">
        <v>10</v>
      </c>
      <c r="E179" s="23" t="s">
        <v>10</v>
      </c>
      <c r="F179" s="23" t="s">
        <v>11</v>
      </c>
      <c r="G179" s="18" t="s">
        <v>683</v>
      </c>
      <c r="H179" s="19">
        <v>5</v>
      </c>
      <c r="I179" s="37">
        <v>208</v>
      </c>
      <c r="J179" s="19">
        <v>98</v>
      </c>
      <c r="K179" s="21" t="s">
        <v>1216</v>
      </c>
      <c r="L179" s="49" t="s">
        <v>679</v>
      </c>
      <c r="M179" s="38" t="s">
        <v>540</v>
      </c>
      <c r="N179" s="174">
        <v>43388</v>
      </c>
      <c r="O179" s="49" t="s">
        <v>679</v>
      </c>
      <c r="P179" s="23" t="s">
        <v>17</v>
      </c>
      <c r="Q179" s="23" t="s">
        <v>17</v>
      </c>
      <c r="R179" s="151"/>
      <c r="S179" s="39" t="s">
        <v>10</v>
      </c>
      <c r="T179" s="39" t="s">
        <v>11</v>
      </c>
      <c r="U179" s="153">
        <v>1.85</v>
      </c>
      <c r="V179" s="153"/>
      <c r="W179" s="153"/>
      <c r="X179" s="153">
        <v>350</v>
      </c>
      <c r="Y179" s="153">
        <v>400</v>
      </c>
      <c r="Z179" s="153">
        <v>480</v>
      </c>
      <c r="AA179" s="40">
        <v>0.5</v>
      </c>
      <c r="AB179" s="40">
        <v>1</v>
      </c>
      <c r="AC179" s="40">
        <v>1.5</v>
      </c>
      <c r="AD179" s="40">
        <v>2.5</v>
      </c>
      <c r="AE179" s="40">
        <v>3.75</v>
      </c>
      <c r="AF179" s="40">
        <v>5</v>
      </c>
      <c r="AG179" s="40">
        <v>96.357619047619053</v>
      </c>
      <c r="AH179" s="40">
        <v>97.710380952380973</v>
      </c>
      <c r="AI179" s="40">
        <v>98.120142857142852</v>
      </c>
      <c r="AJ179" s="40">
        <v>98.208238095238102</v>
      </c>
      <c r="AK179" s="40">
        <v>98.033666666666676</v>
      </c>
      <c r="AL179" s="40">
        <v>97.687619047619037</v>
      </c>
      <c r="AM179" s="40">
        <v>97.980195238095249</v>
      </c>
      <c r="AN179" s="40">
        <v>95.697428571428574</v>
      </c>
      <c r="AO179" s="40">
        <v>97.377047619047616</v>
      </c>
      <c r="AP179" s="40">
        <v>97.868190476190492</v>
      </c>
      <c r="AQ179" s="40">
        <v>98.05714285714285</v>
      </c>
      <c r="AR179" s="40">
        <v>97.920047619047622</v>
      </c>
      <c r="AS179" s="40">
        <v>97.611000000000004</v>
      </c>
      <c r="AT179" s="40">
        <v>97.811107619047618</v>
      </c>
      <c r="AU179" s="40">
        <v>94.798285714285726</v>
      </c>
      <c r="AV179" s="40">
        <v>96.77690476190476</v>
      </c>
      <c r="AW179" s="40">
        <v>97.453619047619057</v>
      </c>
      <c r="AX179" s="40">
        <v>97.765047619047621</v>
      </c>
      <c r="AY179" s="40">
        <v>97.721095238095231</v>
      </c>
      <c r="AZ179" s="40">
        <v>97.430952380952377</v>
      </c>
      <c r="BA179" s="40">
        <v>97.519599047619039</v>
      </c>
      <c r="BB179" s="174">
        <v>43313</v>
      </c>
      <c r="BC179" s="174">
        <v>43388</v>
      </c>
    </row>
    <row r="180" spans="1:55" s="44" customFormat="1" ht="45">
      <c r="A180" s="18" t="s">
        <v>2</v>
      </c>
      <c r="B180" s="18" t="s">
        <v>859</v>
      </c>
      <c r="C180" s="23" t="s">
        <v>10</v>
      </c>
      <c r="D180" s="23" t="s">
        <v>10</v>
      </c>
      <c r="E180" s="23" t="s">
        <v>10</v>
      </c>
      <c r="F180" s="23" t="s">
        <v>11</v>
      </c>
      <c r="G180" s="18" t="s">
        <v>684</v>
      </c>
      <c r="H180" s="19">
        <v>5</v>
      </c>
      <c r="I180" s="37">
        <v>240</v>
      </c>
      <c r="J180" s="19">
        <v>98</v>
      </c>
      <c r="K180" s="21" t="s">
        <v>1216</v>
      </c>
      <c r="L180" s="49" t="s">
        <v>679</v>
      </c>
      <c r="M180" s="38" t="s">
        <v>540</v>
      </c>
      <c r="N180" s="174">
        <v>43388</v>
      </c>
      <c r="O180" s="49" t="s">
        <v>679</v>
      </c>
      <c r="P180" s="23" t="s">
        <v>17</v>
      </c>
      <c r="Q180" s="23" t="s">
        <v>17</v>
      </c>
      <c r="R180" s="151"/>
      <c r="S180" s="39" t="s">
        <v>10</v>
      </c>
      <c r="T180" s="39" t="s">
        <v>11</v>
      </c>
      <c r="U180" s="153">
        <v>2.0499999999999998</v>
      </c>
      <c r="V180" s="153"/>
      <c r="W180" s="153"/>
      <c r="X180" s="153">
        <v>350</v>
      </c>
      <c r="Y180" s="153">
        <v>400</v>
      </c>
      <c r="Z180" s="153">
        <v>480</v>
      </c>
      <c r="AA180" s="40">
        <v>0.5</v>
      </c>
      <c r="AB180" s="40">
        <v>1</v>
      </c>
      <c r="AC180" s="40">
        <v>1.5</v>
      </c>
      <c r="AD180" s="40">
        <v>2.5</v>
      </c>
      <c r="AE180" s="40">
        <v>3.75</v>
      </c>
      <c r="AF180" s="40">
        <v>5</v>
      </c>
      <c r="AG180" s="40">
        <v>96.480904761904767</v>
      </c>
      <c r="AH180" s="40">
        <v>97.584571428571422</v>
      </c>
      <c r="AI180" s="40">
        <v>98.116714285714281</v>
      </c>
      <c r="AJ180" s="40">
        <v>98.473571428571418</v>
      </c>
      <c r="AK180" s="40">
        <v>98.323761904761909</v>
      </c>
      <c r="AL180" s="40">
        <v>97.935095238095229</v>
      </c>
      <c r="AM180" s="40">
        <v>98.200269047619059</v>
      </c>
      <c r="AN180" s="40">
        <v>95.893809523809523</v>
      </c>
      <c r="AO180" s="40">
        <v>97.550809523809534</v>
      </c>
      <c r="AP180" s="40">
        <v>98.008380952380961</v>
      </c>
      <c r="AQ180" s="40">
        <v>98.450666666666663</v>
      </c>
      <c r="AR180" s="40">
        <v>98.350333333333339</v>
      </c>
      <c r="AS180" s="40">
        <v>98.123761904761906</v>
      </c>
      <c r="AT180" s="40">
        <v>98.18080333333333</v>
      </c>
      <c r="AU180" s="40">
        <v>94.871809523809517</v>
      </c>
      <c r="AV180" s="40">
        <v>96.934095238095253</v>
      </c>
      <c r="AW180" s="40">
        <v>97.58580952380953</v>
      </c>
      <c r="AX180" s="40">
        <v>98.19490476190478</v>
      </c>
      <c r="AY180" s="40">
        <v>98.167285714285725</v>
      </c>
      <c r="AZ180" s="40">
        <v>97.967238095238102</v>
      </c>
      <c r="BA180" s="40">
        <v>97.899827619047642</v>
      </c>
      <c r="BB180" s="174">
        <v>43313</v>
      </c>
      <c r="BC180" s="174">
        <v>43388</v>
      </c>
    </row>
    <row r="181" spans="1:55" s="44" customFormat="1" ht="60">
      <c r="A181" s="18" t="s">
        <v>2</v>
      </c>
      <c r="B181" s="18" t="s">
        <v>869</v>
      </c>
      <c r="C181" s="23" t="s">
        <v>10</v>
      </c>
      <c r="D181" s="23" t="s">
        <v>10</v>
      </c>
      <c r="E181" s="23" t="s">
        <v>10</v>
      </c>
      <c r="F181" s="23" t="s">
        <v>11</v>
      </c>
      <c r="G181" s="18" t="s">
        <v>1478</v>
      </c>
      <c r="H181" s="19">
        <v>6.6559999999999997</v>
      </c>
      <c r="I181" s="37">
        <v>208</v>
      </c>
      <c r="J181" s="19">
        <v>97.5</v>
      </c>
      <c r="K181" s="21" t="s">
        <v>1216</v>
      </c>
      <c r="L181" s="49" t="s">
        <v>679</v>
      </c>
      <c r="M181" s="38" t="s">
        <v>540</v>
      </c>
      <c r="N181" s="174">
        <v>43388</v>
      </c>
      <c r="O181" s="49" t="s">
        <v>679</v>
      </c>
      <c r="P181" s="23" t="s">
        <v>17</v>
      </c>
      <c r="Q181" s="23" t="s">
        <v>17</v>
      </c>
      <c r="R181" s="151"/>
      <c r="S181" s="39" t="s">
        <v>10</v>
      </c>
      <c r="T181" s="39" t="s">
        <v>11</v>
      </c>
      <c r="U181" s="153">
        <v>1.1499999999999999</v>
      </c>
      <c r="V181" s="153"/>
      <c r="W181" s="153"/>
      <c r="X181" s="153">
        <v>270</v>
      </c>
      <c r="Y181" s="153">
        <v>380</v>
      </c>
      <c r="Z181" s="153">
        <v>480</v>
      </c>
      <c r="AA181" s="40">
        <v>0.66559999999999997</v>
      </c>
      <c r="AB181" s="40">
        <v>1.3311999999999999</v>
      </c>
      <c r="AC181" s="40">
        <v>1.9967999999999999</v>
      </c>
      <c r="AD181" s="40">
        <v>3.3279999999999998</v>
      </c>
      <c r="AE181" s="40">
        <v>4.992</v>
      </c>
      <c r="AF181" s="40">
        <v>6.6559999999999997</v>
      </c>
      <c r="AG181" s="40">
        <v>95.230826251614573</v>
      </c>
      <c r="AH181" s="40">
        <v>96.891036349418002</v>
      </c>
      <c r="AI181" s="40">
        <v>97.383516545836727</v>
      </c>
      <c r="AJ181" s="40">
        <v>97.634333677831506</v>
      </c>
      <c r="AK181" s="40">
        <v>97.427625078509706</v>
      </c>
      <c r="AL181" s="40">
        <v>97.050617106357407</v>
      </c>
      <c r="AM181" s="40">
        <v>97.332189072308523</v>
      </c>
      <c r="AN181" s="40">
        <v>95.947578725965741</v>
      </c>
      <c r="AO181" s="40">
        <v>97.410382433977375</v>
      </c>
      <c r="AP181" s="40">
        <v>97.794550069017504</v>
      </c>
      <c r="AQ181" s="40">
        <v>97.948730653616494</v>
      </c>
      <c r="AR181" s="40">
        <v>97.699721373214217</v>
      </c>
      <c r="AS181" s="40">
        <v>97.39175599472415</v>
      </c>
      <c r="AT181" s="40">
        <v>97.663441843818802</v>
      </c>
      <c r="AU181" s="40">
        <v>94.854996124491507</v>
      </c>
      <c r="AV181" s="40">
        <v>96.776328670410962</v>
      </c>
      <c r="AW181" s="40">
        <v>97.373903337051033</v>
      </c>
      <c r="AX181" s="40">
        <v>97.660373266831044</v>
      </c>
      <c r="AY181" s="40">
        <v>97.517427624777397</v>
      </c>
      <c r="AZ181" s="40">
        <v>97.162060564850904</v>
      </c>
      <c r="BA181" s="40">
        <v>97.36890273435543</v>
      </c>
      <c r="BB181" s="174">
        <v>43313</v>
      </c>
      <c r="BC181" s="174">
        <v>43388</v>
      </c>
    </row>
    <row r="182" spans="1:55" s="44" customFormat="1" ht="45">
      <c r="A182" s="18" t="s">
        <v>2</v>
      </c>
      <c r="B182" s="18" t="s">
        <v>872</v>
      </c>
      <c r="C182" s="23" t="s">
        <v>10</v>
      </c>
      <c r="D182" s="23" t="s">
        <v>10</v>
      </c>
      <c r="E182" s="23" t="s">
        <v>10</v>
      </c>
      <c r="F182" s="23" t="s">
        <v>11</v>
      </c>
      <c r="G182" s="18" t="s">
        <v>682</v>
      </c>
      <c r="H182" s="19">
        <v>7.68</v>
      </c>
      <c r="I182" s="37">
        <v>240</v>
      </c>
      <c r="J182" s="19">
        <v>97.5</v>
      </c>
      <c r="K182" s="21" t="s">
        <v>1216</v>
      </c>
      <c r="L182" s="49" t="s">
        <v>679</v>
      </c>
      <c r="M182" s="38" t="s">
        <v>540</v>
      </c>
      <c r="N182" s="174">
        <v>43388</v>
      </c>
      <c r="O182" s="49" t="s">
        <v>679</v>
      </c>
      <c r="P182" s="23" t="s">
        <v>17</v>
      </c>
      <c r="Q182" s="23" t="s">
        <v>17</v>
      </c>
      <c r="R182" s="151"/>
      <c r="S182" s="39" t="s">
        <v>10</v>
      </c>
      <c r="T182" s="39" t="s">
        <v>11</v>
      </c>
      <c r="U182" s="153">
        <v>1.19</v>
      </c>
      <c r="V182" s="153"/>
      <c r="W182" s="153"/>
      <c r="X182" s="153">
        <v>270</v>
      </c>
      <c r="Y182" s="153">
        <v>380</v>
      </c>
      <c r="Z182" s="153">
        <v>480</v>
      </c>
      <c r="AA182" s="40">
        <v>0.76800000000000002</v>
      </c>
      <c r="AB182" s="40">
        <v>1.536</v>
      </c>
      <c r="AC182" s="40">
        <v>2.3039999999999998</v>
      </c>
      <c r="AD182" s="40">
        <v>3.84</v>
      </c>
      <c r="AE182" s="40">
        <v>5.76</v>
      </c>
      <c r="AF182" s="40">
        <v>7.68</v>
      </c>
      <c r="AG182" s="40">
        <v>95.220244762392653</v>
      </c>
      <c r="AH182" s="40">
        <v>96.786476523169469</v>
      </c>
      <c r="AI182" s="40">
        <v>97.360484342448359</v>
      </c>
      <c r="AJ182" s="40">
        <v>97.661527866722594</v>
      </c>
      <c r="AK182" s="40">
        <v>97.514706743622483</v>
      </c>
      <c r="AL182" s="40">
        <v>97.063283332614333</v>
      </c>
      <c r="AM182" s="40">
        <v>97.376271330510363</v>
      </c>
      <c r="AN182" s="40">
        <v>96.557058272771911</v>
      </c>
      <c r="AO182" s="40">
        <v>97.768154171688977</v>
      </c>
      <c r="AP182" s="40">
        <v>98.091693567287209</v>
      </c>
      <c r="AQ182" s="40">
        <v>98.164435292147104</v>
      </c>
      <c r="AR182" s="40">
        <v>97.997075218849318</v>
      </c>
      <c r="AS182" s="40">
        <v>97.640443280171482</v>
      </c>
      <c r="AT182" s="40">
        <v>97.956696708919409</v>
      </c>
      <c r="AU182" s="40">
        <v>95.553280568100988</v>
      </c>
      <c r="AV182" s="40">
        <v>97.213562614555073</v>
      </c>
      <c r="AW182" s="40">
        <v>97.733873018671247</v>
      </c>
      <c r="AX182" s="40">
        <v>97.947621890495725</v>
      </c>
      <c r="AY182" s="40">
        <v>97.848069433399232</v>
      </c>
      <c r="AZ182" s="40">
        <v>97.50177995994143</v>
      </c>
      <c r="BA182" s="40">
        <v>97.714440510395107</v>
      </c>
      <c r="BB182" s="174">
        <v>43313</v>
      </c>
      <c r="BC182" s="174">
        <v>43388</v>
      </c>
    </row>
    <row r="183" spans="1:55" s="44" customFormat="1" ht="45">
      <c r="A183" s="18" t="s">
        <v>2</v>
      </c>
      <c r="B183" s="18" t="s">
        <v>865</v>
      </c>
      <c r="C183" s="23" t="s">
        <v>10</v>
      </c>
      <c r="D183" s="23" t="s">
        <v>10</v>
      </c>
      <c r="E183" s="23" t="s">
        <v>10</v>
      </c>
      <c r="F183" s="23" t="s">
        <v>11</v>
      </c>
      <c r="G183" s="18" t="s">
        <v>685</v>
      </c>
      <c r="H183" s="19">
        <v>6.5</v>
      </c>
      <c r="I183" s="37">
        <v>208</v>
      </c>
      <c r="J183" s="19">
        <v>98</v>
      </c>
      <c r="K183" s="21" t="s">
        <v>1216</v>
      </c>
      <c r="L183" s="49" t="s">
        <v>679</v>
      </c>
      <c r="M183" s="38" t="s">
        <v>540</v>
      </c>
      <c r="N183" s="174">
        <v>43388</v>
      </c>
      <c r="O183" s="49" t="s">
        <v>679</v>
      </c>
      <c r="P183" s="23" t="s">
        <v>17</v>
      </c>
      <c r="Q183" s="23" t="s">
        <v>17</v>
      </c>
      <c r="R183" s="151"/>
      <c r="S183" s="39" t="s">
        <v>10</v>
      </c>
      <c r="T183" s="39" t="s">
        <v>11</v>
      </c>
      <c r="U183" s="153">
        <v>1.91</v>
      </c>
      <c r="V183" s="153"/>
      <c r="W183" s="153"/>
      <c r="X183" s="153">
        <v>350</v>
      </c>
      <c r="Y183" s="153">
        <v>400</v>
      </c>
      <c r="Z183" s="153">
        <v>480</v>
      </c>
      <c r="AA183" s="40">
        <v>0.65</v>
      </c>
      <c r="AB183" s="40">
        <v>1.3</v>
      </c>
      <c r="AC183" s="40">
        <v>1.95</v>
      </c>
      <c r="AD183" s="40">
        <v>3.25</v>
      </c>
      <c r="AE183" s="40">
        <v>4.875</v>
      </c>
      <c r="AF183" s="40">
        <v>6.5</v>
      </c>
      <c r="AG183" s="40">
        <v>96.526761904761912</v>
      </c>
      <c r="AH183" s="40">
        <v>97.805142857142854</v>
      </c>
      <c r="AI183" s="40">
        <v>98.160714285714292</v>
      </c>
      <c r="AJ183" s="40">
        <v>98.27128571428571</v>
      </c>
      <c r="AK183" s="40">
        <v>98.070952380952363</v>
      </c>
      <c r="AL183" s="40">
        <v>97.744761904761887</v>
      </c>
      <c r="AM183" s="40">
        <v>98.032426190476187</v>
      </c>
      <c r="AN183" s="40">
        <v>95.993761904761897</v>
      </c>
      <c r="AO183" s="40">
        <v>97.540190476190475</v>
      </c>
      <c r="AP183" s="40">
        <v>97.940857142857141</v>
      </c>
      <c r="AQ183" s="40">
        <v>98.143666666666647</v>
      </c>
      <c r="AR183" s="40">
        <v>97.973190476190467</v>
      </c>
      <c r="AS183" s="40">
        <v>97.653476190476198</v>
      </c>
      <c r="AT183" s="40">
        <v>97.888297619047606</v>
      </c>
      <c r="AU183" s="40">
        <v>95.077238095238087</v>
      </c>
      <c r="AV183" s="40">
        <v>96.976809523809521</v>
      </c>
      <c r="AW183" s="40">
        <v>97.571476190476204</v>
      </c>
      <c r="AX183" s="40">
        <v>97.884095238095242</v>
      </c>
      <c r="AY183" s="40">
        <v>97.770190476190464</v>
      </c>
      <c r="AZ183" s="40">
        <v>97.46442857142857</v>
      </c>
      <c r="BA183" s="40">
        <v>97.607589523809523</v>
      </c>
      <c r="BB183" s="174">
        <v>43313</v>
      </c>
      <c r="BC183" s="174">
        <v>43388</v>
      </c>
    </row>
    <row r="184" spans="1:55" s="44" customFormat="1" ht="45">
      <c r="A184" s="18" t="s">
        <v>2</v>
      </c>
      <c r="B184" s="18" t="s">
        <v>864</v>
      </c>
      <c r="C184" s="23" t="s">
        <v>10</v>
      </c>
      <c r="D184" s="23" t="s">
        <v>10</v>
      </c>
      <c r="E184" s="23" t="s">
        <v>10</v>
      </c>
      <c r="F184" s="23" t="s">
        <v>11</v>
      </c>
      <c r="G184" s="18" t="s">
        <v>686</v>
      </c>
      <c r="H184" s="19">
        <v>6.4939999999999998</v>
      </c>
      <c r="I184" s="37">
        <v>240</v>
      </c>
      <c r="J184" s="19">
        <v>98</v>
      </c>
      <c r="K184" s="21" t="s">
        <v>1216</v>
      </c>
      <c r="L184" s="49" t="s">
        <v>679</v>
      </c>
      <c r="M184" s="38" t="s">
        <v>540</v>
      </c>
      <c r="N184" s="174">
        <v>43388</v>
      </c>
      <c r="O184" s="49" t="s">
        <v>679</v>
      </c>
      <c r="P184" s="23" t="s">
        <v>17</v>
      </c>
      <c r="Q184" s="23" t="s">
        <v>17</v>
      </c>
      <c r="R184" s="151"/>
      <c r="S184" s="39" t="s">
        <v>10</v>
      </c>
      <c r="T184" s="39" t="s">
        <v>11</v>
      </c>
      <c r="U184" s="153">
        <v>2.1</v>
      </c>
      <c r="V184" s="153"/>
      <c r="W184" s="153"/>
      <c r="X184" s="153">
        <v>350</v>
      </c>
      <c r="Y184" s="153">
        <v>400</v>
      </c>
      <c r="Z184" s="153">
        <v>480</v>
      </c>
      <c r="AA184" s="40">
        <v>0.65</v>
      </c>
      <c r="AB184" s="40">
        <v>1.3</v>
      </c>
      <c r="AC184" s="40">
        <v>1.95</v>
      </c>
      <c r="AD184" s="40">
        <v>3.25</v>
      </c>
      <c r="AE184" s="40">
        <v>4.875</v>
      </c>
      <c r="AF184" s="40">
        <v>6.5</v>
      </c>
      <c r="AG184" s="40">
        <v>96.563999999999993</v>
      </c>
      <c r="AH184" s="40">
        <v>97.95338095238094</v>
      </c>
      <c r="AI184" s="40">
        <v>98.173095238095243</v>
      </c>
      <c r="AJ184" s="40">
        <v>98.382476190476183</v>
      </c>
      <c r="AK184" s="40">
        <v>98.296190476190489</v>
      </c>
      <c r="AL184" s="40">
        <v>98.085619047619048</v>
      </c>
      <c r="AM184" s="40">
        <v>98.202582380952393</v>
      </c>
      <c r="AN184" s="40">
        <v>95.994095238095227</v>
      </c>
      <c r="AO184" s="40">
        <v>97.682761904761918</v>
      </c>
      <c r="AP184" s="40">
        <v>98.118190476190463</v>
      </c>
      <c r="AQ184" s="40">
        <v>98.371190476190478</v>
      </c>
      <c r="AR184" s="40">
        <v>98.35938095238096</v>
      </c>
      <c r="AS184" s="40">
        <v>98.092285714285723</v>
      </c>
      <c r="AT184" s="40">
        <v>98.191120952380956</v>
      </c>
      <c r="AU184" s="40">
        <v>95.036000000000016</v>
      </c>
      <c r="AV184" s="40">
        <v>97.145571428571429</v>
      </c>
      <c r="AW184" s="40">
        <v>97.744428571428571</v>
      </c>
      <c r="AX184" s="40">
        <v>98.115476190476201</v>
      </c>
      <c r="AY184" s="40">
        <v>98.178190476190494</v>
      </c>
      <c r="AZ184" s="40">
        <v>97.914095238095243</v>
      </c>
      <c r="BA184" s="40">
        <v>97.922445714285729</v>
      </c>
      <c r="BB184" s="174">
        <v>43313</v>
      </c>
      <c r="BC184" s="174">
        <v>43388</v>
      </c>
    </row>
    <row r="185" spans="1:55" s="44" customFormat="1" ht="45">
      <c r="A185" s="18" t="s">
        <v>2</v>
      </c>
      <c r="B185" s="18" t="s">
        <v>1611</v>
      </c>
      <c r="C185" s="23" t="s">
        <v>10</v>
      </c>
      <c r="D185" s="23" t="s">
        <v>10</v>
      </c>
      <c r="E185" s="23" t="s">
        <v>10</v>
      </c>
      <c r="F185" s="23" t="s">
        <v>11</v>
      </c>
      <c r="G185" s="18" t="s">
        <v>1606</v>
      </c>
      <c r="H185" s="19">
        <v>8.36</v>
      </c>
      <c r="I185" s="37">
        <v>208</v>
      </c>
      <c r="J185" s="19">
        <v>97.5</v>
      </c>
      <c r="K185" s="20" t="s">
        <v>1216</v>
      </c>
      <c r="L185" s="49" t="s">
        <v>1607</v>
      </c>
      <c r="M185" s="38" t="s">
        <v>540</v>
      </c>
      <c r="N185" s="174">
        <v>43600</v>
      </c>
      <c r="O185" s="38" t="s">
        <v>1607</v>
      </c>
      <c r="P185" s="38" t="s">
        <v>17</v>
      </c>
      <c r="Q185" s="38" t="s">
        <v>17</v>
      </c>
      <c r="R185" s="151"/>
      <c r="S185" s="39" t="s">
        <v>10</v>
      </c>
      <c r="T185" s="39" t="s">
        <v>11</v>
      </c>
      <c r="U185" s="153">
        <v>1.35</v>
      </c>
      <c r="V185" s="153"/>
      <c r="W185" s="153"/>
      <c r="X185" s="153">
        <v>280</v>
      </c>
      <c r="Y185" s="153">
        <v>380</v>
      </c>
      <c r="Z185" s="153">
        <v>480</v>
      </c>
      <c r="AA185" s="40">
        <v>0.83599999999999997</v>
      </c>
      <c r="AB185" s="40">
        <v>1.6719999999999999</v>
      </c>
      <c r="AC185" s="40">
        <v>2.5079999999999996</v>
      </c>
      <c r="AD185" s="40">
        <v>4.18</v>
      </c>
      <c r="AE185" s="40">
        <v>6.27</v>
      </c>
      <c r="AF185" s="40">
        <v>8.36</v>
      </c>
      <c r="AG185" s="40">
        <v>95.658185806883793</v>
      </c>
      <c r="AH185" s="40">
        <v>97.203682700547461</v>
      </c>
      <c r="AI185" s="40">
        <v>97.62750266213348</v>
      </c>
      <c r="AJ185" s="40">
        <v>97.693930841760704</v>
      </c>
      <c r="AK185" s="40">
        <v>97.333105719377528</v>
      </c>
      <c r="AL185" s="40">
        <v>96.718887587060649</v>
      </c>
      <c r="AM185" s="40">
        <v>97.340027774151622</v>
      </c>
      <c r="AN185" s="40">
        <v>96.10372934124652</v>
      </c>
      <c r="AO185" s="40">
        <v>97.46838032604667</v>
      </c>
      <c r="AP185" s="40">
        <v>97.842267846012263</v>
      </c>
      <c r="AQ185" s="40">
        <v>97.87999564578169</v>
      </c>
      <c r="AR185" s="40">
        <v>97.481483377157048</v>
      </c>
      <c r="AS185" s="40">
        <v>96.938989093049173</v>
      </c>
      <c r="AT185" s="40">
        <v>97.525575061633518</v>
      </c>
      <c r="AU185" s="40">
        <v>95.323105508116171</v>
      </c>
      <c r="AV185" s="40">
        <v>96.969870400837721</v>
      </c>
      <c r="AW185" s="40">
        <v>97.495059999481398</v>
      </c>
      <c r="AX185" s="40">
        <v>97.675787377583774</v>
      </c>
      <c r="AY185" s="40">
        <v>97.378973313071157</v>
      </c>
      <c r="AZ185" s="40">
        <v>96.798898585815508</v>
      </c>
      <c r="BA185" s="40">
        <v>97.323541074815395</v>
      </c>
      <c r="BB185" s="178">
        <v>43600</v>
      </c>
      <c r="BC185" s="178"/>
    </row>
    <row r="186" spans="1:55" s="44" customFormat="1" ht="45">
      <c r="A186" s="18" t="s">
        <v>2</v>
      </c>
      <c r="B186" s="18" t="s">
        <v>1612</v>
      </c>
      <c r="C186" s="23" t="s">
        <v>10</v>
      </c>
      <c r="D186" s="23" t="s">
        <v>10</v>
      </c>
      <c r="E186" s="23" t="s">
        <v>10</v>
      </c>
      <c r="F186" s="23" t="s">
        <v>11</v>
      </c>
      <c r="G186" s="18" t="s">
        <v>1608</v>
      </c>
      <c r="H186" s="19">
        <v>9.6199999999999992</v>
      </c>
      <c r="I186" s="37">
        <v>240</v>
      </c>
      <c r="J186" s="19">
        <v>97.5</v>
      </c>
      <c r="K186" s="20" t="s">
        <v>1216</v>
      </c>
      <c r="L186" s="49" t="s">
        <v>1607</v>
      </c>
      <c r="M186" s="38" t="s">
        <v>540</v>
      </c>
      <c r="N186" s="174">
        <v>43600</v>
      </c>
      <c r="O186" s="38" t="s">
        <v>1607</v>
      </c>
      <c r="P186" s="38" t="s">
        <v>17</v>
      </c>
      <c r="Q186" s="38" t="s">
        <v>17</v>
      </c>
      <c r="R186" s="151"/>
      <c r="S186" s="39" t="s">
        <v>10</v>
      </c>
      <c r="T186" s="39" t="s">
        <v>11</v>
      </c>
      <c r="U186" s="153">
        <v>1.41</v>
      </c>
      <c r="V186" s="153"/>
      <c r="W186" s="153"/>
      <c r="X186" s="153">
        <v>280</v>
      </c>
      <c r="Y186" s="153">
        <v>380</v>
      </c>
      <c r="Z186" s="153">
        <v>480</v>
      </c>
      <c r="AA186" s="40">
        <v>0.96202800000000011</v>
      </c>
      <c r="AB186" s="40">
        <v>1.9240560000000002</v>
      </c>
      <c r="AC186" s="40">
        <v>2.8860840000000003</v>
      </c>
      <c r="AD186" s="40">
        <v>4.8101400000000005</v>
      </c>
      <c r="AE186" s="40">
        <v>7.2152100000000008</v>
      </c>
      <c r="AF186" s="40">
        <v>9.6202800000000011</v>
      </c>
      <c r="AG186" s="40">
        <v>95.84342055824014</v>
      </c>
      <c r="AH186" s="40">
        <v>97.245438616621456</v>
      </c>
      <c r="AI186" s="40">
        <v>97.69515442161071</v>
      </c>
      <c r="AJ186" s="40">
        <v>97.781490663550827</v>
      </c>
      <c r="AK186" s="40">
        <v>97.454725058638886</v>
      </c>
      <c r="AL186" s="40">
        <v>96.868552625224183</v>
      </c>
      <c r="AM186" s="40">
        <v>97.447972235439451</v>
      </c>
      <c r="AN186" s="40">
        <v>96.623569444844307</v>
      </c>
      <c r="AO186" s="40">
        <v>97.788546590551988</v>
      </c>
      <c r="AP186" s="40">
        <v>98.091504579773868</v>
      </c>
      <c r="AQ186" s="40">
        <v>98.107867810513099</v>
      </c>
      <c r="AR186" s="40">
        <v>97.728629745090558</v>
      </c>
      <c r="AS186" s="40">
        <v>97.07935975246771</v>
      </c>
      <c r="AT186" s="40">
        <v>97.778144649623371</v>
      </c>
      <c r="AU186" s="40">
        <v>95.916568441616164</v>
      </c>
      <c r="AV186" s="40">
        <v>97.359272556313599</v>
      </c>
      <c r="AW186" s="40">
        <v>97.801908821247793</v>
      </c>
      <c r="AX186" s="40">
        <v>97.956240147070503</v>
      </c>
      <c r="AY186" s="40">
        <v>97.657547674867473</v>
      </c>
      <c r="AZ186" s="40">
        <v>97.22182842848008</v>
      </c>
      <c r="BA186" s="40">
        <v>97.631257544018638</v>
      </c>
      <c r="BB186" s="178">
        <v>43600</v>
      </c>
      <c r="BC186" s="178"/>
    </row>
    <row r="187" spans="1:55" s="44" customFormat="1" ht="60">
      <c r="A187" s="18" t="s">
        <v>2</v>
      </c>
      <c r="B187" s="18" t="s">
        <v>1566</v>
      </c>
      <c r="C187" s="23" t="s">
        <v>10</v>
      </c>
      <c r="D187" s="23" t="s">
        <v>10</v>
      </c>
      <c r="E187" s="23" t="s">
        <v>10</v>
      </c>
      <c r="F187" s="23" t="s">
        <v>11</v>
      </c>
      <c r="G187" s="18" t="s">
        <v>1555</v>
      </c>
      <c r="H187" s="19">
        <v>124.468</v>
      </c>
      <c r="I187" s="37">
        <v>600</v>
      </c>
      <c r="J187" s="19">
        <v>99</v>
      </c>
      <c r="K187" s="20" t="s">
        <v>1215</v>
      </c>
      <c r="L187" s="49" t="s">
        <v>1556</v>
      </c>
      <c r="M187" s="38" t="s">
        <v>1557</v>
      </c>
      <c r="N187" s="174">
        <v>43586</v>
      </c>
      <c r="O187" s="38" t="s">
        <v>1556</v>
      </c>
      <c r="P187" s="38" t="s">
        <v>17</v>
      </c>
      <c r="Q187" s="38" t="s">
        <v>17</v>
      </c>
      <c r="R187" s="151"/>
      <c r="S187" s="39" t="s">
        <v>11</v>
      </c>
      <c r="T187" s="39" t="s">
        <v>11</v>
      </c>
      <c r="U187" s="37">
        <v>0</v>
      </c>
      <c r="V187" s="153">
        <v>3.5</v>
      </c>
      <c r="W187" s="153"/>
      <c r="X187" s="153">
        <v>860</v>
      </c>
      <c r="Y187" s="153">
        <v>1000</v>
      </c>
      <c r="Z187" s="153">
        <v>1200</v>
      </c>
      <c r="AA187" s="40">
        <v>12.446844121876001</v>
      </c>
      <c r="AB187" s="40">
        <v>24.893688243752003</v>
      </c>
      <c r="AC187" s="40">
        <v>37.340532365628</v>
      </c>
      <c r="AD187" s="40">
        <v>62.234220609380003</v>
      </c>
      <c r="AE187" s="40">
        <v>93.351330914070004</v>
      </c>
      <c r="AF187" s="40">
        <v>124.46844121876001</v>
      </c>
      <c r="AG187" s="40">
        <v>98.918000000000006</v>
      </c>
      <c r="AH187" s="40">
        <v>99.156000000000006</v>
      </c>
      <c r="AI187" s="40">
        <v>99.18971024495724</v>
      </c>
      <c r="AJ187" s="40">
        <v>99.102000000000004</v>
      </c>
      <c r="AK187" s="40">
        <v>98.847999999999999</v>
      </c>
      <c r="AL187" s="40">
        <v>98.528000000000006</v>
      </c>
      <c r="AM187" s="40">
        <v>98.944545229394862</v>
      </c>
      <c r="AN187" s="40">
        <v>98.344800000000006</v>
      </c>
      <c r="AO187" s="40">
        <v>98.785999999999987</v>
      </c>
      <c r="AP187" s="40">
        <v>98.866000000000014</v>
      </c>
      <c r="AQ187" s="40">
        <v>98.908199999999994</v>
      </c>
      <c r="AR187" s="40">
        <v>98.804199999999994</v>
      </c>
      <c r="AS187" s="40">
        <v>98.34399999999998</v>
      </c>
      <c r="AT187" s="40">
        <v>98.791159999999991</v>
      </c>
      <c r="AU187" s="40">
        <v>97.694000000000003</v>
      </c>
      <c r="AV187" s="40">
        <v>98.373999999999995</v>
      </c>
      <c r="AW187" s="40">
        <v>98.507599999999996</v>
      </c>
      <c r="AX187" s="40">
        <v>98.647999999999996</v>
      </c>
      <c r="AY187" s="40">
        <v>98.583600000000004</v>
      </c>
      <c r="AZ187" s="40">
        <v>98.244461999999999</v>
      </c>
      <c r="BA187" s="40">
        <v>98.524983100000014</v>
      </c>
      <c r="BB187" s="178">
        <v>43586</v>
      </c>
      <c r="BC187" s="178"/>
    </row>
    <row r="188" spans="1:55" s="44" customFormat="1" ht="105">
      <c r="A188" s="18" t="s">
        <v>2</v>
      </c>
      <c r="B188" s="18" t="s">
        <v>874</v>
      </c>
      <c r="C188" s="23" t="s">
        <v>10</v>
      </c>
      <c r="D188" s="23" t="s">
        <v>10</v>
      </c>
      <c r="E188" s="23" t="s">
        <v>10</v>
      </c>
      <c r="F188" s="23" t="s">
        <v>11</v>
      </c>
      <c r="G188" s="18" t="s">
        <v>287</v>
      </c>
      <c r="H188" s="125">
        <v>26.402999999999999</v>
      </c>
      <c r="I188" s="127">
        <v>480</v>
      </c>
      <c r="J188" s="125">
        <v>98</v>
      </c>
      <c r="K188" s="21" t="s">
        <v>1217</v>
      </c>
      <c r="L188" s="49" t="s">
        <v>430</v>
      </c>
      <c r="M188" s="23" t="s">
        <v>431</v>
      </c>
      <c r="N188" s="174">
        <v>43388</v>
      </c>
      <c r="O188" s="23" t="s">
        <v>1453</v>
      </c>
      <c r="P188" s="23" t="s">
        <v>17</v>
      </c>
      <c r="Q188" s="23" t="s">
        <v>17</v>
      </c>
      <c r="R188" s="151"/>
      <c r="S188" s="23" t="s">
        <v>11</v>
      </c>
      <c r="T188" s="23" t="s">
        <v>11</v>
      </c>
      <c r="U188" s="125">
        <v>2.6</v>
      </c>
      <c r="V188" s="135"/>
      <c r="W188" s="135"/>
      <c r="X188" s="135">
        <v>415</v>
      </c>
      <c r="Y188" s="135">
        <v>710</v>
      </c>
      <c r="Z188" s="135">
        <v>830</v>
      </c>
      <c r="AA188" s="126">
        <v>2.64</v>
      </c>
      <c r="AB188" s="126">
        <v>5.28</v>
      </c>
      <c r="AC188" s="126">
        <v>7.92</v>
      </c>
      <c r="AD188" s="126">
        <v>13.2</v>
      </c>
      <c r="AE188" s="126">
        <v>19.8</v>
      </c>
      <c r="AF188" s="126">
        <v>26.4</v>
      </c>
      <c r="AG188" s="126">
        <v>95.28</v>
      </c>
      <c r="AH188" s="126">
        <v>96.42</v>
      </c>
      <c r="AI188" s="126">
        <v>97.03</v>
      </c>
      <c r="AJ188" s="126">
        <v>97.41</v>
      </c>
      <c r="AK188" s="126">
        <v>97.46</v>
      </c>
      <c r="AL188" s="126">
        <v>97.3</v>
      </c>
      <c r="AM188" s="126">
        <v>97.25</v>
      </c>
      <c r="AN188" s="126">
        <v>97.39</v>
      </c>
      <c r="AO188" s="126">
        <v>98.27</v>
      </c>
      <c r="AP188" s="126">
        <v>98.56</v>
      </c>
      <c r="AQ188" s="126">
        <v>98.65</v>
      </c>
      <c r="AR188" s="126">
        <v>98.65</v>
      </c>
      <c r="AS188" s="126">
        <v>98.57</v>
      </c>
      <c r="AT188" s="126">
        <v>98.57</v>
      </c>
      <c r="AU188" s="126">
        <v>96.51</v>
      </c>
      <c r="AV188" s="126">
        <v>97.77</v>
      </c>
      <c r="AW188" s="126">
        <v>98.06</v>
      </c>
      <c r="AX188" s="126">
        <v>98.35</v>
      </c>
      <c r="AY188" s="126">
        <v>98.36</v>
      </c>
      <c r="AZ188" s="126">
        <v>98.27</v>
      </c>
      <c r="BA188" s="126">
        <v>98.21</v>
      </c>
      <c r="BB188" s="174">
        <v>43084</v>
      </c>
      <c r="BC188" s="174">
        <v>43557</v>
      </c>
    </row>
    <row r="189" spans="1:55" s="44" customFormat="1" ht="105">
      <c r="A189" s="18" t="s">
        <v>2</v>
      </c>
      <c r="B189" s="18" t="s">
        <v>875</v>
      </c>
      <c r="C189" s="23" t="s">
        <v>10</v>
      </c>
      <c r="D189" s="23" t="s">
        <v>10</v>
      </c>
      <c r="E189" s="23" t="s">
        <v>10</v>
      </c>
      <c r="F189" s="23" t="s">
        <v>11</v>
      </c>
      <c r="G189" s="18" t="s">
        <v>286</v>
      </c>
      <c r="H189" s="125">
        <v>30.709</v>
      </c>
      <c r="I189" s="127">
        <v>480</v>
      </c>
      <c r="J189" s="125">
        <v>98</v>
      </c>
      <c r="K189" s="21" t="s">
        <v>1217</v>
      </c>
      <c r="L189" s="49" t="s">
        <v>430</v>
      </c>
      <c r="M189" s="23" t="s">
        <v>431</v>
      </c>
      <c r="N189" s="174">
        <v>43388</v>
      </c>
      <c r="O189" s="23" t="s">
        <v>1453</v>
      </c>
      <c r="P189" s="23" t="s">
        <v>17</v>
      </c>
      <c r="Q189" s="23" t="s">
        <v>17</v>
      </c>
      <c r="R189" s="151"/>
      <c r="S189" s="23" t="s">
        <v>11</v>
      </c>
      <c r="T189" s="23" t="s">
        <v>11</v>
      </c>
      <c r="U189" s="125">
        <v>2.4</v>
      </c>
      <c r="V189" s="135"/>
      <c r="W189" s="135"/>
      <c r="X189" s="135">
        <v>485</v>
      </c>
      <c r="Y189" s="135">
        <v>710</v>
      </c>
      <c r="Z189" s="135">
        <v>830</v>
      </c>
      <c r="AA189" s="126">
        <v>3.07</v>
      </c>
      <c r="AB189" s="126">
        <v>6.14</v>
      </c>
      <c r="AC189" s="126">
        <v>9.2100000000000009</v>
      </c>
      <c r="AD189" s="126">
        <v>15.35</v>
      </c>
      <c r="AE189" s="126">
        <v>23.03</v>
      </c>
      <c r="AF189" s="126">
        <v>30.71</v>
      </c>
      <c r="AG189" s="126">
        <v>95.98</v>
      </c>
      <c r="AH189" s="126">
        <v>97.06</v>
      </c>
      <c r="AI189" s="126">
        <v>97.64</v>
      </c>
      <c r="AJ189" s="126">
        <v>97.78</v>
      </c>
      <c r="AK189" s="126">
        <v>97.74</v>
      </c>
      <c r="AL189" s="126">
        <v>97.52</v>
      </c>
      <c r="AM189" s="126">
        <v>97.62</v>
      </c>
      <c r="AN189" s="126">
        <v>97.67</v>
      </c>
      <c r="AO189" s="126">
        <v>98.38</v>
      </c>
      <c r="AP189" s="126">
        <v>98.6</v>
      </c>
      <c r="AQ189" s="126">
        <v>98.65</v>
      </c>
      <c r="AR189" s="126">
        <v>98.6</v>
      </c>
      <c r="AS189" s="126">
        <v>98.49</v>
      </c>
      <c r="AT189" s="126">
        <v>98.56</v>
      </c>
      <c r="AU189" s="126">
        <v>96.9</v>
      </c>
      <c r="AV189" s="126">
        <v>97.95</v>
      </c>
      <c r="AW189" s="126">
        <v>98.21</v>
      </c>
      <c r="AX189" s="126">
        <v>98.35</v>
      </c>
      <c r="AY189" s="126">
        <v>98.32</v>
      </c>
      <c r="AZ189" s="126">
        <v>98.18</v>
      </c>
      <c r="BA189" s="126">
        <v>98.23</v>
      </c>
      <c r="BB189" s="174">
        <v>43084</v>
      </c>
      <c r="BC189" s="174">
        <v>43557</v>
      </c>
    </row>
    <row r="190" spans="1:55" s="44" customFormat="1" ht="105">
      <c r="A190" s="18" t="s">
        <v>2</v>
      </c>
      <c r="B190" s="18" t="s">
        <v>876</v>
      </c>
      <c r="C190" s="23" t="s">
        <v>10</v>
      </c>
      <c r="D190" s="23" t="s">
        <v>10</v>
      </c>
      <c r="E190" s="23" t="s">
        <v>10</v>
      </c>
      <c r="F190" s="23" t="s">
        <v>11</v>
      </c>
      <c r="G190" s="147" t="s">
        <v>285</v>
      </c>
      <c r="H190" s="125">
        <v>39.737000000000002</v>
      </c>
      <c r="I190" s="127">
        <v>480</v>
      </c>
      <c r="J190" s="125">
        <v>98</v>
      </c>
      <c r="K190" s="21" t="s">
        <v>1217</v>
      </c>
      <c r="L190" s="49" t="s">
        <v>430</v>
      </c>
      <c r="M190" s="23" t="s">
        <v>431</v>
      </c>
      <c r="N190" s="174">
        <v>43388</v>
      </c>
      <c r="O190" s="23" t="s">
        <v>1453</v>
      </c>
      <c r="P190" s="23" t="s">
        <v>17</v>
      </c>
      <c r="Q190" s="23" t="s">
        <v>17</v>
      </c>
      <c r="R190" s="151"/>
      <c r="S190" s="23" t="s">
        <v>11</v>
      </c>
      <c r="T190" s="23" t="s">
        <v>11</v>
      </c>
      <c r="U190" s="125">
        <v>2.9</v>
      </c>
      <c r="V190" s="135"/>
      <c r="W190" s="135"/>
      <c r="X190" s="135">
        <v>520</v>
      </c>
      <c r="Y190" s="135">
        <v>710</v>
      </c>
      <c r="Z190" s="135">
        <v>830</v>
      </c>
      <c r="AA190" s="126">
        <v>3.97</v>
      </c>
      <c r="AB190" s="126">
        <v>7.95</v>
      </c>
      <c r="AC190" s="126">
        <v>11.92</v>
      </c>
      <c r="AD190" s="126">
        <v>19.87</v>
      </c>
      <c r="AE190" s="126">
        <v>29.8</v>
      </c>
      <c r="AF190" s="126">
        <v>39.74</v>
      </c>
      <c r="AG190" s="126">
        <v>96.36</v>
      </c>
      <c r="AH190" s="126">
        <v>97.47</v>
      </c>
      <c r="AI190" s="126">
        <v>97.83</v>
      </c>
      <c r="AJ190" s="126">
        <v>97.97</v>
      </c>
      <c r="AK190" s="126">
        <v>97.81</v>
      </c>
      <c r="AL190" s="126">
        <v>97.59</v>
      </c>
      <c r="AM190" s="126">
        <v>97.76</v>
      </c>
      <c r="AN190" s="126">
        <v>97.75</v>
      </c>
      <c r="AO190" s="126">
        <v>98.45</v>
      </c>
      <c r="AP190" s="126">
        <v>98.6</v>
      </c>
      <c r="AQ190" s="126">
        <v>98.6</v>
      </c>
      <c r="AR190" s="126">
        <v>98.43</v>
      </c>
      <c r="AS190" s="126">
        <v>98.28</v>
      </c>
      <c r="AT190" s="126">
        <v>98.45</v>
      </c>
      <c r="AU190" s="126">
        <v>96.89</v>
      </c>
      <c r="AV190" s="126">
        <v>97.92</v>
      </c>
      <c r="AW190" s="126">
        <v>98.22</v>
      </c>
      <c r="AX190" s="126">
        <v>98.3</v>
      </c>
      <c r="AY190" s="126">
        <v>98.16</v>
      </c>
      <c r="AZ190" s="126">
        <v>97.95</v>
      </c>
      <c r="BA190" s="126">
        <v>98.12</v>
      </c>
      <c r="BB190" s="174">
        <v>43084</v>
      </c>
      <c r="BC190" s="174">
        <v>43557</v>
      </c>
    </row>
    <row r="191" spans="1:55" s="44" customFormat="1" ht="105">
      <c r="A191" s="18" t="s">
        <v>2</v>
      </c>
      <c r="B191" s="18" t="s">
        <v>877</v>
      </c>
      <c r="C191" s="23" t="s">
        <v>10</v>
      </c>
      <c r="D191" s="23" t="s">
        <v>10</v>
      </c>
      <c r="E191" s="23" t="s">
        <v>10</v>
      </c>
      <c r="F191" s="23" t="s">
        <v>11</v>
      </c>
      <c r="G191" s="147" t="s">
        <v>284</v>
      </c>
      <c r="H191" s="125">
        <v>45.972000000000001</v>
      </c>
      <c r="I191" s="127">
        <v>480</v>
      </c>
      <c r="J191" s="125">
        <v>98</v>
      </c>
      <c r="K191" s="21" t="s">
        <v>1217</v>
      </c>
      <c r="L191" s="49" t="s">
        <v>430</v>
      </c>
      <c r="M191" s="23" t="s">
        <v>431</v>
      </c>
      <c r="N191" s="174">
        <v>43388</v>
      </c>
      <c r="O191" s="23" t="s">
        <v>1453</v>
      </c>
      <c r="P191" s="23" t="s">
        <v>17</v>
      </c>
      <c r="Q191" s="23" t="s">
        <v>17</v>
      </c>
      <c r="R191" s="151"/>
      <c r="S191" s="23" t="s">
        <v>11</v>
      </c>
      <c r="T191" s="23" t="s">
        <v>11</v>
      </c>
      <c r="U191" s="125">
        <v>2.9</v>
      </c>
      <c r="V191" s="135"/>
      <c r="W191" s="135"/>
      <c r="X191" s="135">
        <v>545</v>
      </c>
      <c r="Y191" s="135">
        <v>710</v>
      </c>
      <c r="Z191" s="135">
        <v>830</v>
      </c>
      <c r="AA191" s="126">
        <v>4.5999999999999996</v>
      </c>
      <c r="AB191" s="126">
        <v>9.19</v>
      </c>
      <c r="AC191" s="126">
        <v>13.79</v>
      </c>
      <c r="AD191" s="126">
        <v>22.99</v>
      </c>
      <c r="AE191" s="126">
        <v>34.479999999999997</v>
      </c>
      <c r="AF191" s="126">
        <v>45.97</v>
      </c>
      <c r="AG191" s="126">
        <v>96.83</v>
      </c>
      <c r="AH191" s="126">
        <v>97.76</v>
      </c>
      <c r="AI191" s="126">
        <v>97.97</v>
      </c>
      <c r="AJ191" s="126">
        <v>98.02</v>
      </c>
      <c r="AK191" s="126">
        <v>97.8</v>
      </c>
      <c r="AL191" s="126">
        <v>97.54</v>
      </c>
      <c r="AM191" s="126">
        <v>97.81</v>
      </c>
      <c r="AN191" s="126">
        <v>97.98</v>
      </c>
      <c r="AO191" s="126">
        <v>98.53</v>
      </c>
      <c r="AP191" s="126">
        <v>98.6</v>
      </c>
      <c r="AQ191" s="126">
        <v>98.55</v>
      </c>
      <c r="AR191" s="126">
        <v>98.35</v>
      </c>
      <c r="AS191" s="126">
        <v>98.16</v>
      </c>
      <c r="AT191" s="126">
        <v>98.41</v>
      </c>
      <c r="AU191" s="126">
        <v>97.21</v>
      </c>
      <c r="AV191" s="126">
        <v>98.04</v>
      </c>
      <c r="AW191" s="126">
        <v>98.26</v>
      </c>
      <c r="AX191" s="126">
        <v>98.26</v>
      </c>
      <c r="AY191" s="126">
        <v>98.07</v>
      </c>
      <c r="AZ191" s="126">
        <v>97.86</v>
      </c>
      <c r="BA191" s="126">
        <v>98.09</v>
      </c>
      <c r="BB191" s="174">
        <v>43084</v>
      </c>
      <c r="BC191" s="174">
        <v>43557</v>
      </c>
    </row>
    <row r="192" spans="1:55" s="44" customFormat="1" ht="45">
      <c r="A192" s="18" t="s">
        <v>2</v>
      </c>
      <c r="B192" s="18" t="s">
        <v>851</v>
      </c>
      <c r="C192" s="23" t="s">
        <v>10</v>
      </c>
      <c r="D192" s="23" t="s">
        <v>10</v>
      </c>
      <c r="E192" s="23" t="s">
        <v>10</v>
      </c>
      <c r="F192" s="23" t="s">
        <v>11</v>
      </c>
      <c r="G192" s="147" t="s">
        <v>538</v>
      </c>
      <c r="H192" s="19">
        <v>3.33</v>
      </c>
      <c r="I192" s="19">
        <v>208</v>
      </c>
      <c r="J192" s="19">
        <v>97</v>
      </c>
      <c r="K192" s="21" t="s">
        <v>1216</v>
      </c>
      <c r="L192" s="49" t="s">
        <v>539</v>
      </c>
      <c r="M192" s="21" t="s">
        <v>540</v>
      </c>
      <c r="N192" s="174">
        <v>43388</v>
      </c>
      <c r="O192" s="49" t="s">
        <v>539</v>
      </c>
      <c r="P192" s="23" t="s">
        <v>17</v>
      </c>
      <c r="Q192" s="23" t="s">
        <v>17</v>
      </c>
      <c r="R192" s="150"/>
      <c r="S192" s="20" t="s">
        <v>10</v>
      </c>
      <c r="T192" s="20" t="s">
        <v>11</v>
      </c>
      <c r="U192" s="19">
        <v>1.92</v>
      </c>
      <c r="V192" s="19"/>
      <c r="W192" s="19"/>
      <c r="X192" s="19">
        <v>180</v>
      </c>
      <c r="Y192" s="19">
        <v>380</v>
      </c>
      <c r="Z192" s="19">
        <v>480</v>
      </c>
      <c r="AA192" s="40">
        <v>0.33279999999999998</v>
      </c>
      <c r="AB192" s="40">
        <v>0.66559999999999997</v>
      </c>
      <c r="AC192" s="40">
        <v>0.99839999999999995</v>
      </c>
      <c r="AD192" s="40">
        <v>1.6639999999999999</v>
      </c>
      <c r="AE192" s="40">
        <v>2.496</v>
      </c>
      <c r="AF192" s="40">
        <v>3.3279999999999998</v>
      </c>
      <c r="AG192" s="40">
        <v>92</v>
      </c>
      <c r="AH192" s="40">
        <v>94.6</v>
      </c>
      <c r="AI192" s="40">
        <v>95.7</v>
      </c>
      <c r="AJ192" s="40">
        <v>96.5</v>
      </c>
      <c r="AK192" s="40">
        <v>96.7</v>
      </c>
      <c r="AL192" s="40">
        <v>96.5</v>
      </c>
      <c r="AM192" s="40">
        <v>96.2</v>
      </c>
      <c r="AN192" s="40">
        <v>93</v>
      </c>
      <c r="AO192" s="40">
        <v>95.7</v>
      </c>
      <c r="AP192" s="40">
        <v>97.3</v>
      </c>
      <c r="AQ192" s="40">
        <v>97.3</v>
      </c>
      <c r="AR192" s="40">
        <v>97.8</v>
      </c>
      <c r="AS192" s="40">
        <v>97.4</v>
      </c>
      <c r="AT192" s="40">
        <v>97.3</v>
      </c>
      <c r="AU192" s="40">
        <v>92.9</v>
      </c>
      <c r="AV192" s="40">
        <v>95.9</v>
      </c>
      <c r="AW192" s="40">
        <v>96.8</v>
      </c>
      <c r="AX192" s="40">
        <v>97.5</v>
      </c>
      <c r="AY192" s="40">
        <v>97.6</v>
      </c>
      <c r="AZ192" s="40">
        <v>97.5</v>
      </c>
      <c r="BA192" s="40">
        <v>97.2</v>
      </c>
      <c r="BB192" s="174">
        <v>43160</v>
      </c>
      <c r="BC192" s="174">
        <v>43388</v>
      </c>
    </row>
    <row r="193" spans="1:55" s="44" customFormat="1" ht="45">
      <c r="A193" s="18" t="s">
        <v>2</v>
      </c>
      <c r="B193" s="18" t="s">
        <v>853</v>
      </c>
      <c r="C193" s="23" t="s">
        <v>10</v>
      </c>
      <c r="D193" s="23" t="s">
        <v>10</v>
      </c>
      <c r="E193" s="23" t="s">
        <v>10</v>
      </c>
      <c r="F193" s="23" t="s">
        <v>11</v>
      </c>
      <c r="G193" s="147" t="s">
        <v>541</v>
      </c>
      <c r="H193" s="19">
        <v>3.84</v>
      </c>
      <c r="I193" s="19">
        <v>240</v>
      </c>
      <c r="J193" s="19">
        <v>97.5</v>
      </c>
      <c r="K193" s="21" t="s">
        <v>1216</v>
      </c>
      <c r="L193" s="49" t="s">
        <v>539</v>
      </c>
      <c r="M193" s="21" t="s">
        <v>540</v>
      </c>
      <c r="N193" s="174">
        <v>43388</v>
      </c>
      <c r="O193" s="49" t="s">
        <v>539</v>
      </c>
      <c r="P193" s="23" t="s">
        <v>17</v>
      </c>
      <c r="Q193" s="23" t="s">
        <v>17</v>
      </c>
      <c r="R193" s="150"/>
      <c r="S193" s="20" t="s">
        <v>10</v>
      </c>
      <c r="T193" s="20" t="s">
        <v>11</v>
      </c>
      <c r="U193" s="19">
        <v>2.0299999999999998</v>
      </c>
      <c r="V193" s="19"/>
      <c r="W193" s="19"/>
      <c r="X193" s="19">
        <v>180</v>
      </c>
      <c r="Y193" s="19">
        <v>380</v>
      </c>
      <c r="Z193" s="19">
        <v>480</v>
      </c>
      <c r="AA193" s="40">
        <v>0.38400000000000001</v>
      </c>
      <c r="AB193" s="40">
        <v>0.76800000000000002</v>
      </c>
      <c r="AC193" s="40">
        <v>1.1519999999999999</v>
      </c>
      <c r="AD193" s="40">
        <v>1.92</v>
      </c>
      <c r="AE193" s="40">
        <v>2.88</v>
      </c>
      <c r="AF193" s="40">
        <v>3.84</v>
      </c>
      <c r="AG193" s="40">
        <v>92.9</v>
      </c>
      <c r="AH193" s="40">
        <v>95.1</v>
      </c>
      <c r="AI193" s="40">
        <v>96.1</v>
      </c>
      <c r="AJ193" s="40">
        <v>96.9</v>
      </c>
      <c r="AK193" s="40">
        <v>96.9</v>
      </c>
      <c r="AL193" s="40">
        <v>96.7</v>
      </c>
      <c r="AM193" s="40">
        <v>96.6</v>
      </c>
      <c r="AN193" s="40">
        <v>95.7</v>
      </c>
      <c r="AO193" s="40">
        <v>97.4</v>
      </c>
      <c r="AP193" s="40">
        <v>97.8</v>
      </c>
      <c r="AQ193" s="40">
        <v>98.1</v>
      </c>
      <c r="AR193" s="40">
        <v>98.1</v>
      </c>
      <c r="AS193" s="40">
        <v>98</v>
      </c>
      <c r="AT193" s="40">
        <v>98</v>
      </c>
      <c r="AU193" s="40">
        <v>93.6</v>
      </c>
      <c r="AV193" s="40">
        <v>96.4</v>
      </c>
      <c r="AW193" s="40">
        <v>97.2</v>
      </c>
      <c r="AX193" s="40">
        <v>97.7</v>
      </c>
      <c r="AY193" s="40">
        <v>97.8</v>
      </c>
      <c r="AZ193" s="40">
        <v>97.7</v>
      </c>
      <c r="BA193" s="40">
        <v>97.5</v>
      </c>
      <c r="BB193" s="174">
        <v>43160</v>
      </c>
      <c r="BC193" s="174">
        <v>43388</v>
      </c>
    </row>
    <row r="194" spans="1:55" s="44" customFormat="1" ht="45">
      <c r="A194" s="18" t="s">
        <v>2</v>
      </c>
      <c r="B194" s="18" t="s">
        <v>854</v>
      </c>
      <c r="C194" s="23" t="s">
        <v>10</v>
      </c>
      <c r="D194" s="23" t="s">
        <v>10</v>
      </c>
      <c r="E194" s="23" t="s">
        <v>10</v>
      </c>
      <c r="F194" s="23" t="s">
        <v>11</v>
      </c>
      <c r="G194" s="147" t="s">
        <v>542</v>
      </c>
      <c r="H194" s="19">
        <v>4.16</v>
      </c>
      <c r="I194" s="19">
        <v>208</v>
      </c>
      <c r="J194" s="19">
        <v>97.5</v>
      </c>
      <c r="K194" s="21" t="s">
        <v>1216</v>
      </c>
      <c r="L194" s="49" t="s">
        <v>539</v>
      </c>
      <c r="M194" s="21" t="s">
        <v>540</v>
      </c>
      <c r="N194" s="174">
        <v>43388</v>
      </c>
      <c r="O194" s="49" t="s">
        <v>539</v>
      </c>
      <c r="P194" s="23" t="s">
        <v>17</v>
      </c>
      <c r="Q194" s="23" t="s">
        <v>17</v>
      </c>
      <c r="R194" s="150"/>
      <c r="S194" s="20" t="s">
        <v>10</v>
      </c>
      <c r="T194" s="20" t="s">
        <v>11</v>
      </c>
      <c r="U194" s="19">
        <v>1.24</v>
      </c>
      <c r="V194" s="19"/>
      <c r="W194" s="19"/>
      <c r="X194" s="19">
        <v>220</v>
      </c>
      <c r="Y194" s="19">
        <v>380</v>
      </c>
      <c r="Z194" s="19">
        <v>480</v>
      </c>
      <c r="AA194" s="40">
        <v>0.41599999999999998</v>
      </c>
      <c r="AB194" s="40">
        <v>0.83199999999999996</v>
      </c>
      <c r="AC194" s="40">
        <v>1.248</v>
      </c>
      <c r="AD194" s="40">
        <v>2.08</v>
      </c>
      <c r="AE194" s="40">
        <v>3.12</v>
      </c>
      <c r="AF194" s="40">
        <v>4.16</v>
      </c>
      <c r="AG194" s="40">
        <v>94.5</v>
      </c>
      <c r="AH194" s="40">
        <v>96.1</v>
      </c>
      <c r="AI194" s="40">
        <v>96.9</v>
      </c>
      <c r="AJ194" s="40">
        <v>97.3</v>
      </c>
      <c r="AK194" s="40">
        <v>97.2</v>
      </c>
      <c r="AL194" s="40">
        <v>96.9</v>
      </c>
      <c r="AM194" s="40">
        <v>97</v>
      </c>
      <c r="AN194" s="40">
        <v>95.8</v>
      </c>
      <c r="AO194" s="40">
        <v>97.3</v>
      </c>
      <c r="AP194" s="40">
        <v>97.8</v>
      </c>
      <c r="AQ194" s="40">
        <v>98</v>
      </c>
      <c r="AR194" s="40">
        <v>97.8</v>
      </c>
      <c r="AS194" s="40">
        <v>97.6</v>
      </c>
      <c r="AT194" s="40">
        <v>97.7</v>
      </c>
      <c r="AU194" s="40">
        <v>95</v>
      </c>
      <c r="AV194" s="40">
        <v>96.8</v>
      </c>
      <c r="AW194" s="40">
        <v>97.4</v>
      </c>
      <c r="AX194" s="40">
        <v>97.7</v>
      </c>
      <c r="AY194" s="40">
        <v>97.7</v>
      </c>
      <c r="AZ194" s="40">
        <v>97.4</v>
      </c>
      <c r="BA194" s="40">
        <v>97.5</v>
      </c>
      <c r="BB194" s="174">
        <v>43160</v>
      </c>
      <c r="BC194" s="174">
        <v>43388</v>
      </c>
    </row>
    <row r="195" spans="1:55" s="44" customFormat="1" ht="45">
      <c r="A195" s="18" t="s">
        <v>2</v>
      </c>
      <c r="B195" s="18" t="s">
        <v>855</v>
      </c>
      <c r="C195" s="23" t="s">
        <v>10</v>
      </c>
      <c r="D195" s="23" t="s">
        <v>10</v>
      </c>
      <c r="E195" s="23" t="s">
        <v>10</v>
      </c>
      <c r="F195" s="23" t="s">
        <v>11</v>
      </c>
      <c r="G195" s="147" t="s">
        <v>543</v>
      </c>
      <c r="H195" s="19">
        <v>4.8600000000000003</v>
      </c>
      <c r="I195" s="19">
        <v>240</v>
      </c>
      <c r="J195" s="19">
        <v>97.5</v>
      </c>
      <c r="K195" s="21" t="s">
        <v>1216</v>
      </c>
      <c r="L195" s="49" t="s">
        <v>539</v>
      </c>
      <c r="M195" s="21" t="s">
        <v>540</v>
      </c>
      <c r="N195" s="174">
        <v>43388</v>
      </c>
      <c r="O195" s="49" t="s">
        <v>539</v>
      </c>
      <c r="P195" s="23" t="s">
        <v>17</v>
      </c>
      <c r="Q195" s="23" t="s">
        <v>17</v>
      </c>
      <c r="R195" s="150"/>
      <c r="S195" s="20" t="s">
        <v>10</v>
      </c>
      <c r="T195" s="20" t="s">
        <v>11</v>
      </c>
      <c r="U195" s="19">
        <v>1.26</v>
      </c>
      <c r="V195" s="19"/>
      <c r="W195" s="19"/>
      <c r="X195" s="19">
        <v>220</v>
      </c>
      <c r="Y195" s="19">
        <v>380</v>
      </c>
      <c r="Z195" s="19">
        <v>480</v>
      </c>
      <c r="AA195" s="40">
        <v>0.48</v>
      </c>
      <c r="AB195" s="40">
        <v>0.96</v>
      </c>
      <c r="AC195" s="40">
        <v>1.44</v>
      </c>
      <c r="AD195" s="40">
        <v>2.4</v>
      </c>
      <c r="AE195" s="40">
        <v>3.6</v>
      </c>
      <c r="AF195" s="40">
        <v>4.8</v>
      </c>
      <c r="AG195" s="40">
        <v>94.3</v>
      </c>
      <c r="AH195" s="40">
        <v>96.1</v>
      </c>
      <c r="AI195" s="40">
        <v>96.9</v>
      </c>
      <c r="AJ195" s="40">
        <v>97.3</v>
      </c>
      <c r="AK195" s="40">
        <v>97.2</v>
      </c>
      <c r="AL195" s="40">
        <v>96.9</v>
      </c>
      <c r="AM195" s="40">
        <v>97</v>
      </c>
      <c r="AN195" s="40">
        <v>96.3</v>
      </c>
      <c r="AO195" s="40">
        <v>97.6</v>
      </c>
      <c r="AP195" s="40">
        <v>98</v>
      </c>
      <c r="AQ195" s="40">
        <v>98.2</v>
      </c>
      <c r="AR195" s="40">
        <v>98</v>
      </c>
      <c r="AS195" s="40">
        <v>97.8</v>
      </c>
      <c r="AT195" s="40">
        <v>97.9</v>
      </c>
      <c r="AU195" s="40">
        <v>95.6</v>
      </c>
      <c r="AV195" s="40">
        <v>97.2</v>
      </c>
      <c r="AW195" s="40">
        <v>97.7</v>
      </c>
      <c r="AX195" s="40">
        <v>98</v>
      </c>
      <c r="AY195" s="40">
        <v>97.9</v>
      </c>
      <c r="AZ195" s="40">
        <v>97.7</v>
      </c>
      <c r="BA195" s="40">
        <v>97.8</v>
      </c>
      <c r="BB195" s="174">
        <v>43160</v>
      </c>
      <c r="BC195" s="174">
        <v>43388</v>
      </c>
    </row>
    <row r="196" spans="1:55" s="44" customFormat="1" ht="60">
      <c r="A196" s="18" t="s">
        <v>2</v>
      </c>
      <c r="B196" s="18" t="s">
        <v>878</v>
      </c>
      <c r="C196" s="23" t="s">
        <v>10</v>
      </c>
      <c r="D196" s="23" t="s">
        <v>10</v>
      </c>
      <c r="E196" s="23" t="s">
        <v>10</v>
      </c>
      <c r="F196" s="23" t="s">
        <v>11</v>
      </c>
      <c r="G196" s="18" t="s">
        <v>283</v>
      </c>
      <c r="H196" s="125">
        <v>65.47</v>
      </c>
      <c r="I196" s="127">
        <v>480</v>
      </c>
      <c r="J196" s="125">
        <v>98.5</v>
      </c>
      <c r="K196" s="21" t="s">
        <v>1217</v>
      </c>
      <c r="L196" s="49" t="s">
        <v>430</v>
      </c>
      <c r="M196" s="23" t="s">
        <v>751</v>
      </c>
      <c r="N196" s="174">
        <v>43388</v>
      </c>
      <c r="O196" s="23" t="s">
        <v>1452</v>
      </c>
      <c r="P196" s="23" t="s">
        <v>17</v>
      </c>
      <c r="Q196" s="23" t="s">
        <v>17</v>
      </c>
      <c r="R196" s="151"/>
      <c r="S196" s="23" t="s">
        <v>11</v>
      </c>
      <c r="T196" s="23" t="s">
        <v>11</v>
      </c>
      <c r="U196" s="125">
        <v>2.8630300000000002</v>
      </c>
      <c r="V196" s="135"/>
      <c r="W196" s="135"/>
      <c r="X196" s="135">
        <v>540</v>
      </c>
      <c r="Y196" s="135">
        <v>710</v>
      </c>
      <c r="Z196" s="135">
        <v>800</v>
      </c>
      <c r="AA196" s="126">
        <v>6.55</v>
      </c>
      <c r="AB196" s="126">
        <v>13.09</v>
      </c>
      <c r="AC196" s="126">
        <v>19.64</v>
      </c>
      <c r="AD196" s="126">
        <v>32.74</v>
      </c>
      <c r="AE196" s="126">
        <v>49.1</v>
      </c>
      <c r="AF196" s="126">
        <v>65.47</v>
      </c>
      <c r="AG196" s="126">
        <v>96.77</v>
      </c>
      <c r="AH196" s="126">
        <v>97.69</v>
      </c>
      <c r="AI196" s="126">
        <v>97.62</v>
      </c>
      <c r="AJ196" s="126">
        <v>98.1</v>
      </c>
      <c r="AK196" s="126">
        <v>98.02</v>
      </c>
      <c r="AL196" s="126">
        <v>97.46</v>
      </c>
      <c r="AM196" s="126">
        <v>97.89</v>
      </c>
      <c r="AN196" s="126">
        <v>98.52</v>
      </c>
      <c r="AO196" s="126">
        <v>98.59</v>
      </c>
      <c r="AP196" s="126">
        <v>98.63</v>
      </c>
      <c r="AQ196" s="126">
        <v>98.71</v>
      </c>
      <c r="AR196" s="126">
        <v>98.46</v>
      </c>
      <c r="AS196" s="126">
        <v>98.29</v>
      </c>
      <c r="AT196" s="126">
        <v>98.54</v>
      </c>
      <c r="AU196" s="126">
        <v>97.76</v>
      </c>
      <c r="AV196" s="126">
        <v>98.59</v>
      </c>
      <c r="AW196" s="126">
        <v>98.41</v>
      </c>
      <c r="AX196" s="126">
        <v>98.51</v>
      </c>
      <c r="AY196" s="126">
        <v>98.32</v>
      </c>
      <c r="AZ196" s="126">
        <v>98.14</v>
      </c>
      <c r="BA196" s="126">
        <v>98.35</v>
      </c>
      <c r="BB196" s="174">
        <v>43084</v>
      </c>
      <c r="BC196" s="174">
        <v>43557</v>
      </c>
    </row>
    <row r="197" spans="1:55" s="44" customFormat="1" ht="45">
      <c r="A197" s="18" t="s">
        <v>2</v>
      </c>
      <c r="B197" s="18" t="s">
        <v>856</v>
      </c>
      <c r="C197" s="23" t="s">
        <v>10</v>
      </c>
      <c r="D197" s="23" t="s">
        <v>10</v>
      </c>
      <c r="E197" s="23" t="s">
        <v>10</v>
      </c>
      <c r="F197" s="23" t="s">
        <v>11</v>
      </c>
      <c r="G197" s="147" t="s">
        <v>544</v>
      </c>
      <c r="H197" s="19">
        <v>4.99</v>
      </c>
      <c r="I197" s="19">
        <v>208</v>
      </c>
      <c r="J197" s="19">
        <v>97</v>
      </c>
      <c r="K197" s="21" t="s">
        <v>1216</v>
      </c>
      <c r="L197" s="49" t="s">
        <v>539</v>
      </c>
      <c r="M197" s="21" t="s">
        <v>540</v>
      </c>
      <c r="N197" s="174">
        <v>43388</v>
      </c>
      <c r="O197" s="49" t="s">
        <v>539</v>
      </c>
      <c r="P197" s="23" t="s">
        <v>17</v>
      </c>
      <c r="Q197" s="23" t="s">
        <v>17</v>
      </c>
      <c r="R197" s="150"/>
      <c r="S197" s="20" t="s">
        <v>10</v>
      </c>
      <c r="T197" s="20" t="s">
        <v>11</v>
      </c>
      <c r="U197" s="19">
        <v>1.86</v>
      </c>
      <c r="V197" s="19"/>
      <c r="W197" s="19"/>
      <c r="X197" s="19">
        <v>200</v>
      </c>
      <c r="Y197" s="19">
        <v>380</v>
      </c>
      <c r="Z197" s="19">
        <v>480</v>
      </c>
      <c r="AA197" s="40">
        <v>0.49919999999999998</v>
      </c>
      <c r="AB197" s="40">
        <v>0.99839999999999995</v>
      </c>
      <c r="AC197" s="40">
        <v>1.4976</v>
      </c>
      <c r="AD197" s="40">
        <v>2.496</v>
      </c>
      <c r="AE197" s="40">
        <v>3.7440000000000002</v>
      </c>
      <c r="AF197" s="40">
        <v>4.992</v>
      </c>
      <c r="AG197" s="40">
        <v>94</v>
      </c>
      <c r="AH197" s="40">
        <v>95.6</v>
      </c>
      <c r="AI197" s="40">
        <v>96.5</v>
      </c>
      <c r="AJ197" s="40">
        <v>97</v>
      </c>
      <c r="AK197" s="40">
        <v>97</v>
      </c>
      <c r="AL197" s="40">
        <v>96.7</v>
      </c>
      <c r="AM197" s="40">
        <v>96.7</v>
      </c>
      <c r="AN197" s="40">
        <v>95.7</v>
      </c>
      <c r="AO197" s="40">
        <v>97.2</v>
      </c>
      <c r="AP197" s="40">
        <v>97.7</v>
      </c>
      <c r="AQ197" s="40">
        <v>97.8</v>
      </c>
      <c r="AR197" s="40">
        <v>97.7</v>
      </c>
      <c r="AS197" s="40">
        <v>97.3</v>
      </c>
      <c r="AT197" s="40">
        <v>97.6</v>
      </c>
      <c r="AU197" s="40">
        <v>94.6</v>
      </c>
      <c r="AV197" s="40">
        <v>96.5</v>
      </c>
      <c r="AW197" s="40">
        <v>97.2</v>
      </c>
      <c r="AX197" s="40">
        <v>97.5</v>
      </c>
      <c r="AY197" s="40">
        <v>97.5</v>
      </c>
      <c r="AZ197" s="40">
        <v>97.2</v>
      </c>
      <c r="BA197" s="40">
        <v>97.3</v>
      </c>
      <c r="BB197" s="174">
        <v>43160</v>
      </c>
      <c r="BC197" s="174">
        <v>43388</v>
      </c>
    </row>
    <row r="198" spans="1:55" s="44" customFormat="1" ht="45">
      <c r="A198" s="18" t="s">
        <v>2</v>
      </c>
      <c r="B198" s="18" t="s">
        <v>863</v>
      </c>
      <c r="C198" s="23" t="s">
        <v>10</v>
      </c>
      <c r="D198" s="23" t="s">
        <v>10</v>
      </c>
      <c r="E198" s="23" t="s">
        <v>10</v>
      </c>
      <c r="F198" s="23" t="s">
        <v>11</v>
      </c>
      <c r="G198" s="147" t="s">
        <v>545</v>
      </c>
      <c r="H198" s="19">
        <v>5.76</v>
      </c>
      <c r="I198" s="19">
        <v>240</v>
      </c>
      <c r="J198" s="19">
        <v>97.5</v>
      </c>
      <c r="K198" s="21" t="s">
        <v>1216</v>
      </c>
      <c r="L198" s="49" t="s">
        <v>539</v>
      </c>
      <c r="M198" s="21" t="s">
        <v>540</v>
      </c>
      <c r="N198" s="174">
        <v>43388</v>
      </c>
      <c r="O198" s="49" t="s">
        <v>539</v>
      </c>
      <c r="P198" s="23" t="s">
        <v>17</v>
      </c>
      <c r="Q198" s="23" t="s">
        <v>17</v>
      </c>
      <c r="R198" s="150"/>
      <c r="S198" s="20" t="s">
        <v>10</v>
      </c>
      <c r="T198" s="20" t="s">
        <v>11</v>
      </c>
      <c r="U198" s="19">
        <v>2.25</v>
      </c>
      <c r="V198" s="19"/>
      <c r="W198" s="19"/>
      <c r="X198" s="19">
        <v>200</v>
      </c>
      <c r="Y198" s="19">
        <v>380</v>
      </c>
      <c r="Z198" s="19">
        <v>480</v>
      </c>
      <c r="AA198" s="40">
        <v>0.57599999999999996</v>
      </c>
      <c r="AB198" s="40">
        <v>1.1519999999999999</v>
      </c>
      <c r="AC198" s="40">
        <v>1.728</v>
      </c>
      <c r="AD198" s="40">
        <v>2.88</v>
      </c>
      <c r="AE198" s="40">
        <v>4.32</v>
      </c>
      <c r="AF198" s="40">
        <v>5.76</v>
      </c>
      <c r="AG198" s="40">
        <v>94</v>
      </c>
      <c r="AH198" s="40">
        <v>95.7</v>
      </c>
      <c r="AI198" s="40">
        <v>96.5</v>
      </c>
      <c r="AJ198" s="40">
        <v>97.1</v>
      </c>
      <c r="AK198" s="40">
        <v>97.1</v>
      </c>
      <c r="AL198" s="40">
        <v>96.8</v>
      </c>
      <c r="AM198" s="40">
        <v>96.8</v>
      </c>
      <c r="AN198" s="40">
        <v>96.3</v>
      </c>
      <c r="AO198" s="40">
        <v>97.6</v>
      </c>
      <c r="AP198" s="40">
        <v>98</v>
      </c>
      <c r="AQ198" s="40">
        <v>98.1</v>
      </c>
      <c r="AR198" s="40">
        <v>97.7</v>
      </c>
      <c r="AS198" s="40">
        <v>97.6</v>
      </c>
      <c r="AT198" s="40">
        <v>97.7</v>
      </c>
      <c r="AU198" s="40">
        <v>95.2</v>
      </c>
      <c r="AV198" s="40">
        <v>97</v>
      </c>
      <c r="AW198" s="40">
        <v>97.5</v>
      </c>
      <c r="AX198" s="40">
        <v>97.8</v>
      </c>
      <c r="AY198" s="40">
        <v>97.8</v>
      </c>
      <c r="AZ198" s="40">
        <v>97.5</v>
      </c>
      <c r="BA198" s="40">
        <v>97.6</v>
      </c>
      <c r="BB198" s="174">
        <v>43160</v>
      </c>
      <c r="BC198" s="174">
        <v>43388</v>
      </c>
    </row>
    <row r="199" spans="1:55" s="44" customFormat="1" ht="60">
      <c r="A199" s="18" t="s">
        <v>2</v>
      </c>
      <c r="B199" s="18" t="s">
        <v>879</v>
      </c>
      <c r="C199" s="23" t="s">
        <v>10</v>
      </c>
      <c r="D199" s="23" t="s">
        <v>10</v>
      </c>
      <c r="E199" s="23" t="s">
        <v>10</v>
      </c>
      <c r="F199" s="23" t="s">
        <v>11</v>
      </c>
      <c r="G199" s="18" t="s">
        <v>282</v>
      </c>
      <c r="H199" s="125">
        <v>82.763999999999996</v>
      </c>
      <c r="I199" s="127">
        <v>480</v>
      </c>
      <c r="J199" s="125">
        <v>98.5</v>
      </c>
      <c r="K199" s="21" t="s">
        <v>1217</v>
      </c>
      <c r="L199" s="49" t="s">
        <v>430</v>
      </c>
      <c r="M199" s="23" t="s">
        <v>751</v>
      </c>
      <c r="N199" s="174">
        <v>43388</v>
      </c>
      <c r="O199" s="23" t="s">
        <v>1452</v>
      </c>
      <c r="P199" s="23" t="s">
        <v>17</v>
      </c>
      <c r="Q199" s="23" t="s">
        <v>17</v>
      </c>
      <c r="R199" s="151"/>
      <c r="S199" s="23" t="s">
        <v>11</v>
      </c>
      <c r="T199" s="23" t="s">
        <v>11</v>
      </c>
      <c r="U199" s="125">
        <v>2.6</v>
      </c>
      <c r="V199" s="135"/>
      <c r="W199" s="135"/>
      <c r="X199" s="135">
        <v>600</v>
      </c>
      <c r="Y199" s="135">
        <v>710</v>
      </c>
      <c r="Z199" s="135">
        <v>800</v>
      </c>
      <c r="AA199" s="126">
        <v>8.2799999999999994</v>
      </c>
      <c r="AB199" s="126">
        <v>16.55</v>
      </c>
      <c r="AC199" s="126">
        <v>24.83</v>
      </c>
      <c r="AD199" s="126">
        <v>41.38</v>
      </c>
      <c r="AE199" s="126">
        <v>62.07</v>
      </c>
      <c r="AF199" s="126">
        <v>82.76</v>
      </c>
      <c r="AG199" s="126">
        <v>97.48</v>
      </c>
      <c r="AH199" s="126">
        <v>98.39</v>
      </c>
      <c r="AI199" s="126">
        <v>98.4</v>
      </c>
      <c r="AJ199" s="126">
        <v>98.22</v>
      </c>
      <c r="AK199" s="126">
        <v>97.97</v>
      </c>
      <c r="AL199" s="126">
        <v>97.79</v>
      </c>
      <c r="AM199" s="126">
        <v>98.06</v>
      </c>
      <c r="AN199" s="126">
        <v>98.31</v>
      </c>
      <c r="AO199" s="126">
        <v>98.79</v>
      </c>
      <c r="AP199" s="126">
        <v>98.85</v>
      </c>
      <c r="AQ199" s="126">
        <v>98.69</v>
      </c>
      <c r="AR199" s="126">
        <v>98.54</v>
      </c>
      <c r="AS199" s="126">
        <v>98.18</v>
      </c>
      <c r="AT199" s="126">
        <v>98.59</v>
      </c>
      <c r="AU199" s="126">
        <v>98.37</v>
      </c>
      <c r="AV199" s="126">
        <v>98.68</v>
      </c>
      <c r="AW199" s="126">
        <v>98.69</v>
      </c>
      <c r="AX199" s="126">
        <v>98.49</v>
      </c>
      <c r="AY199" s="126">
        <v>98.23</v>
      </c>
      <c r="AZ199" s="126">
        <v>98.09</v>
      </c>
      <c r="BA199" s="126">
        <v>98.36</v>
      </c>
      <c r="BB199" s="174">
        <v>43084</v>
      </c>
      <c r="BC199" s="174">
        <v>43557</v>
      </c>
    </row>
    <row r="200" spans="1:55" s="44" customFormat="1" ht="45">
      <c r="A200" s="18" t="s">
        <v>2</v>
      </c>
      <c r="B200" s="18" t="s">
        <v>870</v>
      </c>
      <c r="C200" s="23" t="s">
        <v>10</v>
      </c>
      <c r="D200" s="23" t="s">
        <v>10</v>
      </c>
      <c r="E200" s="23" t="s">
        <v>10</v>
      </c>
      <c r="F200" s="23" t="s">
        <v>11</v>
      </c>
      <c r="G200" s="147" t="s">
        <v>546</v>
      </c>
      <c r="H200" s="19">
        <v>6.66</v>
      </c>
      <c r="I200" s="19">
        <v>208</v>
      </c>
      <c r="J200" s="19">
        <v>97.5</v>
      </c>
      <c r="K200" s="21" t="s">
        <v>1216</v>
      </c>
      <c r="L200" s="49" t="s">
        <v>539</v>
      </c>
      <c r="M200" s="21" t="s">
        <v>540</v>
      </c>
      <c r="N200" s="174">
        <v>43388</v>
      </c>
      <c r="O200" s="49" t="s">
        <v>539</v>
      </c>
      <c r="P200" s="23" t="s">
        <v>17</v>
      </c>
      <c r="Q200" s="23" t="s">
        <v>17</v>
      </c>
      <c r="R200" s="150"/>
      <c r="S200" s="20" t="s">
        <v>10</v>
      </c>
      <c r="T200" s="20" t="s">
        <v>11</v>
      </c>
      <c r="U200" s="19">
        <v>1.1499999999999999</v>
      </c>
      <c r="V200" s="19"/>
      <c r="W200" s="19"/>
      <c r="X200" s="19">
        <v>270</v>
      </c>
      <c r="Y200" s="19">
        <v>380</v>
      </c>
      <c r="Z200" s="19">
        <v>480</v>
      </c>
      <c r="AA200" s="40">
        <v>0.66559999999999997</v>
      </c>
      <c r="AB200" s="40">
        <v>1.3311999999999999</v>
      </c>
      <c r="AC200" s="40">
        <v>1.9967999999999999</v>
      </c>
      <c r="AD200" s="40">
        <v>3.3279999999999998</v>
      </c>
      <c r="AE200" s="40">
        <v>4.992</v>
      </c>
      <c r="AF200" s="40">
        <v>6.6559999999999997</v>
      </c>
      <c r="AG200" s="40">
        <v>95.2</v>
      </c>
      <c r="AH200" s="40">
        <v>96.9</v>
      </c>
      <c r="AI200" s="40">
        <v>97.4</v>
      </c>
      <c r="AJ200" s="40">
        <v>97.6</v>
      </c>
      <c r="AK200" s="40">
        <v>97.4</v>
      </c>
      <c r="AL200" s="40">
        <v>97.1</v>
      </c>
      <c r="AM200" s="40">
        <v>97.3</v>
      </c>
      <c r="AN200" s="40">
        <v>95.9</v>
      </c>
      <c r="AO200" s="40">
        <v>97.4</v>
      </c>
      <c r="AP200" s="40">
        <v>97.8</v>
      </c>
      <c r="AQ200" s="40">
        <v>97.9</v>
      </c>
      <c r="AR200" s="40">
        <v>97.7</v>
      </c>
      <c r="AS200" s="40">
        <v>97.4</v>
      </c>
      <c r="AT200" s="40">
        <v>97.7</v>
      </c>
      <c r="AU200" s="40">
        <v>94.9</v>
      </c>
      <c r="AV200" s="40">
        <v>96.8</v>
      </c>
      <c r="AW200" s="40">
        <v>97.4</v>
      </c>
      <c r="AX200" s="40">
        <v>97.7</v>
      </c>
      <c r="AY200" s="40">
        <v>97.5</v>
      </c>
      <c r="AZ200" s="40">
        <v>97.2</v>
      </c>
      <c r="BA200" s="40">
        <v>97.4</v>
      </c>
      <c r="BB200" s="174">
        <v>43160</v>
      </c>
      <c r="BC200" s="174">
        <v>43388</v>
      </c>
    </row>
    <row r="201" spans="1:55" s="44" customFormat="1" ht="45">
      <c r="A201" s="18" t="s">
        <v>2</v>
      </c>
      <c r="B201" s="18" t="s">
        <v>873</v>
      </c>
      <c r="C201" s="23" t="s">
        <v>10</v>
      </c>
      <c r="D201" s="23" t="s">
        <v>10</v>
      </c>
      <c r="E201" s="23" t="s">
        <v>10</v>
      </c>
      <c r="F201" s="23" t="s">
        <v>11</v>
      </c>
      <c r="G201" s="147" t="s">
        <v>547</v>
      </c>
      <c r="H201" s="19">
        <v>7.68</v>
      </c>
      <c r="I201" s="19">
        <v>240</v>
      </c>
      <c r="J201" s="19">
        <v>97.5</v>
      </c>
      <c r="K201" s="21" t="s">
        <v>1216</v>
      </c>
      <c r="L201" s="49" t="s">
        <v>539</v>
      </c>
      <c r="M201" s="21" t="s">
        <v>540</v>
      </c>
      <c r="N201" s="174">
        <v>43388</v>
      </c>
      <c r="O201" s="49" t="s">
        <v>539</v>
      </c>
      <c r="P201" s="23" t="s">
        <v>17</v>
      </c>
      <c r="Q201" s="23" t="s">
        <v>17</v>
      </c>
      <c r="R201" s="150"/>
      <c r="S201" s="20" t="s">
        <v>10</v>
      </c>
      <c r="T201" s="20" t="s">
        <v>11</v>
      </c>
      <c r="U201" s="19">
        <v>1.19</v>
      </c>
      <c r="V201" s="19"/>
      <c r="W201" s="19"/>
      <c r="X201" s="19">
        <v>270</v>
      </c>
      <c r="Y201" s="19">
        <v>380</v>
      </c>
      <c r="Z201" s="19">
        <v>480</v>
      </c>
      <c r="AA201" s="40">
        <v>0.76800000000000002</v>
      </c>
      <c r="AB201" s="40">
        <v>1.536</v>
      </c>
      <c r="AC201" s="40">
        <v>2.3039999999999998</v>
      </c>
      <c r="AD201" s="40">
        <v>3.84</v>
      </c>
      <c r="AE201" s="40">
        <v>5.76</v>
      </c>
      <c r="AF201" s="40">
        <v>7.68</v>
      </c>
      <c r="AG201" s="40">
        <v>95.2</v>
      </c>
      <c r="AH201" s="40">
        <v>96.8</v>
      </c>
      <c r="AI201" s="40">
        <v>97.4</v>
      </c>
      <c r="AJ201" s="40">
        <v>97.7</v>
      </c>
      <c r="AK201" s="40">
        <v>97.5</v>
      </c>
      <c r="AL201" s="40">
        <v>97.1</v>
      </c>
      <c r="AM201" s="40">
        <v>97.4</v>
      </c>
      <c r="AN201" s="40">
        <v>96.6</v>
      </c>
      <c r="AO201" s="40">
        <v>97.8</v>
      </c>
      <c r="AP201" s="40">
        <v>98.1</v>
      </c>
      <c r="AQ201" s="40">
        <v>98.2</v>
      </c>
      <c r="AR201" s="40">
        <v>98</v>
      </c>
      <c r="AS201" s="40">
        <v>97.6</v>
      </c>
      <c r="AT201" s="40">
        <v>98</v>
      </c>
      <c r="AU201" s="40">
        <v>95.6</v>
      </c>
      <c r="AV201" s="40">
        <v>97.2</v>
      </c>
      <c r="AW201" s="40">
        <v>97.7</v>
      </c>
      <c r="AX201" s="40">
        <v>97.9</v>
      </c>
      <c r="AY201" s="40">
        <v>97.8</v>
      </c>
      <c r="AZ201" s="40">
        <v>97.5</v>
      </c>
      <c r="BA201" s="40">
        <v>97.7</v>
      </c>
      <c r="BB201" s="174">
        <v>43160</v>
      </c>
      <c r="BC201" s="174">
        <v>43388</v>
      </c>
    </row>
    <row r="202" spans="1:55" s="44" customFormat="1" ht="60">
      <c r="A202" s="140" t="s">
        <v>2</v>
      </c>
      <c r="B202" s="140" t="s">
        <v>850</v>
      </c>
      <c r="C202" s="26" t="s">
        <v>10</v>
      </c>
      <c r="D202" s="26" t="s">
        <v>10</v>
      </c>
      <c r="E202" s="23" t="s">
        <v>10</v>
      </c>
      <c r="F202" s="23" t="s">
        <v>11</v>
      </c>
      <c r="G202" s="140" t="s">
        <v>1483</v>
      </c>
      <c r="H202" s="19">
        <v>3.32</v>
      </c>
      <c r="I202" s="19">
        <v>208</v>
      </c>
      <c r="J202" s="19">
        <v>97.5</v>
      </c>
      <c r="K202" s="21" t="s">
        <v>1216</v>
      </c>
      <c r="L202" s="49" t="s">
        <v>428</v>
      </c>
      <c r="M202" s="21" t="s">
        <v>429</v>
      </c>
      <c r="N202" s="174">
        <v>43388</v>
      </c>
      <c r="O202" s="49" t="s">
        <v>428</v>
      </c>
      <c r="P202" s="23" t="s">
        <v>17</v>
      </c>
      <c r="Q202" s="23" t="s">
        <v>17</v>
      </c>
      <c r="R202" s="150"/>
      <c r="S202" s="20" t="s">
        <v>10</v>
      </c>
      <c r="T202" s="20" t="s">
        <v>11</v>
      </c>
      <c r="U202" s="19">
        <v>1.1399999999999999</v>
      </c>
      <c r="V202" s="133"/>
      <c r="W202" s="133"/>
      <c r="X202" s="133">
        <v>100</v>
      </c>
      <c r="Y202" s="133">
        <v>380</v>
      </c>
      <c r="Z202" s="133">
        <v>500</v>
      </c>
      <c r="AA202" s="134">
        <v>0.33</v>
      </c>
      <c r="AB202" s="134">
        <v>0.66</v>
      </c>
      <c r="AC202" s="134">
        <v>1</v>
      </c>
      <c r="AD202" s="134">
        <v>1.66</v>
      </c>
      <c r="AE202" s="134">
        <v>2.4900000000000002</v>
      </c>
      <c r="AF202" s="134">
        <v>3.32</v>
      </c>
      <c r="AG202" s="134">
        <v>94.6</v>
      </c>
      <c r="AH202" s="134">
        <v>96.1</v>
      </c>
      <c r="AI202" s="134">
        <v>97</v>
      </c>
      <c r="AJ202" s="134">
        <v>97.3</v>
      </c>
      <c r="AK202" s="134">
        <v>97.1</v>
      </c>
      <c r="AL202" s="134">
        <v>96.8</v>
      </c>
      <c r="AM202" s="134">
        <v>97</v>
      </c>
      <c r="AN202" s="134">
        <v>96.3</v>
      </c>
      <c r="AO202" s="134">
        <v>96.9</v>
      </c>
      <c r="AP202" s="134">
        <v>97.8</v>
      </c>
      <c r="AQ202" s="134">
        <v>97.9</v>
      </c>
      <c r="AR202" s="134">
        <v>98.1</v>
      </c>
      <c r="AS202" s="134">
        <v>97.5</v>
      </c>
      <c r="AT202" s="134">
        <v>97.8</v>
      </c>
      <c r="AU202" s="134">
        <v>95.9</v>
      </c>
      <c r="AV202" s="134">
        <v>95.8</v>
      </c>
      <c r="AW202" s="134">
        <v>96.9</v>
      </c>
      <c r="AX202" s="134">
        <v>97.4</v>
      </c>
      <c r="AY202" s="134">
        <v>97.4</v>
      </c>
      <c r="AZ202" s="134">
        <v>97.1</v>
      </c>
      <c r="BA202" s="134">
        <v>97.2</v>
      </c>
      <c r="BB202" s="174">
        <v>43024</v>
      </c>
      <c r="BC202" s="174">
        <v>43388</v>
      </c>
    </row>
    <row r="203" spans="1:55" s="44" customFormat="1" ht="60">
      <c r="A203" s="140" t="s">
        <v>2</v>
      </c>
      <c r="B203" s="140" t="s">
        <v>852</v>
      </c>
      <c r="C203" s="26" t="s">
        <v>10</v>
      </c>
      <c r="D203" s="26" t="s">
        <v>10</v>
      </c>
      <c r="E203" s="23" t="s">
        <v>10</v>
      </c>
      <c r="F203" s="23" t="s">
        <v>11</v>
      </c>
      <c r="G203" s="140" t="s">
        <v>253</v>
      </c>
      <c r="H203" s="132">
        <v>3.81</v>
      </c>
      <c r="I203" s="129">
        <v>240</v>
      </c>
      <c r="J203" s="137">
        <v>97.5</v>
      </c>
      <c r="K203" s="21" t="s">
        <v>1216</v>
      </c>
      <c r="L203" s="130" t="s">
        <v>428</v>
      </c>
      <c r="M203" s="26" t="s">
        <v>429</v>
      </c>
      <c r="N203" s="174">
        <v>43388</v>
      </c>
      <c r="O203" s="130" t="s">
        <v>428</v>
      </c>
      <c r="P203" s="23" t="s">
        <v>17</v>
      </c>
      <c r="Q203" s="23" t="s">
        <v>17</v>
      </c>
      <c r="R203" s="152"/>
      <c r="S203" s="131" t="s">
        <v>10</v>
      </c>
      <c r="T203" s="131" t="s">
        <v>11</v>
      </c>
      <c r="U203" s="132">
        <v>1.19</v>
      </c>
      <c r="V203" s="133"/>
      <c r="W203" s="133"/>
      <c r="X203" s="133">
        <v>100</v>
      </c>
      <c r="Y203" s="133">
        <v>380</v>
      </c>
      <c r="Z203" s="133">
        <v>500</v>
      </c>
      <c r="AA203" s="134">
        <v>0.38</v>
      </c>
      <c r="AB203" s="134">
        <v>0.76</v>
      </c>
      <c r="AC203" s="134">
        <v>1.1399999999999999</v>
      </c>
      <c r="AD203" s="134">
        <v>1.91</v>
      </c>
      <c r="AE203" s="134">
        <v>2.86</v>
      </c>
      <c r="AF203" s="134">
        <v>3.81</v>
      </c>
      <c r="AG203" s="134">
        <v>94.1</v>
      </c>
      <c r="AH203" s="134">
        <v>95.9</v>
      </c>
      <c r="AI203" s="134">
        <v>96.9</v>
      </c>
      <c r="AJ203" s="134">
        <v>97.3</v>
      </c>
      <c r="AK203" s="134">
        <v>97.2</v>
      </c>
      <c r="AL203" s="134">
        <v>96.8</v>
      </c>
      <c r="AM203" s="134">
        <v>97</v>
      </c>
      <c r="AN203" s="134">
        <v>95.5</v>
      </c>
      <c r="AO203" s="134">
        <v>96.9</v>
      </c>
      <c r="AP203" s="134">
        <v>98</v>
      </c>
      <c r="AQ203" s="134">
        <v>98.3</v>
      </c>
      <c r="AR203" s="134">
        <v>98.1</v>
      </c>
      <c r="AS203" s="134">
        <v>98</v>
      </c>
      <c r="AT203" s="134">
        <v>98</v>
      </c>
      <c r="AU203" s="134">
        <v>94.6</v>
      </c>
      <c r="AV203" s="134">
        <v>95.6</v>
      </c>
      <c r="AW203" s="134">
        <v>97.3</v>
      </c>
      <c r="AX203" s="134">
        <v>97.8</v>
      </c>
      <c r="AY203" s="134">
        <v>97.8</v>
      </c>
      <c r="AZ203" s="134">
        <v>97.6</v>
      </c>
      <c r="BA203" s="134">
        <v>97.5</v>
      </c>
      <c r="BB203" s="174">
        <v>43024</v>
      </c>
      <c r="BC203" s="174">
        <v>43388</v>
      </c>
    </row>
    <row r="204" spans="1:55" s="44" customFormat="1" ht="60">
      <c r="A204" s="140" t="s">
        <v>2</v>
      </c>
      <c r="B204" s="140" t="s">
        <v>860</v>
      </c>
      <c r="C204" s="26" t="s">
        <v>10</v>
      </c>
      <c r="D204" s="26" t="s">
        <v>10</v>
      </c>
      <c r="E204" s="23" t="s">
        <v>10</v>
      </c>
      <c r="F204" s="23" t="s">
        <v>11</v>
      </c>
      <c r="G204" s="140" t="s">
        <v>1482</v>
      </c>
      <c r="H204" s="132">
        <v>5.2</v>
      </c>
      <c r="I204" s="129">
        <v>208</v>
      </c>
      <c r="J204" s="137">
        <v>97.5</v>
      </c>
      <c r="K204" s="21" t="s">
        <v>1216</v>
      </c>
      <c r="L204" s="130" t="s">
        <v>428</v>
      </c>
      <c r="M204" s="26" t="s">
        <v>429</v>
      </c>
      <c r="N204" s="174">
        <v>43388</v>
      </c>
      <c r="O204" s="130" t="s">
        <v>428</v>
      </c>
      <c r="P204" s="23" t="s">
        <v>17</v>
      </c>
      <c r="Q204" s="23" t="s">
        <v>17</v>
      </c>
      <c r="R204" s="152"/>
      <c r="S204" s="131" t="s">
        <v>10</v>
      </c>
      <c r="T204" s="131" t="s">
        <v>11</v>
      </c>
      <c r="U204" s="132">
        <v>1.31</v>
      </c>
      <c r="V204" s="133"/>
      <c r="W204" s="133"/>
      <c r="X204" s="133">
        <v>100</v>
      </c>
      <c r="Y204" s="133">
        <v>380</v>
      </c>
      <c r="Z204" s="133">
        <v>500</v>
      </c>
      <c r="AA204" s="134">
        <v>0.52</v>
      </c>
      <c r="AB204" s="134">
        <v>1.04</v>
      </c>
      <c r="AC204" s="134">
        <v>1.56</v>
      </c>
      <c r="AD204" s="134">
        <v>2.6</v>
      </c>
      <c r="AE204" s="134">
        <v>3.9</v>
      </c>
      <c r="AF204" s="134">
        <v>5.2</v>
      </c>
      <c r="AG204" s="134">
        <v>93.6</v>
      </c>
      <c r="AH204" s="134">
        <v>95.6</v>
      </c>
      <c r="AI204" s="134">
        <v>96.3</v>
      </c>
      <c r="AJ204" s="134">
        <v>97.2</v>
      </c>
      <c r="AK204" s="134">
        <v>97.1</v>
      </c>
      <c r="AL204" s="134">
        <v>96.8</v>
      </c>
      <c r="AM204" s="134">
        <v>96.8</v>
      </c>
      <c r="AN204" s="134">
        <v>95.2</v>
      </c>
      <c r="AO204" s="134">
        <v>96.6</v>
      </c>
      <c r="AP204" s="134">
        <v>97.5</v>
      </c>
      <c r="AQ204" s="134">
        <v>98</v>
      </c>
      <c r="AR204" s="134">
        <v>98</v>
      </c>
      <c r="AS204" s="134">
        <v>97.7</v>
      </c>
      <c r="AT204" s="134">
        <v>97.7</v>
      </c>
      <c r="AU204" s="134">
        <v>93.6</v>
      </c>
      <c r="AV204" s="134">
        <v>96.3</v>
      </c>
      <c r="AW204" s="134">
        <v>97</v>
      </c>
      <c r="AX204" s="134">
        <v>97.7</v>
      </c>
      <c r="AY204" s="134">
        <v>97.7</v>
      </c>
      <c r="AZ204" s="134">
        <v>97.5</v>
      </c>
      <c r="BA204" s="134">
        <v>97.4</v>
      </c>
      <c r="BB204" s="174">
        <v>43024</v>
      </c>
      <c r="BC204" s="174">
        <v>43388</v>
      </c>
    </row>
    <row r="205" spans="1:55" s="44" customFormat="1" ht="60">
      <c r="A205" s="140" t="s">
        <v>2</v>
      </c>
      <c r="B205" s="140" t="s">
        <v>861</v>
      </c>
      <c r="C205" s="26" t="s">
        <v>10</v>
      </c>
      <c r="D205" s="26" t="s">
        <v>10</v>
      </c>
      <c r="E205" s="23" t="s">
        <v>10</v>
      </c>
      <c r="F205" s="23" t="s">
        <v>11</v>
      </c>
      <c r="G205" s="140" t="s">
        <v>1481</v>
      </c>
      <c r="H205" s="132">
        <v>5.2</v>
      </c>
      <c r="I205" s="129">
        <v>240</v>
      </c>
      <c r="J205" s="137">
        <v>97.5</v>
      </c>
      <c r="K205" s="21" t="s">
        <v>1216</v>
      </c>
      <c r="L205" s="130" t="s">
        <v>428</v>
      </c>
      <c r="M205" s="26" t="s">
        <v>429</v>
      </c>
      <c r="N205" s="174">
        <v>43388</v>
      </c>
      <c r="O205" s="130" t="s">
        <v>428</v>
      </c>
      <c r="P205" s="23" t="s">
        <v>17</v>
      </c>
      <c r="Q205" s="23" t="s">
        <v>17</v>
      </c>
      <c r="R205" s="152"/>
      <c r="S205" s="131" t="s">
        <v>10</v>
      </c>
      <c r="T205" s="131" t="s">
        <v>11</v>
      </c>
      <c r="U205" s="132">
        <v>1.42</v>
      </c>
      <c r="V205" s="133"/>
      <c r="W205" s="133"/>
      <c r="X205" s="133">
        <v>100</v>
      </c>
      <c r="Y205" s="133">
        <v>380</v>
      </c>
      <c r="Z205" s="133">
        <v>500</v>
      </c>
      <c r="AA205" s="134">
        <v>0.52</v>
      </c>
      <c r="AB205" s="134">
        <v>1.04</v>
      </c>
      <c r="AC205" s="134">
        <v>1.56</v>
      </c>
      <c r="AD205" s="134">
        <v>2.6</v>
      </c>
      <c r="AE205" s="134">
        <v>3.9</v>
      </c>
      <c r="AF205" s="134">
        <v>5.2</v>
      </c>
      <c r="AG205" s="134">
        <v>94</v>
      </c>
      <c r="AH205" s="134">
        <v>95.8</v>
      </c>
      <c r="AI205" s="134">
        <v>96.4</v>
      </c>
      <c r="AJ205" s="134">
        <v>97.3</v>
      </c>
      <c r="AK205" s="134">
        <v>97.4</v>
      </c>
      <c r="AL205" s="134">
        <v>97.1</v>
      </c>
      <c r="AM205" s="134">
        <v>97</v>
      </c>
      <c r="AN205" s="134">
        <v>95.2</v>
      </c>
      <c r="AO205" s="134">
        <v>97</v>
      </c>
      <c r="AP205" s="134">
        <v>97.5</v>
      </c>
      <c r="AQ205" s="134">
        <v>98.2</v>
      </c>
      <c r="AR205" s="134">
        <v>98.3</v>
      </c>
      <c r="AS205" s="134">
        <v>98.1</v>
      </c>
      <c r="AT205" s="134">
        <v>98</v>
      </c>
      <c r="AU205" s="134">
        <v>93.8</v>
      </c>
      <c r="AV205" s="134">
        <v>96.6</v>
      </c>
      <c r="AW205" s="134">
        <v>97.2</v>
      </c>
      <c r="AX205" s="134">
        <v>97.9</v>
      </c>
      <c r="AY205" s="134">
        <v>98</v>
      </c>
      <c r="AZ205" s="134">
        <v>98</v>
      </c>
      <c r="BA205" s="134">
        <v>97.7</v>
      </c>
      <c r="BB205" s="174">
        <v>43024</v>
      </c>
      <c r="BC205" s="174">
        <v>43388</v>
      </c>
    </row>
    <row r="206" spans="1:55" s="44" customFormat="1" ht="60">
      <c r="A206" s="140" t="s">
        <v>2</v>
      </c>
      <c r="B206" s="140" t="s">
        <v>866</v>
      </c>
      <c r="C206" s="26" t="s">
        <v>10</v>
      </c>
      <c r="D206" s="26" t="s">
        <v>10</v>
      </c>
      <c r="E206" s="23" t="s">
        <v>10</v>
      </c>
      <c r="F206" s="23" t="s">
        <v>11</v>
      </c>
      <c r="G206" s="140" t="s">
        <v>1480</v>
      </c>
      <c r="H206" s="132">
        <v>6.6</v>
      </c>
      <c r="I206" s="129">
        <v>208</v>
      </c>
      <c r="J206" s="137">
        <v>97.5</v>
      </c>
      <c r="K206" s="21" t="s">
        <v>1216</v>
      </c>
      <c r="L206" s="130" t="s">
        <v>428</v>
      </c>
      <c r="M206" s="26" t="s">
        <v>429</v>
      </c>
      <c r="N206" s="174">
        <v>43388</v>
      </c>
      <c r="O206" s="130" t="s">
        <v>428</v>
      </c>
      <c r="P206" s="23" t="s">
        <v>17</v>
      </c>
      <c r="Q206" s="23" t="s">
        <v>17</v>
      </c>
      <c r="R206" s="152"/>
      <c r="S206" s="131" t="s">
        <v>10</v>
      </c>
      <c r="T206" s="131" t="s">
        <v>11</v>
      </c>
      <c r="U206" s="132">
        <v>1.23</v>
      </c>
      <c r="V206" s="133"/>
      <c r="W206" s="133"/>
      <c r="X206" s="133">
        <v>100</v>
      </c>
      <c r="Y206" s="133">
        <v>380</v>
      </c>
      <c r="Z206" s="133">
        <v>500</v>
      </c>
      <c r="AA206" s="134">
        <v>0.66</v>
      </c>
      <c r="AB206" s="134">
        <v>1.32</v>
      </c>
      <c r="AC206" s="134">
        <v>1.98</v>
      </c>
      <c r="AD206" s="134">
        <v>3.3</v>
      </c>
      <c r="AE206" s="134">
        <v>4.95</v>
      </c>
      <c r="AF206" s="134">
        <v>6.6</v>
      </c>
      <c r="AG206" s="134">
        <v>94.4</v>
      </c>
      <c r="AH206" s="134">
        <v>96.1</v>
      </c>
      <c r="AI206" s="134">
        <v>97</v>
      </c>
      <c r="AJ206" s="134">
        <v>97.2</v>
      </c>
      <c r="AK206" s="134">
        <v>96.9</v>
      </c>
      <c r="AL206" s="134">
        <v>96.2</v>
      </c>
      <c r="AM206" s="134">
        <v>96.8</v>
      </c>
      <c r="AN206" s="134">
        <v>95.9</v>
      </c>
      <c r="AO206" s="134">
        <v>96.9</v>
      </c>
      <c r="AP206" s="134">
        <v>97.8</v>
      </c>
      <c r="AQ206" s="134">
        <v>98</v>
      </c>
      <c r="AR206" s="134">
        <v>97.7</v>
      </c>
      <c r="AS206" s="134">
        <v>97.3</v>
      </c>
      <c r="AT206" s="134">
        <v>97.7</v>
      </c>
      <c r="AU206" s="134">
        <v>95</v>
      </c>
      <c r="AV206" s="134">
        <v>96.4</v>
      </c>
      <c r="AW206" s="134">
        <v>97.4</v>
      </c>
      <c r="AX206" s="134">
        <v>97.7</v>
      </c>
      <c r="AY206" s="134">
        <v>97.6</v>
      </c>
      <c r="AZ206" s="134">
        <v>97.1</v>
      </c>
      <c r="BA206" s="134">
        <v>97.4</v>
      </c>
      <c r="BB206" s="174">
        <v>43024</v>
      </c>
      <c r="BC206" s="174">
        <v>43388</v>
      </c>
    </row>
    <row r="207" spans="1:55" s="44" customFormat="1" ht="60">
      <c r="A207" s="140" t="s">
        <v>2</v>
      </c>
      <c r="B207" s="140" t="s">
        <v>867</v>
      </c>
      <c r="C207" s="26" t="s">
        <v>10</v>
      </c>
      <c r="D207" s="26" t="s">
        <v>10</v>
      </c>
      <c r="E207" s="23" t="s">
        <v>10</v>
      </c>
      <c r="F207" s="23" t="s">
        <v>11</v>
      </c>
      <c r="G207" s="140" t="s">
        <v>254</v>
      </c>
      <c r="H207" s="132">
        <v>6.6</v>
      </c>
      <c r="I207" s="19">
        <v>240</v>
      </c>
      <c r="J207" s="19">
        <v>97.5</v>
      </c>
      <c r="K207" s="21" t="s">
        <v>1216</v>
      </c>
      <c r="L207" s="49" t="s">
        <v>428</v>
      </c>
      <c r="M207" s="21" t="s">
        <v>429</v>
      </c>
      <c r="N207" s="174">
        <v>43388</v>
      </c>
      <c r="O207" s="130" t="s">
        <v>428</v>
      </c>
      <c r="P207" s="23" t="s">
        <v>17</v>
      </c>
      <c r="Q207" s="23" t="s">
        <v>17</v>
      </c>
      <c r="R207" s="150"/>
      <c r="S207" s="20" t="s">
        <v>10</v>
      </c>
      <c r="T207" s="20" t="s">
        <v>11</v>
      </c>
      <c r="U207" s="19">
        <v>1.45</v>
      </c>
      <c r="V207" s="133"/>
      <c r="W207" s="133"/>
      <c r="X207" s="133">
        <v>100</v>
      </c>
      <c r="Y207" s="133">
        <v>380</v>
      </c>
      <c r="Z207" s="133">
        <v>500</v>
      </c>
      <c r="AA207" s="134">
        <v>0.66</v>
      </c>
      <c r="AB207" s="134">
        <v>1.32</v>
      </c>
      <c r="AC207" s="134">
        <v>1.98</v>
      </c>
      <c r="AD207" s="134">
        <v>3.3</v>
      </c>
      <c r="AE207" s="134">
        <v>4.95</v>
      </c>
      <c r="AF207" s="134">
        <v>6.6</v>
      </c>
      <c r="AG207" s="134">
        <v>94.3</v>
      </c>
      <c r="AH207" s="134">
        <v>96.2</v>
      </c>
      <c r="AI207" s="134">
        <v>96.9</v>
      </c>
      <c r="AJ207" s="134">
        <v>97.4</v>
      </c>
      <c r="AK207" s="134">
        <v>97.2</v>
      </c>
      <c r="AL207" s="134">
        <v>96.8</v>
      </c>
      <c r="AM207" s="134">
        <v>97</v>
      </c>
      <c r="AN207" s="134">
        <v>96</v>
      </c>
      <c r="AO207" s="134">
        <v>97.3</v>
      </c>
      <c r="AP207" s="134">
        <v>97.9</v>
      </c>
      <c r="AQ207" s="134">
        <v>98.3</v>
      </c>
      <c r="AR207" s="134">
        <v>98.2</v>
      </c>
      <c r="AS207" s="134">
        <v>97.9</v>
      </c>
      <c r="AT207" s="134">
        <v>98</v>
      </c>
      <c r="AU207" s="134">
        <v>95</v>
      </c>
      <c r="AV207" s="134">
        <v>96.8</v>
      </c>
      <c r="AW207" s="134">
        <v>97.6</v>
      </c>
      <c r="AX207" s="134">
        <v>98</v>
      </c>
      <c r="AY207" s="134">
        <v>98</v>
      </c>
      <c r="AZ207" s="134">
        <v>97.7</v>
      </c>
      <c r="BA207" s="134">
        <v>97.7</v>
      </c>
      <c r="BB207" s="174">
        <v>43024</v>
      </c>
      <c r="BC207" s="174">
        <v>43388</v>
      </c>
    </row>
    <row r="208" spans="1:55" s="44" customFormat="1" ht="60">
      <c r="A208" s="140" t="s">
        <v>2</v>
      </c>
      <c r="B208" s="140" t="s">
        <v>868</v>
      </c>
      <c r="C208" s="26" t="s">
        <v>10</v>
      </c>
      <c r="D208" s="26" t="s">
        <v>10</v>
      </c>
      <c r="E208" s="23" t="s">
        <v>10</v>
      </c>
      <c r="F208" s="23" t="s">
        <v>11</v>
      </c>
      <c r="G208" s="140" t="s">
        <v>1479</v>
      </c>
      <c r="H208" s="132">
        <v>6.6</v>
      </c>
      <c r="I208" s="129">
        <v>208</v>
      </c>
      <c r="J208" s="137">
        <v>97.5</v>
      </c>
      <c r="K208" s="21" t="s">
        <v>1216</v>
      </c>
      <c r="L208" s="130" t="s">
        <v>428</v>
      </c>
      <c r="M208" s="26" t="s">
        <v>429</v>
      </c>
      <c r="N208" s="174">
        <v>43388</v>
      </c>
      <c r="O208" s="130" t="s">
        <v>428</v>
      </c>
      <c r="P208" s="23" t="s">
        <v>17</v>
      </c>
      <c r="Q208" s="23" t="s">
        <v>17</v>
      </c>
      <c r="R208" s="152"/>
      <c r="S208" s="131" t="s">
        <v>10</v>
      </c>
      <c r="T208" s="131" t="s">
        <v>11</v>
      </c>
      <c r="U208" s="132">
        <v>1.23</v>
      </c>
      <c r="V208" s="133"/>
      <c r="W208" s="133"/>
      <c r="X208" s="133">
        <v>100</v>
      </c>
      <c r="Y208" s="133">
        <v>380</v>
      </c>
      <c r="Z208" s="133">
        <v>500</v>
      </c>
      <c r="AA208" s="134">
        <v>0.66</v>
      </c>
      <c r="AB208" s="134">
        <v>1.32</v>
      </c>
      <c r="AC208" s="134">
        <v>1.98</v>
      </c>
      <c r="AD208" s="134">
        <v>3.3</v>
      </c>
      <c r="AE208" s="134">
        <v>4.95</v>
      </c>
      <c r="AF208" s="134">
        <v>6.6</v>
      </c>
      <c r="AG208" s="134">
        <v>94.4</v>
      </c>
      <c r="AH208" s="134">
        <v>96.1</v>
      </c>
      <c r="AI208" s="134">
        <v>97</v>
      </c>
      <c r="AJ208" s="134">
        <v>97.2</v>
      </c>
      <c r="AK208" s="134">
        <v>96.9</v>
      </c>
      <c r="AL208" s="134">
        <v>96.2</v>
      </c>
      <c r="AM208" s="134">
        <v>96.8</v>
      </c>
      <c r="AN208" s="134">
        <v>95.9</v>
      </c>
      <c r="AO208" s="134">
        <v>96.9</v>
      </c>
      <c r="AP208" s="134">
        <v>97.8</v>
      </c>
      <c r="AQ208" s="134">
        <v>98</v>
      </c>
      <c r="AR208" s="134">
        <v>97.7</v>
      </c>
      <c r="AS208" s="134">
        <v>97.3</v>
      </c>
      <c r="AT208" s="134">
        <v>97.7</v>
      </c>
      <c r="AU208" s="134">
        <v>95</v>
      </c>
      <c r="AV208" s="134">
        <v>96.4</v>
      </c>
      <c r="AW208" s="134">
        <v>97.4</v>
      </c>
      <c r="AX208" s="134">
        <v>97.7</v>
      </c>
      <c r="AY208" s="134">
        <v>97.6</v>
      </c>
      <c r="AZ208" s="134">
        <v>97.1</v>
      </c>
      <c r="BA208" s="134">
        <v>97.4</v>
      </c>
      <c r="BB208" s="174">
        <v>43024</v>
      </c>
      <c r="BC208" s="174">
        <v>43388</v>
      </c>
    </row>
    <row r="209" spans="1:55" s="44" customFormat="1" ht="60">
      <c r="A209" s="140" t="s">
        <v>2</v>
      </c>
      <c r="B209" s="140" t="s">
        <v>871</v>
      </c>
      <c r="C209" s="26" t="s">
        <v>10</v>
      </c>
      <c r="D209" s="26" t="s">
        <v>10</v>
      </c>
      <c r="E209" s="23" t="s">
        <v>10</v>
      </c>
      <c r="F209" s="23" t="s">
        <v>11</v>
      </c>
      <c r="G209" s="140" t="s">
        <v>1477</v>
      </c>
      <c r="H209" s="132">
        <v>7.6</v>
      </c>
      <c r="I209" s="129">
        <v>240</v>
      </c>
      <c r="J209" s="137">
        <v>97.5</v>
      </c>
      <c r="K209" s="21" t="s">
        <v>1216</v>
      </c>
      <c r="L209" s="130" t="s">
        <v>428</v>
      </c>
      <c r="M209" s="26" t="s">
        <v>429</v>
      </c>
      <c r="N209" s="174">
        <v>43388</v>
      </c>
      <c r="O209" s="130" t="s">
        <v>428</v>
      </c>
      <c r="P209" s="23" t="s">
        <v>17</v>
      </c>
      <c r="Q209" s="23" t="s">
        <v>17</v>
      </c>
      <c r="R209" s="152"/>
      <c r="S209" s="131" t="s">
        <v>10</v>
      </c>
      <c r="T209" s="131" t="s">
        <v>11</v>
      </c>
      <c r="U209" s="132">
        <v>1.43</v>
      </c>
      <c r="V209" s="133"/>
      <c r="W209" s="133"/>
      <c r="X209" s="133">
        <v>100</v>
      </c>
      <c r="Y209" s="133">
        <v>380</v>
      </c>
      <c r="Z209" s="133">
        <v>500</v>
      </c>
      <c r="AA209" s="134">
        <v>0.76</v>
      </c>
      <c r="AB209" s="134">
        <v>1.52</v>
      </c>
      <c r="AC209" s="134">
        <v>2.2799999999999998</v>
      </c>
      <c r="AD209" s="134">
        <v>3.8</v>
      </c>
      <c r="AE209" s="134">
        <v>5.7</v>
      </c>
      <c r="AF209" s="134">
        <v>7.6</v>
      </c>
      <c r="AG209" s="134">
        <v>95</v>
      </c>
      <c r="AH209" s="134">
        <v>96.4</v>
      </c>
      <c r="AI209" s="134">
        <v>97.3</v>
      </c>
      <c r="AJ209" s="134">
        <v>97.4</v>
      </c>
      <c r="AK209" s="134">
        <v>97</v>
      </c>
      <c r="AL209" s="134">
        <v>96.4</v>
      </c>
      <c r="AM209" s="134">
        <v>97</v>
      </c>
      <c r="AN209" s="134">
        <v>96.3</v>
      </c>
      <c r="AO209" s="134">
        <v>97.4</v>
      </c>
      <c r="AP209" s="134">
        <v>98.1</v>
      </c>
      <c r="AQ209" s="134">
        <v>98.3</v>
      </c>
      <c r="AR209" s="134">
        <v>98</v>
      </c>
      <c r="AS209" s="134">
        <v>97.7</v>
      </c>
      <c r="AT209" s="134">
        <v>98</v>
      </c>
      <c r="AU209" s="134">
        <v>95.5</v>
      </c>
      <c r="AV209" s="134">
        <v>97.2</v>
      </c>
      <c r="AW209" s="134">
        <v>97.7</v>
      </c>
      <c r="AX209" s="134">
        <v>98</v>
      </c>
      <c r="AY209" s="134">
        <v>97.9</v>
      </c>
      <c r="AZ209" s="134">
        <v>97.5</v>
      </c>
      <c r="BA209" s="134">
        <v>97.7</v>
      </c>
      <c r="BB209" s="174">
        <v>43024</v>
      </c>
      <c r="BC209" s="174">
        <v>43388</v>
      </c>
    </row>
    <row r="210" spans="1:55" s="44" customFormat="1" ht="45">
      <c r="A210" s="140" t="s">
        <v>1134</v>
      </c>
      <c r="B210" s="140" t="s">
        <v>1135</v>
      </c>
      <c r="C210" s="26" t="s">
        <v>10</v>
      </c>
      <c r="D210" s="26" t="s">
        <v>11</v>
      </c>
      <c r="E210" s="23" t="s">
        <v>11</v>
      </c>
      <c r="F210" s="23" t="s">
        <v>11</v>
      </c>
      <c r="G210" s="140" t="s">
        <v>1136</v>
      </c>
      <c r="H210" s="149">
        <v>1000</v>
      </c>
      <c r="I210" s="129">
        <v>440</v>
      </c>
      <c r="J210" s="137">
        <v>98</v>
      </c>
      <c r="K210" s="21" t="s">
        <v>1218</v>
      </c>
      <c r="L210" s="58" t="s">
        <v>1137</v>
      </c>
      <c r="M210" s="26" t="s">
        <v>1138</v>
      </c>
      <c r="N210" s="174" t="s">
        <v>17</v>
      </c>
      <c r="O210" s="23" t="s">
        <v>17</v>
      </c>
      <c r="P210" s="23" t="s">
        <v>17</v>
      </c>
      <c r="Q210" s="23" t="s">
        <v>17</v>
      </c>
      <c r="R210" s="152" t="s">
        <v>1139</v>
      </c>
      <c r="S210" s="131" t="s">
        <v>11</v>
      </c>
      <c r="T210" s="131" t="s">
        <v>11</v>
      </c>
      <c r="U210" s="132">
        <v>149.25</v>
      </c>
      <c r="V210" s="133"/>
      <c r="W210" s="133"/>
      <c r="X210" s="133">
        <v>740</v>
      </c>
      <c r="Y210" s="133">
        <v>830</v>
      </c>
      <c r="Z210" s="133">
        <v>900</v>
      </c>
      <c r="AA210" s="132">
        <v>100</v>
      </c>
      <c r="AB210" s="132">
        <v>200</v>
      </c>
      <c r="AC210" s="132">
        <v>300</v>
      </c>
      <c r="AD210" s="132">
        <v>500</v>
      </c>
      <c r="AE210" s="132">
        <v>750</v>
      </c>
      <c r="AF210" s="132">
        <v>1000</v>
      </c>
      <c r="AG210" s="137">
        <v>94.976199999999992</v>
      </c>
      <c r="AH210" s="137">
        <v>97.210200000000015</v>
      </c>
      <c r="AI210" s="137">
        <v>97.951599999999999</v>
      </c>
      <c r="AJ210" s="137">
        <v>98.4084</v>
      </c>
      <c r="AK210" s="137">
        <v>98.506999999999991</v>
      </c>
      <c r="AL210" s="137">
        <v>98.421000000000006</v>
      </c>
      <c r="AM210" s="137">
        <v>98.209273999999994</v>
      </c>
      <c r="AN210" s="137">
        <v>94.25200000000001</v>
      </c>
      <c r="AO210" s="137">
        <v>96.764399999999995</v>
      </c>
      <c r="AP210" s="137">
        <v>97.581600000000009</v>
      </c>
      <c r="AQ210" s="137">
        <v>98.185599999999994</v>
      </c>
      <c r="AR210" s="137">
        <v>98.325400000000002</v>
      </c>
      <c r="AS210" s="137">
        <v>98.260799999999989</v>
      </c>
      <c r="AT210" s="137">
        <v>97.962569999999999</v>
      </c>
      <c r="AU210" s="137">
        <v>93.58720000000001</v>
      </c>
      <c r="AV210" s="137">
        <v>96.477400000000003</v>
      </c>
      <c r="AW210" s="137">
        <v>97.383799999999994</v>
      </c>
      <c r="AX210" s="137">
        <v>98.005799999999994</v>
      </c>
      <c r="AY210" s="137">
        <v>98.208799999999997</v>
      </c>
      <c r="AZ210" s="137">
        <v>98.169399999999996</v>
      </c>
      <c r="BA210" s="137">
        <v>97.793765999999991</v>
      </c>
      <c r="BB210" s="176">
        <v>43405</v>
      </c>
      <c r="BC210" s="175"/>
    </row>
    <row r="211" spans="1:55" s="44" customFormat="1" ht="75">
      <c r="A211" s="18" t="s">
        <v>511</v>
      </c>
      <c r="B211" s="18" t="s">
        <v>881</v>
      </c>
      <c r="C211" s="23" t="s">
        <v>10</v>
      </c>
      <c r="D211" s="23" t="s">
        <v>11</v>
      </c>
      <c r="E211" s="23" t="s">
        <v>10</v>
      </c>
      <c r="F211" s="23" t="s">
        <v>11</v>
      </c>
      <c r="G211" s="18" t="s">
        <v>660</v>
      </c>
      <c r="H211" s="19">
        <v>98.861000000000004</v>
      </c>
      <c r="I211" s="37">
        <v>480</v>
      </c>
      <c r="J211" s="19">
        <v>93</v>
      </c>
      <c r="K211" s="21" t="s">
        <v>1217</v>
      </c>
      <c r="L211" s="49" t="s">
        <v>512</v>
      </c>
      <c r="M211" s="38" t="s">
        <v>661</v>
      </c>
      <c r="N211" s="174" t="s">
        <v>17</v>
      </c>
      <c r="O211" s="49" t="s">
        <v>512</v>
      </c>
      <c r="P211" s="23" t="s">
        <v>17</v>
      </c>
      <c r="Q211" s="23" t="s">
        <v>17</v>
      </c>
      <c r="R211" s="151"/>
      <c r="S211" s="39" t="s">
        <v>11</v>
      </c>
      <c r="T211" s="39" t="s">
        <v>11</v>
      </c>
      <c r="U211" s="153">
        <v>803.97</v>
      </c>
      <c r="V211" s="153"/>
      <c r="W211" s="153"/>
      <c r="X211" s="153">
        <v>350</v>
      </c>
      <c r="Y211" s="153">
        <v>475</v>
      </c>
      <c r="Z211" s="153">
        <v>600</v>
      </c>
      <c r="AA211" s="40">
        <v>9.8861000000000008</v>
      </c>
      <c r="AB211" s="40">
        <v>19.772200000000002</v>
      </c>
      <c r="AC211" s="40">
        <v>29.658300000000001</v>
      </c>
      <c r="AD211" s="40">
        <v>49.430500000000002</v>
      </c>
      <c r="AE211" s="40">
        <v>74.145750000000007</v>
      </c>
      <c r="AF211" s="40">
        <v>98.861000000000004</v>
      </c>
      <c r="AG211" s="40">
        <v>81.549729106029986</v>
      </c>
      <c r="AH211" s="40">
        <v>89.974538943904108</v>
      </c>
      <c r="AI211" s="40">
        <v>92.764837199052181</v>
      </c>
      <c r="AJ211" s="40">
        <v>95.055380945060605</v>
      </c>
      <c r="AK211" s="40">
        <v>95.953827167765624</v>
      </c>
      <c r="AL211" s="40">
        <v>96.267397566741934</v>
      </c>
      <c r="AM211" s="40">
        <v>94.523024851038272</v>
      </c>
      <c r="AN211" s="40">
        <v>76.874045814495673</v>
      </c>
      <c r="AO211" s="40">
        <v>87.524622336294613</v>
      </c>
      <c r="AP211" s="40">
        <v>90.726104555513842</v>
      </c>
      <c r="AQ211" s="40">
        <v>93.685847560399708</v>
      </c>
      <c r="AR211" s="40">
        <v>95.08111701541732</v>
      </c>
      <c r="AS211" s="40">
        <v>95.578909890744185</v>
      </c>
      <c r="AT211" s="40">
        <v>93.184290996448553</v>
      </c>
      <c r="AU211" s="40">
        <v>73.017968946607908</v>
      </c>
      <c r="AV211" s="40">
        <v>84.96456393307723</v>
      </c>
      <c r="AW211" s="40">
        <v>89.04085254118921</v>
      </c>
      <c r="AX211" s="40">
        <v>92.381166211031143</v>
      </c>
      <c r="AY211" s="40">
        <v>94.006967161842141</v>
      </c>
      <c r="AZ211" s="40">
        <v>94.6159056750584</v>
      </c>
      <c r="BA211" s="40">
        <v>91.808382043306679</v>
      </c>
      <c r="BB211" s="174">
        <v>43266</v>
      </c>
      <c r="BC211" s="178"/>
    </row>
    <row r="212" spans="1:55" s="44" customFormat="1" ht="75">
      <c r="A212" s="140" t="s">
        <v>511</v>
      </c>
      <c r="B212" s="18" t="s">
        <v>882</v>
      </c>
      <c r="C212" s="23" t="s">
        <v>10</v>
      </c>
      <c r="D212" s="23" t="s">
        <v>10</v>
      </c>
      <c r="E212" s="23" t="s">
        <v>10</v>
      </c>
      <c r="F212" s="23" t="s">
        <v>11</v>
      </c>
      <c r="G212" s="147" t="s">
        <v>657</v>
      </c>
      <c r="H212" s="19">
        <v>248.91</v>
      </c>
      <c r="I212" s="19">
        <v>480</v>
      </c>
      <c r="J212" s="19">
        <v>95</v>
      </c>
      <c r="K212" s="21" t="s">
        <v>1217</v>
      </c>
      <c r="L212" s="49" t="s">
        <v>658</v>
      </c>
      <c r="M212" s="21" t="s">
        <v>659</v>
      </c>
      <c r="N212" s="174">
        <v>43388</v>
      </c>
      <c r="O212" s="49" t="s">
        <v>658</v>
      </c>
      <c r="P212" s="23" t="s">
        <v>17</v>
      </c>
      <c r="Q212" s="23" t="s">
        <v>17</v>
      </c>
      <c r="R212" s="150"/>
      <c r="S212" s="20" t="s">
        <v>11</v>
      </c>
      <c r="T212" s="20" t="s">
        <v>11</v>
      </c>
      <c r="U212" s="19">
        <v>1638.5</v>
      </c>
      <c r="V212" s="19"/>
      <c r="W212" s="19"/>
      <c r="X212" s="19">
        <v>350</v>
      </c>
      <c r="Y212" s="19">
        <v>475</v>
      </c>
      <c r="Z212" s="19">
        <v>600</v>
      </c>
      <c r="AA212" s="40">
        <v>24.890999999999998</v>
      </c>
      <c r="AB212" s="40">
        <v>49.781199999999998</v>
      </c>
      <c r="AC212" s="40">
        <v>74.671800000000005</v>
      </c>
      <c r="AD212" s="40">
        <v>124.453</v>
      </c>
      <c r="AE212" s="40">
        <v>186.68</v>
      </c>
      <c r="AF212" s="40">
        <v>248.90600000000001</v>
      </c>
      <c r="AG212" s="40">
        <v>89.1</v>
      </c>
      <c r="AH212" s="40">
        <v>93.5</v>
      </c>
      <c r="AI212" s="40">
        <v>95</v>
      </c>
      <c r="AJ212" s="40">
        <v>95.9</v>
      </c>
      <c r="AK212" s="40">
        <v>96</v>
      </c>
      <c r="AL212" s="40">
        <v>95.8</v>
      </c>
      <c r="AM212" s="40">
        <v>95.4</v>
      </c>
      <c r="AN212" s="40">
        <v>87.1</v>
      </c>
      <c r="AO212" s="40">
        <v>92.3</v>
      </c>
      <c r="AP212" s="40">
        <v>94.1</v>
      </c>
      <c r="AQ212" s="40">
        <v>95.3</v>
      </c>
      <c r="AR212" s="40">
        <v>95.6</v>
      </c>
      <c r="AS212" s="40">
        <v>95.3</v>
      </c>
      <c r="AT212" s="40">
        <v>94.8</v>
      </c>
      <c r="AU212" s="40">
        <v>85.6</v>
      </c>
      <c r="AV212" s="40">
        <v>91.1</v>
      </c>
      <c r="AW212" s="40">
        <v>93</v>
      </c>
      <c r="AX212" s="40">
        <v>94.5</v>
      </c>
      <c r="AY212" s="40">
        <v>94.9</v>
      </c>
      <c r="AZ212" s="40">
        <v>94.6</v>
      </c>
      <c r="BA212" s="40">
        <v>94</v>
      </c>
      <c r="BB212" s="174">
        <v>43146</v>
      </c>
      <c r="BC212" s="174">
        <v>43388</v>
      </c>
    </row>
    <row r="213" spans="1:55" s="44" customFormat="1" ht="75">
      <c r="A213" s="18" t="s">
        <v>511</v>
      </c>
      <c r="B213" s="18" t="s">
        <v>883</v>
      </c>
      <c r="C213" s="23" t="s">
        <v>10</v>
      </c>
      <c r="D213" s="23" t="s">
        <v>11</v>
      </c>
      <c r="E213" s="23" t="s">
        <v>10</v>
      </c>
      <c r="F213" s="23" t="s">
        <v>11</v>
      </c>
      <c r="G213" s="18" t="s">
        <v>655</v>
      </c>
      <c r="H213" s="19">
        <v>249.619</v>
      </c>
      <c r="I213" s="37">
        <v>480</v>
      </c>
      <c r="J213" s="19">
        <v>95.5</v>
      </c>
      <c r="K213" s="21" t="s">
        <v>1217</v>
      </c>
      <c r="L213" s="49" t="s">
        <v>512</v>
      </c>
      <c r="M213" s="38" t="s">
        <v>656</v>
      </c>
      <c r="N213" s="174" t="s">
        <v>17</v>
      </c>
      <c r="O213" s="49" t="s">
        <v>512</v>
      </c>
      <c r="P213" s="23" t="s">
        <v>17</v>
      </c>
      <c r="Q213" s="23" t="s">
        <v>17</v>
      </c>
      <c r="R213" s="151"/>
      <c r="S213" s="39" t="s">
        <v>11</v>
      </c>
      <c r="T213" s="39" t="s">
        <v>11</v>
      </c>
      <c r="U213" s="153">
        <v>437.7</v>
      </c>
      <c r="V213" s="153"/>
      <c r="W213" s="153"/>
      <c r="X213" s="153">
        <v>580</v>
      </c>
      <c r="Y213" s="153">
        <v>705</v>
      </c>
      <c r="Z213" s="153">
        <v>830</v>
      </c>
      <c r="AA213" s="40">
        <v>24.9619</v>
      </c>
      <c r="AB213" s="40">
        <v>49.9238</v>
      </c>
      <c r="AC213" s="40">
        <v>74.8857</v>
      </c>
      <c r="AD213" s="40">
        <v>124.8095</v>
      </c>
      <c r="AE213" s="40">
        <v>187.21424999999999</v>
      </c>
      <c r="AF213" s="40">
        <v>249.619</v>
      </c>
      <c r="AG213" s="40">
        <v>89.162466516547994</v>
      </c>
      <c r="AH213" s="40">
        <v>93.277754264854138</v>
      </c>
      <c r="AI213" s="40">
        <v>94.943555359960015</v>
      </c>
      <c r="AJ213" s="40">
        <v>96.635173224369893</v>
      </c>
      <c r="AK213" s="40">
        <v>96.507332319035953</v>
      </c>
      <c r="AL213" s="40">
        <v>96.498078452399824</v>
      </c>
      <c r="AM213" s="40">
        <v>95.890789445926558</v>
      </c>
      <c r="AN213" s="40">
        <v>87.144291364515993</v>
      </c>
      <c r="AO213" s="40">
        <v>92.741010595800759</v>
      </c>
      <c r="AP213" s="40">
        <v>94.160585089985801</v>
      </c>
      <c r="AQ213" s="40">
        <v>95.689372013838948</v>
      </c>
      <c r="AR213" s="40">
        <v>96.324363830329986</v>
      </c>
      <c r="AS213" s="40">
        <v>96.198182836470266</v>
      </c>
      <c r="AT213" s="40">
        <v>95.378682489973556</v>
      </c>
      <c r="AU213" s="40">
        <v>86.216690625126006</v>
      </c>
      <c r="AV213" s="40">
        <v>91.839437084992426</v>
      </c>
      <c r="AW213" s="40">
        <v>93.700243580581926</v>
      </c>
      <c r="AX213" s="40">
        <v>95.085162831933602</v>
      </c>
      <c r="AY213" s="40">
        <v>95.787663326950479</v>
      </c>
      <c r="AZ213" s="40">
        <v>95.881905115268637</v>
      </c>
      <c r="BA213" s="40">
        <v>94.814109722677742</v>
      </c>
      <c r="BB213" s="174">
        <v>43266</v>
      </c>
      <c r="BC213" s="178"/>
    </row>
    <row r="214" spans="1:55" s="44" customFormat="1" ht="45">
      <c r="A214" s="140" t="s">
        <v>9</v>
      </c>
      <c r="B214" s="140" t="s">
        <v>886</v>
      </c>
      <c r="C214" s="26" t="s">
        <v>10</v>
      </c>
      <c r="D214" s="26" t="s">
        <v>10</v>
      </c>
      <c r="E214" s="23" t="s">
        <v>10</v>
      </c>
      <c r="F214" s="23" t="s">
        <v>11</v>
      </c>
      <c r="G214" s="140" t="s">
        <v>133</v>
      </c>
      <c r="H214" s="19">
        <v>0.23</v>
      </c>
      <c r="I214" s="19">
        <v>208</v>
      </c>
      <c r="J214" s="137">
        <v>97</v>
      </c>
      <c r="K214" s="21" t="s">
        <v>1219</v>
      </c>
      <c r="L214" s="130" t="s">
        <v>503</v>
      </c>
      <c r="M214" s="26" t="s">
        <v>502</v>
      </c>
      <c r="N214" s="174">
        <v>43388</v>
      </c>
      <c r="O214" s="130" t="s">
        <v>503</v>
      </c>
      <c r="P214" s="23" t="s">
        <v>17</v>
      </c>
      <c r="Q214" s="23" t="s">
        <v>17</v>
      </c>
      <c r="R214" s="151" t="s">
        <v>27</v>
      </c>
      <c r="S214" s="20" t="s">
        <v>11</v>
      </c>
      <c r="T214" s="20" t="s">
        <v>10</v>
      </c>
      <c r="U214" s="19">
        <v>0.02</v>
      </c>
      <c r="V214" s="133"/>
      <c r="W214" s="133"/>
      <c r="X214" s="133">
        <v>27</v>
      </c>
      <c r="Y214" s="133">
        <v>32</v>
      </c>
      <c r="Z214" s="133">
        <v>37</v>
      </c>
      <c r="AA214" s="134">
        <v>2.3E-2</v>
      </c>
      <c r="AB214" s="134">
        <v>4.5999999999999999E-2</v>
      </c>
      <c r="AC214" s="134">
        <v>6.9000000000000006E-2</v>
      </c>
      <c r="AD214" s="134">
        <v>0.115</v>
      </c>
      <c r="AE214" s="134">
        <v>0.17249999999999999</v>
      </c>
      <c r="AF214" s="134">
        <v>0.23</v>
      </c>
      <c r="AG214" s="134">
        <v>94.197490000000002</v>
      </c>
      <c r="AH214" s="134">
        <v>95.712479999999999</v>
      </c>
      <c r="AI214" s="134">
        <v>96.348519999999994</v>
      </c>
      <c r="AJ214" s="134">
        <v>97.262550000000005</v>
      </c>
      <c r="AK214" s="134">
        <v>97.260339999999999</v>
      </c>
      <c r="AL214" s="134">
        <v>96.917450000000002</v>
      </c>
      <c r="AM214" s="134">
        <v>96.934330000000003</v>
      </c>
      <c r="AN214" s="134">
        <v>94.452510000000004</v>
      </c>
      <c r="AO214" s="134">
        <v>95.864980000000003</v>
      </c>
      <c r="AP214" s="134">
        <v>96.241010000000003</v>
      </c>
      <c r="AQ214" s="134">
        <v>97.119309999999999</v>
      </c>
      <c r="AR214" s="134">
        <v>97.198210000000003</v>
      </c>
      <c r="AS214" s="134">
        <v>96.97448</v>
      </c>
      <c r="AT214" s="134">
        <v>96.879099999999994</v>
      </c>
      <c r="AU214" s="134">
        <v>94.1798</v>
      </c>
      <c r="AV214" s="134">
        <v>95.690380000000005</v>
      </c>
      <c r="AW214" s="134">
        <v>96.083370000000002</v>
      </c>
      <c r="AX214" s="134">
        <v>96.967740000000006</v>
      </c>
      <c r="AY214" s="134">
        <v>97.087569999999999</v>
      </c>
      <c r="AZ214" s="134">
        <v>96.917450000000002</v>
      </c>
      <c r="BA214" s="134">
        <v>96.747230000000002</v>
      </c>
      <c r="BB214" s="174">
        <v>42948</v>
      </c>
      <c r="BC214" s="174">
        <v>43388</v>
      </c>
    </row>
    <row r="215" spans="1:55" s="44" customFormat="1" ht="45">
      <c r="A215" s="140" t="s">
        <v>9</v>
      </c>
      <c r="B215" s="140" t="s">
        <v>887</v>
      </c>
      <c r="C215" s="26" t="s">
        <v>10</v>
      </c>
      <c r="D215" s="26" t="s">
        <v>10</v>
      </c>
      <c r="E215" s="23" t="s">
        <v>10</v>
      </c>
      <c r="F215" s="23" t="s">
        <v>11</v>
      </c>
      <c r="G215" s="140" t="s">
        <v>504</v>
      </c>
      <c r="H215" s="132">
        <v>0.23</v>
      </c>
      <c r="I215" s="129">
        <v>240</v>
      </c>
      <c r="J215" s="137">
        <v>97</v>
      </c>
      <c r="K215" s="21" t="s">
        <v>1219</v>
      </c>
      <c r="L215" s="130" t="s">
        <v>503</v>
      </c>
      <c r="M215" s="26" t="s">
        <v>502</v>
      </c>
      <c r="N215" s="174">
        <v>43388</v>
      </c>
      <c r="O215" s="130" t="s">
        <v>503</v>
      </c>
      <c r="P215" s="23" t="s">
        <v>17</v>
      </c>
      <c r="Q215" s="23" t="s">
        <v>17</v>
      </c>
      <c r="R215" s="151" t="s">
        <v>27</v>
      </c>
      <c r="S215" s="131" t="s">
        <v>11</v>
      </c>
      <c r="T215" s="131" t="s">
        <v>10</v>
      </c>
      <c r="U215" s="132">
        <v>0.03</v>
      </c>
      <c r="V215" s="133"/>
      <c r="W215" s="133"/>
      <c r="X215" s="133">
        <v>27</v>
      </c>
      <c r="Y215" s="133">
        <v>32</v>
      </c>
      <c r="Z215" s="133">
        <v>37</v>
      </c>
      <c r="AA215" s="134">
        <v>2.3E-2</v>
      </c>
      <c r="AB215" s="134">
        <v>4.5999999999999999E-2</v>
      </c>
      <c r="AC215" s="134">
        <v>6.9000000000000006E-2</v>
      </c>
      <c r="AD215" s="134">
        <v>0.115</v>
      </c>
      <c r="AE215" s="134">
        <v>0.17249999999999999</v>
      </c>
      <c r="AF215" s="134">
        <v>0.23</v>
      </c>
      <c r="AG215" s="134">
        <v>94.655230000000003</v>
      </c>
      <c r="AH215" s="134">
        <v>96.037739999999999</v>
      </c>
      <c r="AI215" s="134">
        <v>96.665639999999996</v>
      </c>
      <c r="AJ215" s="134">
        <v>97.423699999999997</v>
      </c>
      <c r="AK215" s="134">
        <v>97.484939999999995</v>
      </c>
      <c r="AL215" s="134">
        <v>97.25591</v>
      </c>
      <c r="AM215" s="134">
        <v>97.176760000000002</v>
      </c>
      <c r="AN215" s="134">
        <v>95.060559999999995</v>
      </c>
      <c r="AO215" s="134">
        <v>96.356809999999996</v>
      </c>
      <c r="AP215" s="134">
        <v>96.706540000000004</v>
      </c>
      <c r="AQ215" s="134">
        <v>97.392669999999995</v>
      </c>
      <c r="AR215" s="134">
        <v>97.586340000000007</v>
      </c>
      <c r="AS215" s="134">
        <v>97.529629999999997</v>
      </c>
      <c r="AT215" s="134">
        <v>97.274749999999997</v>
      </c>
      <c r="AU215" s="134">
        <v>94.744969999999995</v>
      </c>
      <c r="AV215" s="134">
        <v>96.105410000000006</v>
      </c>
      <c r="AW215" s="134">
        <v>96.43141</v>
      </c>
      <c r="AX215" s="134">
        <v>97.196730000000002</v>
      </c>
      <c r="AY215" s="134">
        <v>97.469279999999998</v>
      </c>
      <c r="AZ215" s="134">
        <v>97.483500000000006</v>
      </c>
      <c r="BA215" s="134">
        <v>97.111050000000006</v>
      </c>
      <c r="BB215" s="174">
        <v>42948</v>
      </c>
      <c r="BC215" s="174">
        <v>43388</v>
      </c>
    </row>
    <row r="216" spans="1:55" s="44" customFormat="1" ht="45">
      <c r="A216" s="140" t="s">
        <v>9</v>
      </c>
      <c r="B216" s="140" t="s">
        <v>888</v>
      </c>
      <c r="C216" s="26" t="s">
        <v>10</v>
      </c>
      <c r="D216" s="26" t="s">
        <v>10</v>
      </c>
      <c r="E216" s="23" t="s">
        <v>10</v>
      </c>
      <c r="F216" s="23" t="s">
        <v>11</v>
      </c>
      <c r="G216" s="140" t="s">
        <v>134</v>
      </c>
      <c r="H216" s="132">
        <v>0.23</v>
      </c>
      <c r="I216" s="129">
        <v>208</v>
      </c>
      <c r="J216" s="137">
        <v>97</v>
      </c>
      <c r="K216" s="21" t="s">
        <v>1219</v>
      </c>
      <c r="L216" s="130" t="s">
        <v>501</v>
      </c>
      <c r="M216" s="26" t="s">
        <v>502</v>
      </c>
      <c r="N216" s="174">
        <v>43388</v>
      </c>
      <c r="O216" s="130" t="s">
        <v>503</v>
      </c>
      <c r="P216" s="23" t="s">
        <v>17</v>
      </c>
      <c r="Q216" s="23" t="s">
        <v>17</v>
      </c>
      <c r="R216" s="152"/>
      <c r="S216" s="131" t="s">
        <v>11</v>
      </c>
      <c r="T216" s="131" t="s">
        <v>10</v>
      </c>
      <c r="U216" s="132">
        <v>0.02</v>
      </c>
      <c r="V216" s="133"/>
      <c r="W216" s="133"/>
      <c r="X216" s="133">
        <v>27</v>
      </c>
      <c r="Y216" s="133">
        <v>32</v>
      </c>
      <c r="Z216" s="133">
        <v>37</v>
      </c>
      <c r="AA216" s="134">
        <v>23</v>
      </c>
      <c r="AB216" s="134">
        <v>46</v>
      </c>
      <c r="AC216" s="134">
        <v>69</v>
      </c>
      <c r="AD216" s="134">
        <v>115</v>
      </c>
      <c r="AE216" s="134">
        <v>172.5</v>
      </c>
      <c r="AF216" s="134">
        <v>230</v>
      </c>
      <c r="AG216" s="134">
        <v>94.197490000000002</v>
      </c>
      <c r="AH216" s="134">
        <v>95.712479999999999</v>
      </c>
      <c r="AI216" s="134">
        <v>96.348519999999994</v>
      </c>
      <c r="AJ216" s="134">
        <v>97.262550000000005</v>
      </c>
      <c r="AK216" s="134">
        <v>97.260339999999999</v>
      </c>
      <c r="AL216" s="134">
        <v>96.917450000000002</v>
      </c>
      <c r="AM216" s="134">
        <v>96.934334199999995</v>
      </c>
      <c r="AN216" s="134">
        <v>94.452510000000004</v>
      </c>
      <c r="AO216" s="134">
        <v>95.864980000000003</v>
      </c>
      <c r="AP216" s="134">
        <v>96.241010000000003</v>
      </c>
      <c r="AQ216" s="134">
        <v>97.119309999999999</v>
      </c>
      <c r="AR216" s="134">
        <v>97.198210000000003</v>
      </c>
      <c r="AS216" s="134">
        <v>96.97448</v>
      </c>
      <c r="AT216" s="134">
        <v>96.879101000000006</v>
      </c>
      <c r="AU216" s="134">
        <v>94.1798</v>
      </c>
      <c r="AV216" s="134">
        <v>95.690380000000005</v>
      </c>
      <c r="AW216" s="134">
        <v>96.083370000000002</v>
      </c>
      <c r="AX216" s="134">
        <v>96.967740000000006</v>
      </c>
      <c r="AY216" s="134">
        <v>97.087569999999999</v>
      </c>
      <c r="AZ216" s="134">
        <v>96.917450000000002</v>
      </c>
      <c r="BA216" s="134">
        <v>96.747225400000005</v>
      </c>
      <c r="BB216" s="174">
        <v>42948</v>
      </c>
      <c r="BC216" s="174">
        <v>43388</v>
      </c>
    </row>
    <row r="217" spans="1:55" s="44" customFormat="1" ht="45">
      <c r="A217" s="140" t="s">
        <v>9</v>
      </c>
      <c r="B217" s="140" t="s">
        <v>889</v>
      </c>
      <c r="C217" s="26" t="s">
        <v>10</v>
      </c>
      <c r="D217" s="26" t="s">
        <v>10</v>
      </c>
      <c r="E217" s="23" t="s">
        <v>10</v>
      </c>
      <c r="F217" s="23" t="s">
        <v>11</v>
      </c>
      <c r="G217" s="140" t="s">
        <v>135</v>
      </c>
      <c r="H217" s="132">
        <v>0.23</v>
      </c>
      <c r="I217" s="129">
        <v>240</v>
      </c>
      <c r="J217" s="137">
        <v>97</v>
      </c>
      <c r="K217" s="21" t="s">
        <v>1219</v>
      </c>
      <c r="L217" s="130" t="s">
        <v>501</v>
      </c>
      <c r="M217" s="26" t="s">
        <v>502</v>
      </c>
      <c r="N217" s="174">
        <v>43388</v>
      </c>
      <c r="O217" s="130" t="s">
        <v>503</v>
      </c>
      <c r="P217" s="23" t="s">
        <v>17</v>
      </c>
      <c r="Q217" s="23" t="s">
        <v>17</v>
      </c>
      <c r="R217" s="152"/>
      <c r="S217" s="131" t="s">
        <v>11</v>
      </c>
      <c r="T217" s="131" t="s">
        <v>10</v>
      </c>
      <c r="U217" s="132">
        <v>0.03</v>
      </c>
      <c r="V217" s="133"/>
      <c r="W217" s="133"/>
      <c r="X217" s="133">
        <v>27</v>
      </c>
      <c r="Y217" s="133">
        <v>32</v>
      </c>
      <c r="Z217" s="133">
        <v>37</v>
      </c>
      <c r="AA217" s="134">
        <v>2.3E-2</v>
      </c>
      <c r="AB217" s="134">
        <v>4.5999999999999999E-2</v>
      </c>
      <c r="AC217" s="134">
        <v>6.9000000000000006E-2</v>
      </c>
      <c r="AD217" s="134">
        <v>0.115</v>
      </c>
      <c r="AE217" s="134">
        <v>0.17250000000000001</v>
      </c>
      <c r="AF217" s="134">
        <v>0.23</v>
      </c>
      <c r="AG217" s="134">
        <v>94.655230000000003</v>
      </c>
      <c r="AH217" s="134">
        <v>96.037739999999999</v>
      </c>
      <c r="AI217" s="134">
        <v>96.665639999999996</v>
      </c>
      <c r="AJ217" s="134">
        <v>97.423699999999997</v>
      </c>
      <c r="AK217" s="134">
        <v>97.484939999999995</v>
      </c>
      <c r="AL217" s="134">
        <v>97.25591</v>
      </c>
      <c r="AM217" s="134">
        <v>97.176763699999995</v>
      </c>
      <c r="AN217" s="134">
        <v>95.060559999999995</v>
      </c>
      <c r="AO217" s="134">
        <v>96.356809999999996</v>
      </c>
      <c r="AP217" s="134">
        <v>96.706540000000004</v>
      </c>
      <c r="AQ217" s="134">
        <v>97.392669999999995</v>
      </c>
      <c r="AR217" s="134">
        <v>97.586340000000007</v>
      </c>
      <c r="AS217" s="134">
        <v>97.529629999999997</v>
      </c>
      <c r="AT217" s="134">
        <v>97.274750100000006</v>
      </c>
      <c r="AU217" s="134">
        <v>94.744969999999995</v>
      </c>
      <c r="AV217" s="134">
        <v>96.105410000000006</v>
      </c>
      <c r="AW217" s="134">
        <v>96.43141</v>
      </c>
      <c r="AX217" s="134">
        <v>97.196730000000002</v>
      </c>
      <c r="AY217" s="134">
        <v>97.469279999999998</v>
      </c>
      <c r="AZ217" s="134">
        <v>97.483500000000006</v>
      </c>
      <c r="BA217" s="134">
        <v>97.111045200000007</v>
      </c>
      <c r="BB217" s="174">
        <v>42948</v>
      </c>
      <c r="BC217" s="174">
        <v>43388</v>
      </c>
    </row>
    <row r="218" spans="1:55" s="44" customFormat="1" ht="75">
      <c r="A218" s="140" t="s">
        <v>9</v>
      </c>
      <c r="B218" s="140" t="s">
        <v>897</v>
      </c>
      <c r="C218" s="26" t="s">
        <v>10</v>
      </c>
      <c r="D218" s="26" t="s">
        <v>10</v>
      </c>
      <c r="E218" s="23" t="s">
        <v>10</v>
      </c>
      <c r="F218" s="23" t="s">
        <v>11</v>
      </c>
      <c r="G218" s="140" t="s">
        <v>136</v>
      </c>
      <c r="H218" s="19">
        <v>0.28000000000000003</v>
      </c>
      <c r="I218" s="19">
        <v>208</v>
      </c>
      <c r="J218" s="137">
        <v>97</v>
      </c>
      <c r="K218" s="21" t="s">
        <v>1219</v>
      </c>
      <c r="L218" s="130" t="s">
        <v>503</v>
      </c>
      <c r="M218" s="26" t="s">
        <v>502</v>
      </c>
      <c r="N218" s="174">
        <v>43388</v>
      </c>
      <c r="O218" s="130" t="s">
        <v>503</v>
      </c>
      <c r="P218" s="23" t="s">
        <v>17</v>
      </c>
      <c r="Q218" s="23" t="s">
        <v>17</v>
      </c>
      <c r="R218" s="150" t="s">
        <v>167</v>
      </c>
      <c r="S218" s="20" t="s">
        <v>11</v>
      </c>
      <c r="T218" s="20" t="s">
        <v>10</v>
      </c>
      <c r="U218" s="19">
        <v>0.02</v>
      </c>
      <c r="V218" s="133"/>
      <c r="W218" s="133"/>
      <c r="X218" s="19">
        <v>27</v>
      </c>
      <c r="Y218" s="19">
        <v>36</v>
      </c>
      <c r="Z218" s="19">
        <v>45</v>
      </c>
      <c r="AA218" s="134">
        <v>2.8000000000000001E-2</v>
      </c>
      <c r="AB218" s="134">
        <v>5.6000000000000001E-2</v>
      </c>
      <c r="AC218" s="134">
        <v>8.4000000000000005E-2</v>
      </c>
      <c r="AD218" s="134">
        <v>0.14000000000000001</v>
      </c>
      <c r="AE218" s="134">
        <v>0.21</v>
      </c>
      <c r="AF218" s="134">
        <v>0.28000000000000003</v>
      </c>
      <c r="AG218" s="134">
        <v>94.636139999999997</v>
      </c>
      <c r="AH218" s="134">
        <v>96.340069999999997</v>
      </c>
      <c r="AI218" s="134">
        <v>96.930220000000006</v>
      </c>
      <c r="AJ218" s="134">
        <v>97.37612</v>
      </c>
      <c r="AK218" s="134">
        <v>97.14246</v>
      </c>
      <c r="AL218" s="134">
        <v>96.578599999999994</v>
      </c>
      <c r="AM218" s="134">
        <v>96.997494500000002</v>
      </c>
      <c r="AN218" s="134">
        <v>94.562870000000004</v>
      </c>
      <c r="AO218" s="134">
        <v>95.684449999999998</v>
      </c>
      <c r="AP218" s="134">
        <v>96.451030000000003</v>
      </c>
      <c r="AQ218" s="134">
        <v>97.149680000000004</v>
      </c>
      <c r="AR218" s="134">
        <v>97.092020000000005</v>
      </c>
      <c r="AS218" s="134">
        <v>96.683809999999994</v>
      </c>
      <c r="AT218" s="134">
        <v>96.835254800000001</v>
      </c>
      <c r="AU218" s="134">
        <v>93.928889999999996</v>
      </c>
      <c r="AV218" s="134">
        <v>95.027100000000004</v>
      </c>
      <c r="AW218" s="134">
        <v>95.970730000000003</v>
      </c>
      <c r="AX218" s="134">
        <v>96.918509999999998</v>
      </c>
      <c r="AY218" s="134">
        <v>96.913079999999994</v>
      </c>
      <c r="AZ218" s="134">
        <v>96.59496</v>
      </c>
      <c r="BA218" s="134">
        <v>96.571565699999994</v>
      </c>
      <c r="BB218" s="174">
        <v>42962</v>
      </c>
      <c r="BC218" s="174">
        <v>43388</v>
      </c>
    </row>
    <row r="219" spans="1:55" s="44" customFormat="1" ht="75">
      <c r="A219" s="140" t="s">
        <v>9</v>
      </c>
      <c r="B219" s="140" t="s">
        <v>898</v>
      </c>
      <c r="C219" s="26" t="s">
        <v>10</v>
      </c>
      <c r="D219" s="26" t="s">
        <v>10</v>
      </c>
      <c r="E219" s="23" t="s">
        <v>10</v>
      </c>
      <c r="F219" s="23" t="s">
        <v>11</v>
      </c>
      <c r="G219" s="140" t="s">
        <v>137</v>
      </c>
      <c r="H219" s="132">
        <v>0.28000000000000003</v>
      </c>
      <c r="I219" s="129">
        <v>240</v>
      </c>
      <c r="J219" s="137">
        <v>97</v>
      </c>
      <c r="K219" s="21" t="s">
        <v>1219</v>
      </c>
      <c r="L219" s="130" t="s">
        <v>503</v>
      </c>
      <c r="M219" s="26" t="s">
        <v>502</v>
      </c>
      <c r="N219" s="174">
        <v>43388</v>
      </c>
      <c r="O219" s="130" t="s">
        <v>503</v>
      </c>
      <c r="P219" s="23" t="s">
        <v>17</v>
      </c>
      <c r="Q219" s="23" t="s">
        <v>17</v>
      </c>
      <c r="R219" s="150" t="s">
        <v>167</v>
      </c>
      <c r="S219" s="131" t="s">
        <v>11</v>
      </c>
      <c r="T219" s="131" t="s">
        <v>10</v>
      </c>
      <c r="U219" s="132">
        <v>0.02</v>
      </c>
      <c r="V219" s="133"/>
      <c r="W219" s="133"/>
      <c r="X219" s="19">
        <v>27</v>
      </c>
      <c r="Y219" s="19">
        <v>36</v>
      </c>
      <c r="Z219" s="19">
        <v>45</v>
      </c>
      <c r="AA219" s="134">
        <v>2.8000000000000001E-2</v>
      </c>
      <c r="AB219" s="134">
        <v>5.6000000000000001E-2</v>
      </c>
      <c r="AC219" s="134">
        <v>8.4000000000000005E-2</v>
      </c>
      <c r="AD219" s="134">
        <v>0.14000000000000001</v>
      </c>
      <c r="AE219" s="134">
        <v>0.21</v>
      </c>
      <c r="AF219" s="134">
        <v>0.28000000000000003</v>
      </c>
      <c r="AG219" s="134">
        <v>94.253060000000005</v>
      </c>
      <c r="AH219" s="134">
        <v>96.163120000000006</v>
      </c>
      <c r="AI219" s="134">
        <v>96.81711</v>
      </c>
      <c r="AJ219" s="134">
        <v>97.302610000000001</v>
      </c>
      <c r="AK219" s="134">
        <v>97.145589999999999</v>
      </c>
      <c r="AL219" s="134">
        <v>96.716480000000004</v>
      </c>
      <c r="AM219" s="134">
        <v>96.952866400000005</v>
      </c>
      <c r="AN219" s="134">
        <v>94.554839999999999</v>
      </c>
      <c r="AO219" s="134">
        <v>95.744399999999999</v>
      </c>
      <c r="AP219" s="134">
        <v>96.281419999999997</v>
      </c>
      <c r="AQ219" s="134">
        <v>97.254900000000006</v>
      </c>
      <c r="AR219" s="134">
        <v>97.333410000000001</v>
      </c>
      <c r="AS219" s="134">
        <v>97.170069999999996</v>
      </c>
      <c r="AT219" s="134">
        <v>96.991923799999995</v>
      </c>
      <c r="AU219" s="134">
        <v>93.905879999999996</v>
      </c>
      <c r="AV219" s="134">
        <v>95.090100000000007</v>
      </c>
      <c r="AW219" s="134">
        <v>95.744929999999997</v>
      </c>
      <c r="AX219" s="134">
        <v>96.971980000000002</v>
      </c>
      <c r="AY219" s="134">
        <v>97.148679999999999</v>
      </c>
      <c r="AZ219" s="134">
        <v>97.038430000000005</v>
      </c>
      <c r="BA219" s="134">
        <v>96.704969500000004</v>
      </c>
      <c r="BB219" s="174">
        <v>42962</v>
      </c>
      <c r="BC219" s="174">
        <v>43388</v>
      </c>
    </row>
    <row r="220" spans="1:55" s="44" customFormat="1" ht="45">
      <c r="A220" s="140" t="s">
        <v>9</v>
      </c>
      <c r="B220" s="140" t="s">
        <v>899</v>
      </c>
      <c r="C220" s="26" t="s">
        <v>10</v>
      </c>
      <c r="D220" s="26" t="s">
        <v>10</v>
      </c>
      <c r="E220" s="23" t="s">
        <v>10</v>
      </c>
      <c r="F220" s="23" t="s">
        <v>11</v>
      </c>
      <c r="G220" s="140" t="s">
        <v>131</v>
      </c>
      <c r="H220" s="132">
        <v>0.28000000000000003</v>
      </c>
      <c r="I220" s="129">
        <v>208</v>
      </c>
      <c r="J220" s="137">
        <v>97</v>
      </c>
      <c r="K220" s="21" t="s">
        <v>1219</v>
      </c>
      <c r="L220" s="130" t="s">
        <v>503</v>
      </c>
      <c r="M220" s="26" t="s">
        <v>502</v>
      </c>
      <c r="N220" s="174">
        <v>43388</v>
      </c>
      <c r="O220" s="130" t="s">
        <v>503</v>
      </c>
      <c r="P220" s="23" t="s">
        <v>17</v>
      </c>
      <c r="Q220" s="23" t="s">
        <v>17</v>
      </c>
      <c r="R220" s="152"/>
      <c r="S220" s="131" t="s">
        <v>11</v>
      </c>
      <c r="T220" s="131" t="s">
        <v>10</v>
      </c>
      <c r="U220" s="132">
        <v>0.02</v>
      </c>
      <c r="V220" s="133"/>
      <c r="W220" s="133"/>
      <c r="X220" s="133">
        <v>27</v>
      </c>
      <c r="Y220" s="133">
        <v>36</v>
      </c>
      <c r="Z220" s="19">
        <v>45</v>
      </c>
      <c r="AA220" s="134">
        <v>2.8000000000000001E-2</v>
      </c>
      <c r="AB220" s="134">
        <v>5.6000000000000001E-2</v>
      </c>
      <c r="AC220" s="134">
        <v>8.4000000000000005E-2</v>
      </c>
      <c r="AD220" s="134">
        <v>0.14000000000000001</v>
      </c>
      <c r="AE220" s="134">
        <v>0.21</v>
      </c>
      <c r="AF220" s="134">
        <v>0.28000000000000003</v>
      </c>
      <c r="AG220" s="134">
        <v>94.636139999999997</v>
      </c>
      <c r="AH220" s="134">
        <v>96.340069999999997</v>
      </c>
      <c r="AI220" s="134">
        <v>96.930220000000006</v>
      </c>
      <c r="AJ220" s="134">
        <v>97.37612</v>
      </c>
      <c r="AK220" s="134">
        <v>97.14246</v>
      </c>
      <c r="AL220" s="134">
        <v>96.578599999999994</v>
      </c>
      <c r="AM220" s="134">
        <v>96.997494500000002</v>
      </c>
      <c r="AN220" s="134">
        <v>94.562870000000004</v>
      </c>
      <c r="AO220" s="134">
        <v>95.684449999999998</v>
      </c>
      <c r="AP220" s="134">
        <v>96.451030000000003</v>
      </c>
      <c r="AQ220" s="134">
        <v>97.149680000000004</v>
      </c>
      <c r="AR220" s="134">
        <v>97.092020000000005</v>
      </c>
      <c r="AS220" s="134">
        <v>96.683809999999994</v>
      </c>
      <c r="AT220" s="134">
        <v>96.835254800000001</v>
      </c>
      <c r="AU220" s="134">
        <v>93.928889999999996</v>
      </c>
      <c r="AV220" s="134">
        <v>95.027100000000004</v>
      </c>
      <c r="AW220" s="134">
        <v>95.970730000000003</v>
      </c>
      <c r="AX220" s="134">
        <v>96.918509999999998</v>
      </c>
      <c r="AY220" s="134">
        <v>96.913079999999994</v>
      </c>
      <c r="AZ220" s="134">
        <v>96.59496</v>
      </c>
      <c r="BA220" s="134">
        <v>96.571565699999994</v>
      </c>
      <c r="BB220" s="174">
        <v>42948</v>
      </c>
      <c r="BC220" s="174">
        <v>43388</v>
      </c>
    </row>
    <row r="221" spans="1:55" s="44" customFormat="1" ht="45">
      <c r="A221" s="140" t="s">
        <v>9</v>
      </c>
      <c r="B221" s="140" t="s">
        <v>900</v>
      </c>
      <c r="C221" s="26" t="s">
        <v>10</v>
      </c>
      <c r="D221" s="26" t="s">
        <v>10</v>
      </c>
      <c r="E221" s="23" t="s">
        <v>10</v>
      </c>
      <c r="F221" s="23" t="s">
        <v>11</v>
      </c>
      <c r="G221" s="140" t="s">
        <v>132</v>
      </c>
      <c r="H221" s="132">
        <v>0.28000000000000003</v>
      </c>
      <c r="I221" s="129">
        <v>240</v>
      </c>
      <c r="J221" s="137">
        <v>97</v>
      </c>
      <c r="K221" s="21" t="s">
        <v>1219</v>
      </c>
      <c r="L221" s="130" t="s">
        <v>503</v>
      </c>
      <c r="M221" s="26" t="s">
        <v>502</v>
      </c>
      <c r="N221" s="174">
        <v>43388</v>
      </c>
      <c r="O221" s="130" t="s">
        <v>503</v>
      </c>
      <c r="P221" s="23" t="s">
        <v>17</v>
      </c>
      <c r="Q221" s="23" t="s">
        <v>17</v>
      </c>
      <c r="R221" s="152"/>
      <c r="S221" s="131" t="s">
        <v>11</v>
      </c>
      <c r="T221" s="131" t="s">
        <v>10</v>
      </c>
      <c r="U221" s="132">
        <v>0.02</v>
      </c>
      <c r="V221" s="133"/>
      <c r="W221" s="133"/>
      <c r="X221" s="133">
        <v>27</v>
      </c>
      <c r="Y221" s="133">
        <v>36</v>
      </c>
      <c r="Z221" s="19">
        <v>45</v>
      </c>
      <c r="AA221" s="134">
        <v>2.8000000000000001E-2</v>
      </c>
      <c r="AB221" s="134">
        <v>5.6000000000000001E-2</v>
      </c>
      <c r="AC221" s="134">
        <v>8.4000000000000005E-2</v>
      </c>
      <c r="AD221" s="134">
        <v>0.14000000000000001</v>
      </c>
      <c r="AE221" s="134">
        <v>0.21</v>
      </c>
      <c r="AF221" s="134">
        <v>0.28000000000000003</v>
      </c>
      <c r="AG221" s="134">
        <v>94.253060000000005</v>
      </c>
      <c r="AH221" s="134">
        <v>96.163120000000006</v>
      </c>
      <c r="AI221" s="134">
        <v>96.81711</v>
      </c>
      <c r="AJ221" s="134">
        <v>97.302610000000001</v>
      </c>
      <c r="AK221" s="134">
        <v>97.145589999999999</v>
      </c>
      <c r="AL221" s="134">
        <v>96.716480000000004</v>
      </c>
      <c r="AM221" s="134">
        <v>96.952866400000005</v>
      </c>
      <c r="AN221" s="134">
        <v>94.554839999999999</v>
      </c>
      <c r="AO221" s="134">
        <v>95.744399999999999</v>
      </c>
      <c r="AP221" s="134">
        <v>96.281419999999997</v>
      </c>
      <c r="AQ221" s="134">
        <v>97.254900000000006</v>
      </c>
      <c r="AR221" s="134">
        <v>97.333410000000001</v>
      </c>
      <c r="AS221" s="134">
        <v>97.170069999999996</v>
      </c>
      <c r="AT221" s="134">
        <v>96.991923799999995</v>
      </c>
      <c r="AU221" s="134">
        <v>93.905879999999996</v>
      </c>
      <c r="AV221" s="134">
        <v>95.090100000000007</v>
      </c>
      <c r="AW221" s="134">
        <v>95.744929999999997</v>
      </c>
      <c r="AX221" s="134">
        <v>96.971980000000002</v>
      </c>
      <c r="AY221" s="134">
        <v>97.148679999999999</v>
      </c>
      <c r="AZ221" s="134">
        <v>97.038430000000005</v>
      </c>
      <c r="BA221" s="134">
        <v>96.704969500000004</v>
      </c>
      <c r="BB221" s="174">
        <v>42948</v>
      </c>
      <c r="BC221" s="174">
        <v>43388</v>
      </c>
    </row>
    <row r="222" spans="1:55" s="44" customFormat="1" ht="45">
      <c r="A222" s="18" t="s">
        <v>9</v>
      </c>
      <c r="B222" s="18" t="s">
        <v>894</v>
      </c>
      <c r="C222" s="23" t="s">
        <v>10</v>
      </c>
      <c r="D222" s="23" t="s">
        <v>10</v>
      </c>
      <c r="E222" s="23" t="s">
        <v>10</v>
      </c>
      <c r="F222" s="23" t="s">
        <v>11</v>
      </c>
      <c r="G222" s="18" t="s">
        <v>636</v>
      </c>
      <c r="H222" s="19">
        <v>0.27</v>
      </c>
      <c r="I222" s="37">
        <v>240</v>
      </c>
      <c r="J222" s="19">
        <v>95.5</v>
      </c>
      <c r="K222" s="21" t="s">
        <v>1219</v>
      </c>
      <c r="L222" s="49" t="s">
        <v>637</v>
      </c>
      <c r="M222" s="38" t="s">
        <v>638</v>
      </c>
      <c r="N222" s="174">
        <v>43388</v>
      </c>
      <c r="O222" s="49" t="s">
        <v>637</v>
      </c>
      <c r="P222" s="23" t="s">
        <v>17</v>
      </c>
      <c r="Q222" s="23" t="s">
        <v>17</v>
      </c>
      <c r="R222" s="151"/>
      <c r="S222" s="39" t="s">
        <v>11</v>
      </c>
      <c r="T222" s="39" t="s">
        <v>10</v>
      </c>
      <c r="U222" s="153">
        <v>7.0000000000000007E-2</v>
      </c>
      <c r="V222" s="153"/>
      <c r="W222" s="153"/>
      <c r="X222" s="153">
        <v>23</v>
      </c>
      <c r="Y222" s="153">
        <v>25</v>
      </c>
      <c r="Z222" s="153">
        <v>28</v>
      </c>
      <c r="AA222" s="40">
        <v>2.7E-2</v>
      </c>
      <c r="AB222" s="40">
        <v>5.3999999999999999E-2</v>
      </c>
      <c r="AC222" s="40">
        <v>8.1000000000000003E-2</v>
      </c>
      <c r="AD222" s="40">
        <v>0.13500000000000001</v>
      </c>
      <c r="AE222" s="40">
        <v>0.20250000000000001</v>
      </c>
      <c r="AF222" s="40">
        <v>0.27</v>
      </c>
      <c r="AG222" s="40">
        <v>85.890320000000003</v>
      </c>
      <c r="AH222" s="40">
        <v>93.616439999999997</v>
      </c>
      <c r="AI222" s="40">
        <v>95.462680000000006</v>
      </c>
      <c r="AJ222" s="40">
        <v>95.976870000000005</v>
      </c>
      <c r="AK222" s="40">
        <v>95.578299999999999</v>
      </c>
      <c r="AL222" s="40">
        <v>94.803150000000002</v>
      </c>
      <c r="AM222" s="40">
        <v>95.123760000000004</v>
      </c>
      <c r="AN222" s="40">
        <v>85.800269999999998</v>
      </c>
      <c r="AO222" s="40">
        <v>93.469059999999999</v>
      </c>
      <c r="AP222" s="40">
        <v>95.405839999999998</v>
      </c>
      <c r="AQ222" s="40">
        <v>96.148520000000005</v>
      </c>
      <c r="AR222" s="40">
        <v>95.876450000000006</v>
      </c>
      <c r="AS222" s="40">
        <v>95.229470000000006</v>
      </c>
      <c r="AT222" s="40">
        <v>95.321349999999995</v>
      </c>
      <c r="AU222" s="40">
        <v>85.518879999999996</v>
      </c>
      <c r="AV222" s="40">
        <v>93.118340000000003</v>
      </c>
      <c r="AW222" s="40">
        <v>95.190380000000005</v>
      </c>
      <c r="AX222" s="40">
        <v>96.192750000000004</v>
      </c>
      <c r="AY222" s="40">
        <v>96.066869999999994</v>
      </c>
      <c r="AZ222" s="40">
        <v>95.595110000000005</v>
      </c>
      <c r="BA222" s="40">
        <v>95.395189999999999</v>
      </c>
      <c r="BB222" s="174">
        <v>43235</v>
      </c>
      <c r="BC222" s="174">
        <v>43388</v>
      </c>
    </row>
    <row r="223" spans="1:55" s="44" customFormat="1" ht="60">
      <c r="A223" s="140" t="s">
        <v>9</v>
      </c>
      <c r="B223" s="140" t="s">
        <v>890</v>
      </c>
      <c r="C223" s="26" t="s">
        <v>10</v>
      </c>
      <c r="D223" s="26" t="s">
        <v>10</v>
      </c>
      <c r="E223" s="23" t="s">
        <v>10</v>
      </c>
      <c r="F223" s="23" t="s">
        <v>11</v>
      </c>
      <c r="G223" s="140" t="s">
        <v>740</v>
      </c>
      <c r="H223" s="132">
        <v>0.24</v>
      </c>
      <c r="I223" s="129">
        <v>208</v>
      </c>
      <c r="J223" s="137">
        <v>97</v>
      </c>
      <c r="K223" s="21" t="s">
        <v>1219</v>
      </c>
      <c r="L223" s="130" t="s">
        <v>739</v>
      </c>
      <c r="M223" s="26" t="s">
        <v>750</v>
      </c>
      <c r="N223" s="174">
        <v>43388</v>
      </c>
      <c r="O223" s="130" t="s">
        <v>739</v>
      </c>
      <c r="P223" s="23" t="s">
        <v>17</v>
      </c>
      <c r="Q223" s="23" t="s">
        <v>17</v>
      </c>
      <c r="R223" s="152" t="s">
        <v>27</v>
      </c>
      <c r="S223" s="131" t="s">
        <v>11</v>
      </c>
      <c r="T223" s="131" t="s">
        <v>10</v>
      </c>
      <c r="U223" s="132">
        <v>2.5000000000000001E-2</v>
      </c>
      <c r="V223" s="133"/>
      <c r="W223" s="133"/>
      <c r="X223" s="133">
        <v>27</v>
      </c>
      <c r="Y223" s="133">
        <v>32</v>
      </c>
      <c r="Z223" s="133">
        <v>37</v>
      </c>
      <c r="AA223" s="134">
        <v>2.4E-2</v>
      </c>
      <c r="AB223" s="134">
        <v>4.8000000000000001E-2</v>
      </c>
      <c r="AC223" s="134">
        <v>7.1999999999999995E-2</v>
      </c>
      <c r="AD223" s="134">
        <v>0.12</v>
      </c>
      <c r="AE223" s="134">
        <v>0.18</v>
      </c>
      <c r="AF223" s="134">
        <v>0.24</v>
      </c>
      <c r="AG223" s="134">
        <v>94.204329999999999</v>
      </c>
      <c r="AH223" s="134">
        <v>96.226399999999984</v>
      </c>
      <c r="AI223" s="134">
        <v>97.02145999999999</v>
      </c>
      <c r="AJ223" s="134">
        <v>97.553879999999992</v>
      </c>
      <c r="AK223" s="134">
        <v>97.414230000000003</v>
      </c>
      <c r="AL223" s="134">
        <v>96.959759999999989</v>
      </c>
      <c r="AM223" s="134">
        <v>97.185913100000008</v>
      </c>
      <c r="AN223" s="134">
        <v>93.324760000000012</v>
      </c>
      <c r="AO223" s="134">
        <v>95.734390000000005</v>
      </c>
      <c r="AP223" s="134">
        <v>96.756340000000009</v>
      </c>
      <c r="AQ223" s="134">
        <v>97.463930000000005</v>
      </c>
      <c r="AR223" s="134">
        <v>97.41528000000001</v>
      </c>
      <c r="AS223" s="134">
        <v>97.056359999999998</v>
      </c>
      <c r="AT223" s="134">
        <v>97.080812400000013</v>
      </c>
      <c r="AU223" s="134">
        <v>92.419209999999993</v>
      </c>
      <c r="AV223" s="134">
        <v>95.095890000000026</v>
      </c>
      <c r="AW223" s="134">
        <v>96.538389999999993</v>
      </c>
      <c r="AX223" s="134">
        <v>97.353760000000008</v>
      </c>
      <c r="AY223" s="134">
        <v>97.337369999999993</v>
      </c>
      <c r="AZ223" s="134">
        <v>97.025310000000019</v>
      </c>
      <c r="BA223" s="134">
        <v>96.920530900000003</v>
      </c>
      <c r="BB223" s="174">
        <v>43084</v>
      </c>
      <c r="BC223" s="174">
        <v>43388</v>
      </c>
    </row>
    <row r="224" spans="1:55" s="44" customFormat="1" ht="60">
      <c r="A224" s="140" t="s">
        <v>9</v>
      </c>
      <c r="B224" s="140" t="s">
        <v>891</v>
      </c>
      <c r="C224" s="26" t="s">
        <v>10</v>
      </c>
      <c r="D224" s="26" t="s">
        <v>10</v>
      </c>
      <c r="E224" s="23" t="s">
        <v>10</v>
      </c>
      <c r="F224" s="23" t="s">
        <v>11</v>
      </c>
      <c r="G224" s="140" t="s">
        <v>741</v>
      </c>
      <c r="H224" s="132">
        <v>0.24</v>
      </c>
      <c r="I224" s="129">
        <v>240</v>
      </c>
      <c r="J224" s="137">
        <v>97</v>
      </c>
      <c r="K224" s="21" t="s">
        <v>1219</v>
      </c>
      <c r="L224" s="130" t="s">
        <v>739</v>
      </c>
      <c r="M224" s="26" t="s">
        <v>750</v>
      </c>
      <c r="N224" s="174">
        <v>43388</v>
      </c>
      <c r="O224" s="130" t="s">
        <v>739</v>
      </c>
      <c r="P224" s="23" t="s">
        <v>17</v>
      </c>
      <c r="Q224" s="23" t="s">
        <v>17</v>
      </c>
      <c r="R224" s="152" t="s">
        <v>27</v>
      </c>
      <c r="S224" s="131" t="s">
        <v>11</v>
      </c>
      <c r="T224" s="131" t="s">
        <v>10</v>
      </c>
      <c r="U224" s="132">
        <v>2.5000000000000001E-2</v>
      </c>
      <c r="V224" s="133"/>
      <c r="W224" s="133"/>
      <c r="X224" s="133">
        <v>27</v>
      </c>
      <c r="Y224" s="133">
        <v>32</v>
      </c>
      <c r="Z224" s="133">
        <v>37</v>
      </c>
      <c r="AA224" s="134">
        <v>2.4E-2</v>
      </c>
      <c r="AB224" s="134">
        <v>4.8000000000000001E-2</v>
      </c>
      <c r="AC224" s="134">
        <v>7.1999999999999995E-2</v>
      </c>
      <c r="AD224" s="134">
        <v>0.12</v>
      </c>
      <c r="AE224" s="134">
        <v>0.18</v>
      </c>
      <c r="AF224" s="134">
        <v>0.24</v>
      </c>
      <c r="AG224" s="134">
        <v>93.945300000000003</v>
      </c>
      <c r="AH224" s="134">
        <v>96.08005</v>
      </c>
      <c r="AI224" s="134">
        <v>96.814459999999983</v>
      </c>
      <c r="AJ224" s="134">
        <v>97.474629999999991</v>
      </c>
      <c r="AK224" s="134">
        <v>97.419160000000005</v>
      </c>
      <c r="AL224" s="134">
        <v>97.02876999999998</v>
      </c>
      <c r="AM224" s="134">
        <v>97.132815300000004</v>
      </c>
      <c r="AN224" s="134">
        <v>92.990709999999993</v>
      </c>
      <c r="AO224" s="134">
        <v>95.658750000000012</v>
      </c>
      <c r="AP224" s="134">
        <v>96.504930000000002</v>
      </c>
      <c r="AQ224" s="134">
        <v>97.55228000000001</v>
      </c>
      <c r="AR224" s="134">
        <v>97.614990000000006</v>
      </c>
      <c r="AS224" s="134">
        <v>97.408739999999995</v>
      </c>
      <c r="AT224" s="134">
        <v>97.175517999999997</v>
      </c>
      <c r="AU224" s="134">
        <v>92.006249999999994</v>
      </c>
      <c r="AV224" s="134">
        <v>95.026440000000008</v>
      </c>
      <c r="AW224" s="134">
        <v>96.230880000000013</v>
      </c>
      <c r="AX224" s="134">
        <v>97.381270000000001</v>
      </c>
      <c r="AY224" s="134">
        <v>97.543800000000005</v>
      </c>
      <c r="AZ224" s="134">
        <v>97.410729999999987</v>
      </c>
      <c r="BA224" s="134">
        <v>96.998094800000004</v>
      </c>
      <c r="BB224" s="174">
        <v>43084</v>
      </c>
      <c r="BC224" s="174">
        <v>43388</v>
      </c>
    </row>
    <row r="225" spans="1:55" s="44" customFormat="1" ht="45">
      <c r="A225" s="140" t="s">
        <v>9</v>
      </c>
      <c r="B225" s="140" t="s">
        <v>892</v>
      </c>
      <c r="C225" s="26" t="s">
        <v>10</v>
      </c>
      <c r="D225" s="26" t="s">
        <v>10</v>
      </c>
      <c r="E225" s="23" t="s">
        <v>10</v>
      </c>
      <c r="F225" s="23" t="s">
        <v>11</v>
      </c>
      <c r="G225" s="140" t="s">
        <v>687</v>
      </c>
      <c r="H225" s="132">
        <v>0.24</v>
      </c>
      <c r="I225" s="129">
        <v>208</v>
      </c>
      <c r="J225" s="137">
        <v>97</v>
      </c>
      <c r="K225" s="21" t="s">
        <v>1219</v>
      </c>
      <c r="L225" s="130" t="s">
        <v>739</v>
      </c>
      <c r="M225" s="26" t="s">
        <v>750</v>
      </c>
      <c r="N225" s="174">
        <v>43388</v>
      </c>
      <c r="O225" s="130" t="s">
        <v>739</v>
      </c>
      <c r="P225" s="23" t="s">
        <v>17</v>
      </c>
      <c r="Q225" s="23" t="s">
        <v>17</v>
      </c>
      <c r="R225" s="152"/>
      <c r="S225" s="131" t="s">
        <v>11</v>
      </c>
      <c r="T225" s="131" t="s">
        <v>10</v>
      </c>
      <c r="U225" s="132">
        <v>2.5000000000000001E-2</v>
      </c>
      <c r="V225" s="133"/>
      <c r="W225" s="133"/>
      <c r="X225" s="133">
        <v>27</v>
      </c>
      <c r="Y225" s="133">
        <v>32</v>
      </c>
      <c r="Z225" s="133">
        <v>37</v>
      </c>
      <c r="AA225" s="134">
        <v>2.4E-2</v>
      </c>
      <c r="AB225" s="134">
        <v>4.8000000000000001E-2</v>
      </c>
      <c r="AC225" s="134">
        <v>7.1999999999999995E-2</v>
      </c>
      <c r="AD225" s="134">
        <v>0.12</v>
      </c>
      <c r="AE225" s="134">
        <v>0.18</v>
      </c>
      <c r="AF225" s="134">
        <v>0.24</v>
      </c>
      <c r="AG225" s="134">
        <v>94.204329999999999</v>
      </c>
      <c r="AH225" s="134">
        <v>96.226399999999984</v>
      </c>
      <c r="AI225" s="134">
        <v>97.02145999999999</v>
      </c>
      <c r="AJ225" s="134">
        <v>97.553879999999992</v>
      </c>
      <c r="AK225" s="134">
        <v>97.414230000000003</v>
      </c>
      <c r="AL225" s="134">
        <v>96.959759999999989</v>
      </c>
      <c r="AM225" s="134">
        <v>97.185913100000008</v>
      </c>
      <c r="AN225" s="134">
        <v>93.324760000000012</v>
      </c>
      <c r="AO225" s="134">
        <v>95.734390000000005</v>
      </c>
      <c r="AP225" s="134">
        <v>96.756340000000009</v>
      </c>
      <c r="AQ225" s="134">
        <v>97.463930000000005</v>
      </c>
      <c r="AR225" s="134">
        <v>97.41528000000001</v>
      </c>
      <c r="AS225" s="134">
        <v>97.056359999999998</v>
      </c>
      <c r="AT225" s="134">
        <v>97.080812400000013</v>
      </c>
      <c r="AU225" s="134">
        <v>92.419209999999993</v>
      </c>
      <c r="AV225" s="134">
        <v>95.095890000000026</v>
      </c>
      <c r="AW225" s="134">
        <v>96.538389999999993</v>
      </c>
      <c r="AX225" s="134">
        <v>97.353760000000008</v>
      </c>
      <c r="AY225" s="134">
        <v>97.337369999999993</v>
      </c>
      <c r="AZ225" s="134">
        <v>97.025310000000019</v>
      </c>
      <c r="BA225" s="134">
        <v>96.920530900000003</v>
      </c>
      <c r="BB225" s="174">
        <v>43084</v>
      </c>
      <c r="BC225" s="174">
        <v>43388</v>
      </c>
    </row>
    <row r="226" spans="1:55" s="44" customFormat="1" ht="45">
      <c r="A226" s="140" t="s">
        <v>9</v>
      </c>
      <c r="B226" s="140" t="s">
        <v>893</v>
      </c>
      <c r="C226" s="26" t="s">
        <v>10</v>
      </c>
      <c r="D226" s="26" t="s">
        <v>10</v>
      </c>
      <c r="E226" s="23" t="s">
        <v>10</v>
      </c>
      <c r="F226" s="23" t="s">
        <v>11</v>
      </c>
      <c r="G226" s="140" t="s">
        <v>688</v>
      </c>
      <c r="H226" s="132">
        <v>0.24</v>
      </c>
      <c r="I226" s="129">
        <v>240</v>
      </c>
      <c r="J226" s="137">
        <v>97</v>
      </c>
      <c r="K226" s="21" t="s">
        <v>1219</v>
      </c>
      <c r="L226" s="130" t="s">
        <v>739</v>
      </c>
      <c r="M226" s="26" t="s">
        <v>750</v>
      </c>
      <c r="N226" s="174">
        <v>43388</v>
      </c>
      <c r="O226" s="130" t="s">
        <v>739</v>
      </c>
      <c r="P226" s="23" t="s">
        <v>17</v>
      </c>
      <c r="Q226" s="23" t="s">
        <v>17</v>
      </c>
      <c r="R226" s="152"/>
      <c r="S226" s="131" t="s">
        <v>11</v>
      </c>
      <c r="T226" s="131" t="s">
        <v>10</v>
      </c>
      <c r="U226" s="132">
        <v>2.5000000000000001E-2</v>
      </c>
      <c r="V226" s="133"/>
      <c r="W226" s="133"/>
      <c r="X226" s="133">
        <v>27</v>
      </c>
      <c r="Y226" s="133">
        <v>32</v>
      </c>
      <c r="Z226" s="133">
        <v>37</v>
      </c>
      <c r="AA226" s="134">
        <v>2.4E-2</v>
      </c>
      <c r="AB226" s="134">
        <v>4.8000000000000001E-2</v>
      </c>
      <c r="AC226" s="134">
        <v>7.1999999999999995E-2</v>
      </c>
      <c r="AD226" s="134">
        <v>0.12</v>
      </c>
      <c r="AE226" s="134">
        <v>0.18</v>
      </c>
      <c r="AF226" s="134">
        <v>0.24</v>
      </c>
      <c r="AG226" s="134">
        <v>93.945300000000003</v>
      </c>
      <c r="AH226" s="134">
        <v>96.08005</v>
      </c>
      <c r="AI226" s="134">
        <v>96.814459999999983</v>
      </c>
      <c r="AJ226" s="134">
        <v>97.474629999999991</v>
      </c>
      <c r="AK226" s="134">
        <v>97.419160000000005</v>
      </c>
      <c r="AL226" s="134">
        <v>97.02876999999998</v>
      </c>
      <c r="AM226" s="134">
        <v>97.132815300000004</v>
      </c>
      <c r="AN226" s="134">
        <v>92.990709999999993</v>
      </c>
      <c r="AO226" s="134">
        <v>95.658750000000012</v>
      </c>
      <c r="AP226" s="134">
        <v>96.504930000000002</v>
      </c>
      <c r="AQ226" s="134">
        <v>97.55228000000001</v>
      </c>
      <c r="AR226" s="134">
        <v>97.614990000000006</v>
      </c>
      <c r="AS226" s="134">
        <v>97.408739999999995</v>
      </c>
      <c r="AT226" s="134">
        <v>97.175517999999997</v>
      </c>
      <c r="AU226" s="134">
        <v>92.006249999999994</v>
      </c>
      <c r="AV226" s="134">
        <v>95.026440000000008</v>
      </c>
      <c r="AW226" s="134">
        <v>96.230880000000013</v>
      </c>
      <c r="AX226" s="134">
        <v>97.381270000000001</v>
      </c>
      <c r="AY226" s="134">
        <v>97.543800000000005</v>
      </c>
      <c r="AZ226" s="134">
        <v>97.410729999999987</v>
      </c>
      <c r="BA226" s="134">
        <v>96.998094800000004</v>
      </c>
      <c r="BB226" s="174">
        <v>43084</v>
      </c>
      <c r="BC226" s="174">
        <v>43388</v>
      </c>
    </row>
    <row r="227" spans="1:55" s="44" customFormat="1" ht="45">
      <c r="A227" s="18" t="s">
        <v>9</v>
      </c>
      <c r="B227" s="18" t="s">
        <v>1746</v>
      </c>
      <c r="C227" s="23" t="s">
        <v>10</v>
      </c>
      <c r="D227" s="23" t="s">
        <v>10</v>
      </c>
      <c r="E227" s="23" t="s">
        <v>10</v>
      </c>
      <c r="F227" s="23" t="s">
        <v>11</v>
      </c>
      <c r="G227" s="18" t="s">
        <v>1731</v>
      </c>
      <c r="H227" s="19">
        <v>0.29290899999999997</v>
      </c>
      <c r="I227" s="37">
        <v>208</v>
      </c>
      <c r="J227" s="19">
        <v>96.5</v>
      </c>
      <c r="K227" s="20" t="s">
        <v>1219</v>
      </c>
      <c r="L227" s="49" t="s">
        <v>1391</v>
      </c>
      <c r="M227" s="38" t="s">
        <v>1392</v>
      </c>
      <c r="N227" s="124">
        <v>43678</v>
      </c>
      <c r="O227" s="38" t="s">
        <v>1391</v>
      </c>
      <c r="P227" s="38" t="s">
        <v>17</v>
      </c>
      <c r="Q227" s="38" t="s">
        <v>17</v>
      </c>
      <c r="R227" s="151" t="s">
        <v>27</v>
      </c>
      <c r="S227" s="39" t="s">
        <v>11</v>
      </c>
      <c r="T227" s="39" t="s">
        <v>10</v>
      </c>
      <c r="U227" s="162">
        <v>4.4999999999999998E-2</v>
      </c>
      <c r="V227" s="153"/>
      <c r="W227" s="153"/>
      <c r="X227" s="153">
        <v>38</v>
      </c>
      <c r="Y227" s="153">
        <v>40.5</v>
      </c>
      <c r="Z227" s="153">
        <v>43</v>
      </c>
      <c r="AA227" s="40">
        <v>2.9290899999999998E-2</v>
      </c>
      <c r="AB227" s="40">
        <v>5.8581799999999996E-2</v>
      </c>
      <c r="AC227" s="40">
        <v>8.7872699999999984E-2</v>
      </c>
      <c r="AD227" s="40">
        <v>0.14645449999999999</v>
      </c>
      <c r="AE227" s="40">
        <v>0.21968174999999998</v>
      </c>
      <c r="AF227" s="40">
        <v>0.29290899999999997</v>
      </c>
      <c r="AG227" s="40">
        <v>94.504329999999982</v>
      </c>
      <c r="AH227" s="40">
        <v>95.617829999999998</v>
      </c>
      <c r="AI227" s="40">
        <v>96.379449999999991</v>
      </c>
      <c r="AJ227" s="40">
        <v>96.998640000000009</v>
      </c>
      <c r="AK227" s="40">
        <v>96.843940000000003</v>
      </c>
      <c r="AL227" s="40">
        <v>96.310930000000013</v>
      </c>
      <c r="AM227" s="40">
        <v>96.639147800000003</v>
      </c>
      <c r="AN227" s="40">
        <v>94.512270000000001</v>
      </c>
      <c r="AO227" s="40">
        <v>95.536490000000001</v>
      </c>
      <c r="AP227" s="40">
        <v>96.279600000000002</v>
      </c>
      <c r="AQ227" s="40">
        <v>96.969759999999994</v>
      </c>
      <c r="AR227" s="40">
        <v>96.836519999999993</v>
      </c>
      <c r="AS227" s="40">
        <v>96.304799999999986</v>
      </c>
      <c r="AT227" s="40">
        <v>96.6131125</v>
      </c>
      <c r="AU227" s="40">
        <v>94.501469999999998</v>
      </c>
      <c r="AV227" s="40">
        <v>95.512410000000003</v>
      </c>
      <c r="AW227" s="40">
        <v>96.178629999999998</v>
      </c>
      <c r="AX227" s="40">
        <v>96.921630000000007</v>
      </c>
      <c r="AY227" s="40">
        <v>96.800489999999996</v>
      </c>
      <c r="AZ227" s="40">
        <v>96.293919999999986</v>
      </c>
      <c r="BA227" s="40">
        <v>96.56961290000001</v>
      </c>
      <c r="BB227" s="180">
        <v>43678</v>
      </c>
      <c r="BC227" s="180"/>
    </row>
    <row r="228" spans="1:55" s="44" customFormat="1" ht="45">
      <c r="A228" s="18" t="s">
        <v>9</v>
      </c>
      <c r="B228" s="18" t="s">
        <v>1747</v>
      </c>
      <c r="C228" s="23" t="s">
        <v>10</v>
      </c>
      <c r="D228" s="23" t="s">
        <v>10</v>
      </c>
      <c r="E228" s="23" t="s">
        <v>10</v>
      </c>
      <c r="F228" s="23" t="s">
        <v>11</v>
      </c>
      <c r="G228" s="18" t="s">
        <v>1732</v>
      </c>
      <c r="H228" s="19">
        <v>0.34869799999999995</v>
      </c>
      <c r="I228" s="37">
        <v>240</v>
      </c>
      <c r="J228" s="19">
        <v>97</v>
      </c>
      <c r="K228" s="20" t="s">
        <v>1219</v>
      </c>
      <c r="L228" s="49" t="s">
        <v>1391</v>
      </c>
      <c r="M228" s="38" t="s">
        <v>1392</v>
      </c>
      <c r="N228" s="124">
        <v>43678</v>
      </c>
      <c r="O228" s="38" t="s">
        <v>1391</v>
      </c>
      <c r="P228" s="38" t="s">
        <v>17</v>
      </c>
      <c r="Q228" s="38" t="s">
        <v>17</v>
      </c>
      <c r="R228" s="151" t="s">
        <v>27</v>
      </c>
      <c r="S228" s="39" t="s">
        <v>11</v>
      </c>
      <c r="T228" s="39" t="s">
        <v>10</v>
      </c>
      <c r="U228" s="162">
        <v>2.5000000000000001E-2</v>
      </c>
      <c r="V228" s="153"/>
      <c r="W228" s="153"/>
      <c r="X228" s="153">
        <v>38</v>
      </c>
      <c r="Y228" s="153">
        <v>40.5</v>
      </c>
      <c r="Z228" s="153">
        <v>43</v>
      </c>
      <c r="AA228" s="40">
        <v>3.4869799999999999E-2</v>
      </c>
      <c r="AB228" s="40">
        <v>6.9739599999999999E-2</v>
      </c>
      <c r="AC228" s="40">
        <v>0.10460939999999998</v>
      </c>
      <c r="AD228" s="40">
        <v>0.17434899999999998</v>
      </c>
      <c r="AE228" s="40">
        <v>0.26152349999999996</v>
      </c>
      <c r="AF228" s="40">
        <v>0.34869799999999995</v>
      </c>
      <c r="AG228" s="40">
        <v>95.154590000000013</v>
      </c>
      <c r="AH228" s="40">
        <v>95.805639999999997</v>
      </c>
      <c r="AI228" s="40">
        <v>96.649199999999993</v>
      </c>
      <c r="AJ228" s="40">
        <v>97.148089999999996</v>
      </c>
      <c r="AK228" s="40">
        <v>96.970150000000004</v>
      </c>
      <c r="AL228" s="40">
        <v>96.471029999999999</v>
      </c>
      <c r="AM228" s="40">
        <v>96.813199499999996</v>
      </c>
      <c r="AN228" s="40">
        <v>95.067849999999993</v>
      </c>
      <c r="AO228" s="40">
        <v>95.709399999999988</v>
      </c>
      <c r="AP228" s="40">
        <v>96.570779999999999</v>
      </c>
      <c r="AQ228" s="40">
        <v>97.112740000000002</v>
      </c>
      <c r="AR228" s="40">
        <v>96.976959999999991</v>
      </c>
      <c r="AS228" s="40">
        <v>96.463949999999983</v>
      </c>
      <c r="AT228" s="40">
        <v>96.791339300000004</v>
      </c>
      <c r="AU228" s="40">
        <v>95.001209999999986</v>
      </c>
      <c r="AV228" s="40">
        <v>95.632999999999996</v>
      </c>
      <c r="AW228" s="40">
        <v>96.469070000000016</v>
      </c>
      <c r="AX228" s="40">
        <v>97.071960000000004</v>
      </c>
      <c r="AY228" s="40">
        <v>96.959520000000012</v>
      </c>
      <c r="AZ228" s="40">
        <v>96.460439999999991</v>
      </c>
      <c r="BA228" s="40">
        <v>96.754666</v>
      </c>
      <c r="BB228" s="180">
        <v>43678</v>
      </c>
      <c r="BC228" s="180"/>
    </row>
    <row r="229" spans="1:55" s="44" customFormat="1" ht="45">
      <c r="A229" s="18" t="s">
        <v>9</v>
      </c>
      <c r="B229" s="18" t="s">
        <v>1394</v>
      </c>
      <c r="C229" s="23" t="s">
        <v>10</v>
      </c>
      <c r="D229" s="23" t="s">
        <v>10</v>
      </c>
      <c r="E229" s="23" t="s">
        <v>10</v>
      </c>
      <c r="F229" s="23" t="s">
        <v>11</v>
      </c>
      <c r="G229" s="18" t="s">
        <v>1390</v>
      </c>
      <c r="H229" s="19">
        <v>0.29291</v>
      </c>
      <c r="I229" s="37">
        <v>208</v>
      </c>
      <c r="J229" s="19">
        <v>96.5</v>
      </c>
      <c r="K229" s="21" t="s">
        <v>1219</v>
      </c>
      <c r="L229" s="49" t="s">
        <v>1391</v>
      </c>
      <c r="M229" s="38" t="s">
        <v>1392</v>
      </c>
      <c r="N229" s="174">
        <v>43539</v>
      </c>
      <c r="O229" s="38" t="s">
        <v>1391</v>
      </c>
      <c r="P229" s="38" t="s">
        <v>17</v>
      </c>
      <c r="Q229" s="38" t="s">
        <v>17</v>
      </c>
      <c r="R229" s="151" t="s">
        <v>27</v>
      </c>
      <c r="S229" s="39" t="s">
        <v>11</v>
      </c>
      <c r="T229" s="39" t="s">
        <v>10</v>
      </c>
      <c r="U229" s="171">
        <v>0.29291</v>
      </c>
      <c r="V229" s="153"/>
      <c r="W229" s="153"/>
      <c r="X229" s="153">
        <v>38</v>
      </c>
      <c r="Y229" s="153">
        <v>40.5</v>
      </c>
      <c r="Z229" s="153">
        <v>43</v>
      </c>
      <c r="AA229" s="40">
        <v>2.9290899999999998E-2</v>
      </c>
      <c r="AB229" s="40">
        <v>5.8581799999999996E-2</v>
      </c>
      <c r="AC229" s="40">
        <v>8.7872699999999984E-2</v>
      </c>
      <c r="AD229" s="40">
        <v>0.14645449999999999</v>
      </c>
      <c r="AE229" s="40">
        <v>0.21968174999999998</v>
      </c>
      <c r="AF229" s="40">
        <v>0.29290899999999997</v>
      </c>
      <c r="AG229" s="40">
        <v>94.504329999999982</v>
      </c>
      <c r="AH229" s="40">
        <v>95.617829999999998</v>
      </c>
      <c r="AI229" s="40">
        <v>96.379449999999991</v>
      </c>
      <c r="AJ229" s="40">
        <v>96.998640000000009</v>
      </c>
      <c r="AK229" s="40">
        <v>96.843940000000003</v>
      </c>
      <c r="AL229" s="40">
        <v>96.310930000000013</v>
      </c>
      <c r="AM229" s="40">
        <v>96.639147800000003</v>
      </c>
      <c r="AN229" s="40">
        <v>94.512270000000001</v>
      </c>
      <c r="AO229" s="40">
        <v>95.536490000000001</v>
      </c>
      <c r="AP229" s="40">
        <v>96.279600000000002</v>
      </c>
      <c r="AQ229" s="40">
        <v>96.969759999999994</v>
      </c>
      <c r="AR229" s="40">
        <v>96.836519999999993</v>
      </c>
      <c r="AS229" s="40">
        <v>96.304799999999986</v>
      </c>
      <c r="AT229" s="40">
        <v>96.6131125</v>
      </c>
      <c r="AU229" s="40">
        <v>94.501469999999998</v>
      </c>
      <c r="AV229" s="40">
        <v>95.512410000000003</v>
      </c>
      <c r="AW229" s="40">
        <v>96.178629999999998</v>
      </c>
      <c r="AX229" s="40">
        <v>96.921630000000007</v>
      </c>
      <c r="AY229" s="40">
        <v>96.800489999999996</v>
      </c>
      <c r="AZ229" s="40">
        <v>96.293919999999986</v>
      </c>
      <c r="BA229" s="40">
        <v>96.56961290000001</v>
      </c>
      <c r="BB229" s="178">
        <v>43539</v>
      </c>
      <c r="BC229" s="178"/>
    </row>
    <row r="230" spans="1:55" s="44" customFormat="1" ht="45">
      <c r="A230" s="18" t="s">
        <v>9</v>
      </c>
      <c r="B230" s="18" t="s">
        <v>1395</v>
      </c>
      <c r="C230" s="23" t="s">
        <v>10</v>
      </c>
      <c r="D230" s="23" t="s">
        <v>10</v>
      </c>
      <c r="E230" s="23" t="s">
        <v>10</v>
      </c>
      <c r="F230" s="23" t="s">
        <v>11</v>
      </c>
      <c r="G230" s="18" t="s">
        <v>1393</v>
      </c>
      <c r="H230" s="19">
        <v>0.34899999999999998</v>
      </c>
      <c r="I230" s="37">
        <v>240</v>
      </c>
      <c r="J230" s="19">
        <v>97</v>
      </c>
      <c r="K230" s="21" t="s">
        <v>1219</v>
      </c>
      <c r="L230" s="49" t="s">
        <v>1391</v>
      </c>
      <c r="M230" s="38" t="s">
        <v>1392</v>
      </c>
      <c r="N230" s="174">
        <v>43539</v>
      </c>
      <c r="O230" s="38" t="s">
        <v>1391</v>
      </c>
      <c r="P230" s="38" t="s">
        <v>17</v>
      </c>
      <c r="Q230" s="38" t="s">
        <v>17</v>
      </c>
      <c r="R230" s="151" t="s">
        <v>27</v>
      </c>
      <c r="S230" s="39" t="s">
        <v>11</v>
      </c>
      <c r="T230" s="39" t="s">
        <v>10</v>
      </c>
      <c r="U230" s="171">
        <v>0.34899999999999998</v>
      </c>
      <c r="V230" s="153"/>
      <c r="W230" s="153"/>
      <c r="X230" s="153">
        <v>38</v>
      </c>
      <c r="Y230" s="153">
        <v>40.5</v>
      </c>
      <c r="Z230" s="153">
        <v>43</v>
      </c>
      <c r="AA230" s="40">
        <v>3.4869799999999999E-2</v>
      </c>
      <c r="AB230" s="40">
        <v>6.9739599999999999E-2</v>
      </c>
      <c r="AC230" s="40">
        <v>0.10460939999999998</v>
      </c>
      <c r="AD230" s="40">
        <v>0.17434899999999998</v>
      </c>
      <c r="AE230" s="40">
        <v>0.26152349999999996</v>
      </c>
      <c r="AF230" s="40">
        <v>0.34869799999999995</v>
      </c>
      <c r="AG230" s="40">
        <v>95.154590000000013</v>
      </c>
      <c r="AH230" s="40">
        <v>95.805639999999997</v>
      </c>
      <c r="AI230" s="40">
        <v>96.649199999999993</v>
      </c>
      <c r="AJ230" s="40">
        <v>97.148089999999996</v>
      </c>
      <c r="AK230" s="40">
        <v>96.970150000000004</v>
      </c>
      <c r="AL230" s="40">
        <v>96.471029999999999</v>
      </c>
      <c r="AM230" s="40">
        <v>96.813199499999996</v>
      </c>
      <c r="AN230" s="40">
        <v>95.067849999999993</v>
      </c>
      <c r="AO230" s="40">
        <v>95.709399999999988</v>
      </c>
      <c r="AP230" s="40">
        <v>96.570779999999999</v>
      </c>
      <c r="AQ230" s="40">
        <v>97.112740000000002</v>
      </c>
      <c r="AR230" s="40">
        <v>96.976959999999991</v>
      </c>
      <c r="AS230" s="40">
        <v>96.463949999999983</v>
      </c>
      <c r="AT230" s="40">
        <v>96.791339300000004</v>
      </c>
      <c r="AU230" s="40">
        <v>95.001209999999986</v>
      </c>
      <c r="AV230" s="40">
        <v>95.632999999999996</v>
      </c>
      <c r="AW230" s="40">
        <v>96.469070000000016</v>
      </c>
      <c r="AX230" s="40">
        <v>97.071960000000004</v>
      </c>
      <c r="AY230" s="40">
        <v>96.959520000000012</v>
      </c>
      <c r="AZ230" s="40">
        <v>96.460439999999991</v>
      </c>
      <c r="BA230" s="40">
        <v>96.754666</v>
      </c>
      <c r="BB230" s="178">
        <v>43539</v>
      </c>
      <c r="BC230" s="178"/>
    </row>
    <row r="231" spans="1:55" s="44" customFormat="1" ht="60">
      <c r="A231" s="140" t="s">
        <v>9</v>
      </c>
      <c r="B231" s="140" t="s">
        <v>901</v>
      </c>
      <c r="C231" s="26" t="s">
        <v>10</v>
      </c>
      <c r="D231" s="26" t="s">
        <v>10</v>
      </c>
      <c r="E231" s="23" t="s">
        <v>10</v>
      </c>
      <c r="F231" s="23" t="s">
        <v>11</v>
      </c>
      <c r="G231" s="140" t="s">
        <v>742</v>
      </c>
      <c r="H231" s="132">
        <v>0.28999999999999998</v>
      </c>
      <c r="I231" s="129">
        <v>208</v>
      </c>
      <c r="J231" s="137">
        <v>96.5</v>
      </c>
      <c r="K231" s="21" t="s">
        <v>1219</v>
      </c>
      <c r="L231" s="130" t="s">
        <v>739</v>
      </c>
      <c r="M231" s="26" t="s">
        <v>750</v>
      </c>
      <c r="N231" s="174">
        <v>43388</v>
      </c>
      <c r="O231" s="130" t="s">
        <v>739</v>
      </c>
      <c r="P231" s="23" t="s">
        <v>17</v>
      </c>
      <c r="Q231" s="23" t="s">
        <v>17</v>
      </c>
      <c r="R231" s="152" t="s">
        <v>27</v>
      </c>
      <c r="S231" s="131" t="s">
        <v>11</v>
      </c>
      <c r="T231" s="131" t="s">
        <v>10</v>
      </c>
      <c r="U231" s="132">
        <v>2.5000000000000001E-2</v>
      </c>
      <c r="V231" s="133"/>
      <c r="W231" s="133"/>
      <c r="X231" s="135">
        <v>27</v>
      </c>
      <c r="Y231" s="135">
        <v>36</v>
      </c>
      <c r="Z231" s="135">
        <v>45</v>
      </c>
      <c r="AA231" s="126">
        <v>2.8999999999999998E-2</v>
      </c>
      <c r="AB231" s="126">
        <v>5.7999999999999996E-2</v>
      </c>
      <c r="AC231" s="126">
        <v>8.6999999999999994E-2</v>
      </c>
      <c r="AD231" s="126">
        <v>0.14499999999999999</v>
      </c>
      <c r="AE231" s="126">
        <v>0.21749999999999997</v>
      </c>
      <c r="AF231" s="126">
        <v>0.28999999999999998</v>
      </c>
      <c r="AG231" s="126">
        <v>94.911249999999995</v>
      </c>
      <c r="AH231" s="126">
        <v>96.246709999999979</v>
      </c>
      <c r="AI231" s="126">
        <v>97.108059999999995</v>
      </c>
      <c r="AJ231" s="126">
        <v>97.251649999999998</v>
      </c>
      <c r="AK231" s="126">
        <v>96.925660000000022</v>
      </c>
      <c r="AL231" s="126">
        <v>96.294169999999994</v>
      </c>
      <c r="AM231" s="126">
        <v>96.869907500000011</v>
      </c>
      <c r="AN231" s="126">
        <v>93.956320000000005</v>
      </c>
      <c r="AO231" s="126">
        <v>95.314499999999995</v>
      </c>
      <c r="AP231" s="126">
        <v>96.728169999999977</v>
      </c>
      <c r="AQ231" s="126">
        <v>97.158670000000001</v>
      </c>
      <c r="AR231" s="126">
        <v>96.957820000000012</v>
      </c>
      <c r="AS231" s="126">
        <v>96.445009999999996</v>
      </c>
      <c r="AT231" s="126">
        <v>96.744574</v>
      </c>
      <c r="AU231" s="126">
        <v>93.147899999999993</v>
      </c>
      <c r="AV231" s="126">
        <v>94.589959999999991</v>
      </c>
      <c r="AW231" s="126">
        <v>96.389939999999996</v>
      </c>
      <c r="AX231" s="126">
        <v>96.979819999999989</v>
      </c>
      <c r="AY231" s="126">
        <v>96.859210000000004</v>
      </c>
      <c r="AZ231" s="126">
        <v>96.373390000000001</v>
      </c>
      <c r="BA231" s="126">
        <v>96.542019799999991</v>
      </c>
      <c r="BB231" s="174">
        <v>43084</v>
      </c>
      <c r="BC231" s="174">
        <v>43388</v>
      </c>
    </row>
    <row r="232" spans="1:55" s="44" customFormat="1" ht="60">
      <c r="A232" s="140" t="s">
        <v>9</v>
      </c>
      <c r="B232" s="140" t="s">
        <v>902</v>
      </c>
      <c r="C232" s="26" t="s">
        <v>10</v>
      </c>
      <c r="D232" s="26" t="s">
        <v>10</v>
      </c>
      <c r="E232" s="23" t="s">
        <v>10</v>
      </c>
      <c r="F232" s="23" t="s">
        <v>11</v>
      </c>
      <c r="G232" s="140" t="s">
        <v>743</v>
      </c>
      <c r="H232" s="132">
        <v>0.28999999999999998</v>
      </c>
      <c r="I232" s="129">
        <v>240</v>
      </c>
      <c r="J232" s="137">
        <v>97</v>
      </c>
      <c r="K232" s="21" t="s">
        <v>1219</v>
      </c>
      <c r="L232" s="130" t="s">
        <v>739</v>
      </c>
      <c r="M232" s="26" t="s">
        <v>750</v>
      </c>
      <c r="N232" s="174">
        <v>43388</v>
      </c>
      <c r="O232" s="130" t="s">
        <v>739</v>
      </c>
      <c r="P232" s="23" t="s">
        <v>17</v>
      </c>
      <c r="Q232" s="23" t="s">
        <v>17</v>
      </c>
      <c r="R232" s="152" t="s">
        <v>27</v>
      </c>
      <c r="S232" s="131" t="s">
        <v>11</v>
      </c>
      <c r="T232" s="131" t="s">
        <v>10</v>
      </c>
      <c r="U232" s="132">
        <v>2.5000000000000001E-2</v>
      </c>
      <c r="V232" s="133"/>
      <c r="W232" s="133"/>
      <c r="X232" s="133">
        <v>27</v>
      </c>
      <c r="Y232" s="133">
        <v>36</v>
      </c>
      <c r="Z232" s="133">
        <v>45</v>
      </c>
      <c r="AA232" s="134">
        <v>2.8999999999999998E-2</v>
      </c>
      <c r="AB232" s="134">
        <v>5.7999999999999996E-2</v>
      </c>
      <c r="AC232" s="134">
        <v>8.6999999999999994E-2</v>
      </c>
      <c r="AD232" s="134">
        <v>0.14499999999999999</v>
      </c>
      <c r="AE232" s="134">
        <v>0.21749999999999997</v>
      </c>
      <c r="AF232" s="134">
        <v>0.28999999999999998</v>
      </c>
      <c r="AG232" s="134">
        <v>95.003640000000004</v>
      </c>
      <c r="AH232" s="134">
        <v>96.245670000000004</v>
      </c>
      <c r="AI232" s="134">
        <v>97.147700000000015</v>
      </c>
      <c r="AJ232" s="134">
        <v>97.42907000000001</v>
      </c>
      <c r="AK232" s="134">
        <v>97.164060000000006</v>
      </c>
      <c r="AL232" s="134">
        <v>96.603870000000001</v>
      </c>
      <c r="AM232" s="134">
        <v>97.057403100000016</v>
      </c>
      <c r="AN232" s="134">
        <v>94.161959999999993</v>
      </c>
      <c r="AO232" s="134">
        <v>95.57517</v>
      </c>
      <c r="AP232" s="134">
        <v>96.780239999999992</v>
      </c>
      <c r="AQ232" s="134">
        <v>97.495289999999983</v>
      </c>
      <c r="AR232" s="134">
        <v>97.442819999999998</v>
      </c>
      <c r="AS232" s="134">
        <v>97.156899999999993</v>
      </c>
      <c r="AT232" s="134">
        <v>97.135416199999995</v>
      </c>
      <c r="AU232" s="134">
        <v>93.321410000000014</v>
      </c>
      <c r="AV232" s="134">
        <v>94.805890000000005</v>
      </c>
      <c r="AW232" s="134">
        <v>96.394019999999983</v>
      </c>
      <c r="AX232" s="134">
        <v>97.27315999999999</v>
      </c>
      <c r="AY232" s="134">
        <v>97.309510000000003</v>
      </c>
      <c r="AZ232" s="134">
        <v>97.07574000000001</v>
      </c>
      <c r="BA232" s="134">
        <v>96.8956242</v>
      </c>
      <c r="BB232" s="174">
        <v>43084</v>
      </c>
      <c r="BC232" s="174">
        <v>43388</v>
      </c>
    </row>
    <row r="233" spans="1:55" s="44" customFormat="1" ht="45">
      <c r="A233" s="140" t="s">
        <v>9</v>
      </c>
      <c r="B233" s="140" t="s">
        <v>903</v>
      </c>
      <c r="C233" s="26" t="s">
        <v>10</v>
      </c>
      <c r="D233" s="26" t="s">
        <v>10</v>
      </c>
      <c r="E233" s="23" t="s">
        <v>10</v>
      </c>
      <c r="F233" s="23" t="s">
        <v>11</v>
      </c>
      <c r="G233" s="140" t="s">
        <v>689</v>
      </c>
      <c r="H233" s="132">
        <v>0.28999999999999998</v>
      </c>
      <c r="I233" s="129">
        <v>208</v>
      </c>
      <c r="J233" s="137">
        <v>96.5</v>
      </c>
      <c r="K233" s="21" t="s">
        <v>1219</v>
      </c>
      <c r="L233" s="130" t="s">
        <v>739</v>
      </c>
      <c r="M233" s="26" t="s">
        <v>750</v>
      </c>
      <c r="N233" s="174">
        <v>43388</v>
      </c>
      <c r="O233" s="130" t="s">
        <v>739</v>
      </c>
      <c r="P233" s="23" t="s">
        <v>17</v>
      </c>
      <c r="Q233" s="23" t="s">
        <v>17</v>
      </c>
      <c r="R233" s="152"/>
      <c r="S233" s="131" t="s">
        <v>11</v>
      </c>
      <c r="T233" s="131" t="s">
        <v>10</v>
      </c>
      <c r="U233" s="132">
        <v>2.5000000000000001E-2</v>
      </c>
      <c r="V233" s="133"/>
      <c r="W233" s="133"/>
      <c r="X233" s="133">
        <v>27</v>
      </c>
      <c r="Y233" s="133">
        <v>36</v>
      </c>
      <c r="Z233" s="133">
        <v>45</v>
      </c>
      <c r="AA233" s="134">
        <v>2.8999999999999998E-2</v>
      </c>
      <c r="AB233" s="134">
        <v>5.7999999999999996E-2</v>
      </c>
      <c r="AC233" s="134">
        <v>8.6999999999999994E-2</v>
      </c>
      <c r="AD233" s="134">
        <v>0.14499999999999999</v>
      </c>
      <c r="AE233" s="134">
        <v>0.21749999999999997</v>
      </c>
      <c r="AF233" s="134">
        <v>0.28999999999999998</v>
      </c>
      <c r="AG233" s="134">
        <v>94.911249999999995</v>
      </c>
      <c r="AH233" s="134">
        <v>96.246709999999979</v>
      </c>
      <c r="AI233" s="134">
        <v>97.108059999999995</v>
      </c>
      <c r="AJ233" s="134">
        <v>97.251649999999998</v>
      </c>
      <c r="AK233" s="134">
        <v>96.925660000000022</v>
      </c>
      <c r="AL233" s="134">
        <v>96.294169999999994</v>
      </c>
      <c r="AM233" s="134">
        <v>96.869907500000011</v>
      </c>
      <c r="AN233" s="134">
        <v>93.956320000000005</v>
      </c>
      <c r="AO233" s="134">
        <v>95.314499999999995</v>
      </c>
      <c r="AP233" s="134">
        <v>96.728169999999977</v>
      </c>
      <c r="AQ233" s="134">
        <v>97.158670000000001</v>
      </c>
      <c r="AR233" s="134">
        <v>96.957820000000012</v>
      </c>
      <c r="AS233" s="134">
        <v>96.445009999999996</v>
      </c>
      <c r="AT233" s="134">
        <v>96.744574</v>
      </c>
      <c r="AU233" s="134">
        <v>93.147899999999993</v>
      </c>
      <c r="AV233" s="134">
        <v>94.589959999999991</v>
      </c>
      <c r="AW233" s="134">
        <v>96.389939999999996</v>
      </c>
      <c r="AX233" s="134">
        <v>96.979819999999989</v>
      </c>
      <c r="AY233" s="134">
        <v>96.859210000000004</v>
      </c>
      <c r="AZ233" s="134">
        <v>96.373390000000001</v>
      </c>
      <c r="BA233" s="134">
        <v>96.542019799999991</v>
      </c>
      <c r="BB233" s="174">
        <v>43084</v>
      </c>
      <c r="BC233" s="174">
        <v>43388</v>
      </c>
    </row>
    <row r="234" spans="1:55" s="44" customFormat="1" ht="45">
      <c r="A234" s="140" t="s">
        <v>9</v>
      </c>
      <c r="B234" s="140" t="s">
        <v>904</v>
      </c>
      <c r="C234" s="26" t="s">
        <v>10</v>
      </c>
      <c r="D234" s="26" t="s">
        <v>10</v>
      </c>
      <c r="E234" s="23" t="s">
        <v>10</v>
      </c>
      <c r="F234" s="23" t="s">
        <v>11</v>
      </c>
      <c r="G234" s="140" t="s">
        <v>690</v>
      </c>
      <c r="H234" s="132">
        <v>0.28999999999999998</v>
      </c>
      <c r="I234" s="129">
        <v>240</v>
      </c>
      <c r="J234" s="137">
        <v>97</v>
      </c>
      <c r="K234" s="21" t="s">
        <v>1219</v>
      </c>
      <c r="L234" s="130" t="s">
        <v>739</v>
      </c>
      <c r="M234" s="26" t="s">
        <v>750</v>
      </c>
      <c r="N234" s="174">
        <v>43388</v>
      </c>
      <c r="O234" s="130" t="s">
        <v>739</v>
      </c>
      <c r="P234" s="23" t="s">
        <v>17</v>
      </c>
      <c r="Q234" s="23" t="s">
        <v>17</v>
      </c>
      <c r="R234" s="152"/>
      <c r="S234" s="131" t="s">
        <v>11</v>
      </c>
      <c r="T234" s="131" t="s">
        <v>10</v>
      </c>
      <c r="U234" s="132">
        <v>2.5000000000000001E-2</v>
      </c>
      <c r="V234" s="133"/>
      <c r="W234" s="133"/>
      <c r="X234" s="133">
        <v>27</v>
      </c>
      <c r="Y234" s="133">
        <v>36</v>
      </c>
      <c r="Z234" s="133">
        <v>45</v>
      </c>
      <c r="AA234" s="134">
        <v>2.8999999999999998E-2</v>
      </c>
      <c r="AB234" s="134">
        <v>5.7999999999999996E-2</v>
      </c>
      <c r="AC234" s="134">
        <v>8.6999999999999994E-2</v>
      </c>
      <c r="AD234" s="134">
        <v>0.14499999999999999</v>
      </c>
      <c r="AE234" s="134">
        <v>0.21749999999999997</v>
      </c>
      <c r="AF234" s="134">
        <v>0.28999999999999998</v>
      </c>
      <c r="AG234" s="134">
        <v>95.003640000000004</v>
      </c>
      <c r="AH234" s="134">
        <v>96.245670000000004</v>
      </c>
      <c r="AI234" s="134">
        <v>97.147700000000015</v>
      </c>
      <c r="AJ234" s="134">
        <v>97.42907000000001</v>
      </c>
      <c r="AK234" s="134">
        <v>97.164060000000006</v>
      </c>
      <c r="AL234" s="134">
        <v>96.603870000000001</v>
      </c>
      <c r="AM234" s="134">
        <v>97.057403100000016</v>
      </c>
      <c r="AN234" s="134">
        <v>94.161959999999993</v>
      </c>
      <c r="AO234" s="134">
        <v>95.57517</v>
      </c>
      <c r="AP234" s="134">
        <v>96.780239999999992</v>
      </c>
      <c r="AQ234" s="134">
        <v>97.495289999999983</v>
      </c>
      <c r="AR234" s="134">
        <v>97.442819999999998</v>
      </c>
      <c r="AS234" s="134">
        <v>97.156899999999993</v>
      </c>
      <c r="AT234" s="134">
        <v>97.135416199999995</v>
      </c>
      <c r="AU234" s="134">
        <v>93.321410000000014</v>
      </c>
      <c r="AV234" s="134">
        <v>94.805890000000005</v>
      </c>
      <c r="AW234" s="134">
        <v>96.394019999999983</v>
      </c>
      <c r="AX234" s="134">
        <v>97.27315999999999</v>
      </c>
      <c r="AY234" s="134">
        <v>97.309510000000003</v>
      </c>
      <c r="AZ234" s="134">
        <v>97.07574000000001</v>
      </c>
      <c r="BA234" s="134">
        <v>96.8956242</v>
      </c>
      <c r="BB234" s="174">
        <v>43084</v>
      </c>
      <c r="BC234" s="174">
        <v>43388</v>
      </c>
    </row>
    <row r="235" spans="1:55" s="44" customFormat="1" ht="60">
      <c r="A235" s="18" t="s">
        <v>9</v>
      </c>
      <c r="B235" s="18" t="s">
        <v>905</v>
      </c>
      <c r="C235" s="23" t="s">
        <v>10</v>
      </c>
      <c r="D235" s="23" t="s">
        <v>10</v>
      </c>
      <c r="E235" s="23" t="s">
        <v>10</v>
      </c>
      <c r="F235" s="23" t="s">
        <v>11</v>
      </c>
      <c r="G235" s="18" t="s">
        <v>744</v>
      </c>
      <c r="H235" s="19">
        <v>0.315</v>
      </c>
      <c r="I235" s="37">
        <v>208</v>
      </c>
      <c r="J235" s="19">
        <v>97</v>
      </c>
      <c r="K235" s="21" t="s">
        <v>1219</v>
      </c>
      <c r="L235" s="49" t="s">
        <v>739</v>
      </c>
      <c r="M235" s="26" t="s">
        <v>750</v>
      </c>
      <c r="N235" s="174">
        <v>43388</v>
      </c>
      <c r="O235" s="130" t="s">
        <v>739</v>
      </c>
      <c r="P235" s="23" t="s">
        <v>17</v>
      </c>
      <c r="Q235" s="23" t="s">
        <v>17</v>
      </c>
      <c r="R235" s="151" t="s">
        <v>27</v>
      </c>
      <c r="S235" s="39" t="s">
        <v>11</v>
      </c>
      <c r="T235" s="39" t="s">
        <v>10</v>
      </c>
      <c r="U235" s="153">
        <v>2.1000000000000001E-2</v>
      </c>
      <c r="V235" s="153"/>
      <c r="W235" s="153"/>
      <c r="X235" s="153">
        <v>53</v>
      </c>
      <c r="Y235" s="153">
        <v>60</v>
      </c>
      <c r="Z235" s="153">
        <v>64</v>
      </c>
      <c r="AA235" s="40">
        <v>3.15E-2</v>
      </c>
      <c r="AB235" s="40">
        <v>6.3E-2</v>
      </c>
      <c r="AC235" s="40">
        <v>9.4500000000000001E-2</v>
      </c>
      <c r="AD235" s="40">
        <v>0.1575</v>
      </c>
      <c r="AE235" s="40">
        <v>0.23625000000000002</v>
      </c>
      <c r="AF235" s="40">
        <v>0.315</v>
      </c>
      <c r="AG235" s="40">
        <v>90.483609999999999</v>
      </c>
      <c r="AH235" s="40">
        <v>96.662759999999992</v>
      </c>
      <c r="AI235" s="40">
        <v>97.099880000000013</v>
      </c>
      <c r="AJ235" s="40">
        <v>97.635729999999995</v>
      </c>
      <c r="AK235" s="40">
        <v>97.524219999999985</v>
      </c>
      <c r="AL235" s="40">
        <v>97.103530000000006</v>
      </c>
      <c r="AM235" s="40">
        <v>97.150984399999999</v>
      </c>
      <c r="AN235" s="40">
        <v>95.414170000000013</v>
      </c>
      <c r="AO235" s="40">
        <v>96.465389999999999</v>
      </c>
      <c r="AP235" s="40">
        <v>96.900779999999997</v>
      </c>
      <c r="AQ235" s="40">
        <v>97.542020000000008</v>
      </c>
      <c r="AR235" s="40">
        <v>97.461279999999988</v>
      </c>
      <c r="AS235" s="40">
        <v>97.049990000000008</v>
      </c>
      <c r="AT235" s="40">
        <v>97.258731999999981</v>
      </c>
      <c r="AU235" s="40">
        <v>95.270490000000009</v>
      </c>
      <c r="AV235" s="40">
        <v>96.333490000000012</v>
      </c>
      <c r="AW235" s="40">
        <v>96.813520000000011</v>
      </c>
      <c r="AX235" s="40">
        <v>97.502470000000002</v>
      </c>
      <c r="AY235" s="40">
        <v>97.42989</v>
      </c>
      <c r="AZ235" s="40">
        <v>97.019700000000014</v>
      </c>
      <c r="BA235" s="40">
        <v>97.209461900000008</v>
      </c>
      <c r="BB235" s="174">
        <v>43252</v>
      </c>
      <c r="BC235" s="174">
        <v>43388</v>
      </c>
    </row>
    <row r="236" spans="1:55" s="44" customFormat="1" ht="60">
      <c r="A236" s="18" t="s">
        <v>9</v>
      </c>
      <c r="B236" s="18" t="s">
        <v>906</v>
      </c>
      <c r="C236" s="23" t="s">
        <v>10</v>
      </c>
      <c r="D236" s="23" t="s">
        <v>10</v>
      </c>
      <c r="E236" s="23" t="s">
        <v>10</v>
      </c>
      <c r="F236" s="23" t="s">
        <v>11</v>
      </c>
      <c r="G236" s="18" t="s">
        <v>745</v>
      </c>
      <c r="H236" s="19">
        <v>0.315</v>
      </c>
      <c r="I236" s="37">
        <v>240</v>
      </c>
      <c r="J236" s="19">
        <v>97.5</v>
      </c>
      <c r="K236" s="21" t="s">
        <v>1219</v>
      </c>
      <c r="L236" s="49" t="s">
        <v>739</v>
      </c>
      <c r="M236" s="26" t="s">
        <v>750</v>
      </c>
      <c r="N236" s="174">
        <v>43388</v>
      </c>
      <c r="O236" s="130" t="s">
        <v>739</v>
      </c>
      <c r="P236" s="23" t="s">
        <v>17</v>
      </c>
      <c r="Q236" s="23" t="s">
        <v>17</v>
      </c>
      <c r="R236" s="151" t="s">
        <v>27</v>
      </c>
      <c r="S236" s="39" t="s">
        <v>11</v>
      </c>
      <c r="T236" s="39" t="s">
        <v>10</v>
      </c>
      <c r="U236" s="153">
        <v>2.1000000000000001E-2</v>
      </c>
      <c r="V236" s="153"/>
      <c r="W236" s="153"/>
      <c r="X236" s="153">
        <v>53</v>
      </c>
      <c r="Y236" s="153">
        <v>60</v>
      </c>
      <c r="Z236" s="153">
        <v>64</v>
      </c>
      <c r="AA236" s="40">
        <v>3.15E-2</v>
      </c>
      <c r="AB236" s="40">
        <v>6.3E-2</v>
      </c>
      <c r="AC236" s="40">
        <v>9.4500000000000001E-2</v>
      </c>
      <c r="AD236" s="40">
        <v>0.1575</v>
      </c>
      <c r="AE236" s="40">
        <v>0.23625000000000002</v>
      </c>
      <c r="AF236" s="40">
        <v>0.315</v>
      </c>
      <c r="AG236" s="40">
        <v>95.734780000000015</v>
      </c>
      <c r="AH236" s="40">
        <v>96.840240000000009</v>
      </c>
      <c r="AI236" s="40">
        <v>96.996160000000003</v>
      </c>
      <c r="AJ236" s="40">
        <v>97.762709999999998</v>
      </c>
      <c r="AK236" s="40">
        <v>97.755849999999981</v>
      </c>
      <c r="AL236" s="40">
        <v>97.46862999999999</v>
      </c>
      <c r="AM236" s="40">
        <v>97.525143499999984</v>
      </c>
      <c r="AN236" s="40">
        <v>95.610320000000002</v>
      </c>
      <c r="AO236" s="40">
        <v>96.678239999999988</v>
      </c>
      <c r="AP236" s="40">
        <v>96.754879999999986</v>
      </c>
      <c r="AQ236" s="40">
        <v>97.666660000000007</v>
      </c>
      <c r="AR236" s="40">
        <v>97.739180000000005</v>
      </c>
      <c r="AS236" s="40">
        <v>97.513729999999981</v>
      </c>
      <c r="AT236" s="40">
        <v>97.456360900000007</v>
      </c>
      <c r="AU236" s="40">
        <v>95.436540000000008</v>
      </c>
      <c r="AV236" s="40">
        <v>96.497949999999989</v>
      </c>
      <c r="AW236" s="40">
        <v>96.657110000000017</v>
      </c>
      <c r="AX236" s="40">
        <v>97.603840000000019</v>
      </c>
      <c r="AY236" s="40">
        <v>97.700140000000005</v>
      </c>
      <c r="AZ236" s="40">
        <v>97.48254</v>
      </c>
      <c r="BA236" s="40">
        <v>97.393219900000005</v>
      </c>
      <c r="BB236" s="174">
        <v>43252</v>
      </c>
      <c r="BC236" s="174">
        <v>43388</v>
      </c>
    </row>
    <row r="237" spans="1:55" s="44" customFormat="1" ht="45">
      <c r="A237" s="18" t="s">
        <v>9</v>
      </c>
      <c r="B237" s="18" t="s">
        <v>907</v>
      </c>
      <c r="C237" s="23" t="s">
        <v>10</v>
      </c>
      <c r="D237" s="23" t="s">
        <v>10</v>
      </c>
      <c r="E237" s="23" t="s">
        <v>10</v>
      </c>
      <c r="F237" s="23" t="s">
        <v>11</v>
      </c>
      <c r="G237" s="18" t="s">
        <v>691</v>
      </c>
      <c r="H237" s="19">
        <v>0.315</v>
      </c>
      <c r="I237" s="37">
        <v>208</v>
      </c>
      <c r="J237" s="19">
        <v>97</v>
      </c>
      <c r="K237" s="21" t="s">
        <v>1219</v>
      </c>
      <c r="L237" s="49" t="s">
        <v>739</v>
      </c>
      <c r="M237" s="26" t="s">
        <v>750</v>
      </c>
      <c r="N237" s="174">
        <v>43388</v>
      </c>
      <c r="O237" s="130" t="s">
        <v>739</v>
      </c>
      <c r="P237" s="23" t="s">
        <v>17</v>
      </c>
      <c r="Q237" s="23" t="s">
        <v>17</v>
      </c>
      <c r="R237" s="151"/>
      <c r="S237" s="39" t="s">
        <v>11</v>
      </c>
      <c r="T237" s="39" t="s">
        <v>10</v>
      </c>
      <c r="U237" s="153">
        <v>2.1000000000000001E-2</v>
      </c>
      <c r="V237" s="153"/>
      <c r="W237" s="153"/>
      <c r="X237" s="153">
        <v>53</v>
      </c>
      <c r="Y237" s="153">
        <v>60</v>
      </c>
      <c r="Z237" s="153">
        <v>64</v>
      </c>
      <c r="AA237" s="40">
        <v>3.15E-2</v>
      </c>
      <c r="AB237" s="40">
        <v>6.3E-2</v>
      </c>
      <c r="AC237" s="40">
        <v>9.4500000000000001E-2</v>
      </c>
      <c r="AD237" s="40">
        <v>0.1575</v>
      </c>
      <c r="AE237" s="40">
        <v>0.23625000000000002</v>
      </c>
      <c r="AF237" s="40">
        <v>0.315</v>
      </c>
      <c r="AG237" s="40">
        <v>90.483609999999999</v>
      </c>
      <c r="AH237" s="40">
        <v>96.662759999999992</v>
      </c>
      <c r="AI237" s="40">
        <v>97.099880000000013</v>
      </c>
      <c r="AJ237" s="40">
        <v>97.635729999999995</v>
      </c>
      <c r="AK237" s="40">
        <v>97.524219999999985</v>
      </c>
      <c r="AL237" s="40">
        <v>97.103530000000006</v>
      </c>
      <c r="AM237" s="40">
        <v>97.150984399999999</v>
      </c>
      <c r="AN237" s="40">
        <v>95.414170000000013</v>
      </c>
      <c r="AO237" s="40">
        <v>96.465389999999999</v>
      </c>
      <c r="AP237" s="40">
        <v>96.900779999999997</v>
      </c>
      <c r="AQ237" s="40">
        <v>97.542020000000008</v>
      </c>
      <c r="AR237" s="40">
        <v>97.461279999999988</v>
      </c>
      <c r="AS237" s="40">
        <v>97.049990000000008</v>
      </c>
      <c r="AT237" s="40">
        <v>97.258731999999981</v>
      </c>
      <c r="AU237" s="40">
        <v>95.270490000000009</v>
      </c>
      <c r="AV237" s="40">
        <v>96.333490000000012</v>
      </c>
      <c r="AW237" s="40">
        <v>96.813520000000011</v>
      </c>
      <c r="AX237" s="40">
        <v>97.502470000000002</v>
      </c>
      <c r="AY237" s="40">
        <v>97.42989</v>
      </c>
      <c r="AZ237" s="40">
        <v>97.019700000000014</v>
      </c>
      <c r="BA237" s="40">
        <v>97.209461900000008</v>
      </c>
      <c r="BB237" s="174">
        <v>43252</v>
      </c>
      <c r="BC237" s="174">
        <v>43388</v>
      </c>
    </row>
    <row r="238" spans="1:55" s="44" customFormat="1" ht="45">
      <c r="A238" s="18" t="s">
        <v>9</v>
      </c>
      <c r="B238" s="18" t="s">
        <v>908</v>
      </c>
      <c r="C238" s="23" t="s">
        <v>10</v>
      </c>
      <c r="D238" s="23" t="s">
        <v>10</v>
      </c>
      <c r="E238" s="23" t="s">
        <v>10</v>
      </c>
      <c r="F238" s="23" t="s">
        <v>11</v>
      </c>
      <c r="G238" s="18" t="s">
        <v>692</v>
      </c>
      <c r="H238" s="19">
        <v>0.315</v>
      </c>
      <c r="I238" s="37">
        <v>240</v>
      </c>
      <c r="J238" s="19">
        <v>97.5</v>
      </c>
      <c r="K238" s="21" t="s">
        <v>1219</v>
      </c>
      <c r="L238" s="49" t="s">
        <v>739</v>
      </c>
      <c r="M238" s="26" t="s">
        <v>750</v>
      </c>
      <c r="N238" s="174">
        <v>43388</v>
      </c>
      <c r="O238" s="130" t="s">
        <v>739</v>
      </c>
      <c r="P238" s="23" t="s">
        <v>17</v>
      </c>
      <c r="Q238" s="23" t="s">
        <v>17</v>
      </c>
      <c r="R238" s="151"/>
      <c r="S238" s="39" t="s">
        <v>11</v>
      </c>
      <c r="T238" s="39" t="s">
        <v>10</v>
      </c>
      <c r="U238" s="153">
        <v>2.1000000000000001E-2</v>
      </c>
      <c r="V238" s="153"/>
      <c r="W238" s="153"/>
      <c r="X238" s="153">
        <v>53</v>
      </c>
      <c r="Y238" s="153">
        <v>60</v>
      </c>
      <c r="Z238" s="153">
        <v>64</v>
      </c>
      <c r="AA238" s="40">
        <v>3.15E-2</v>
      </c>
      <c r="AB238" s="40">
        <v>6.3E-2</v>
      </c>
      <c r="AC238" s="40">
        <v>9.4500000000000001E-2</v>
      </c>
      <c r="AD238" s="40">
        <v>0.1575</v>
      </c>
      <c r="AE238" s="40">
        <v>0.23625000000000002</v>
      </c>
      <c r="AF238" s="40">
        <v>0.315</v>
      </c>
      <c r="AG238" s="40">
        <v>95.734780000000015</v>
      </c>
      <c r="AH238" s="40">
        <v>96.840240000000009</v>
      </c>
      <c r="AI238" s="40">
        <v>96.996160000000003</v>
      </c>
      <c r="AJ238" s="40">
        <v>97.762709999999998</v>
      </c>
      <c r="AK238" s="40">
        <v>97.755849999999981</v>
      </c>
      <c r="AL238" s="40">
        <v>97.46862999999999</v>
      </c>
      <c r="AM238" s="40">
        <v>97.525143499999984</v>
      </c>
      <c r="AN238" s="40">
        <v>95.610320000000002</v>
      </c>
      <c r="AO238" s="40">
        <v>96.678239999999988</v>
      </c>
      <c r="AP238" s="40">
        <v>96.754879999999986</v>
      </c>
      <c r="AQ238" s="40">
        <v>97.666660000000007</v>
      </c>
      <c r="AR238" s="40">
        <v>97.739180000000005</v>
      </c>
      <c r="AS238" s="40">
        <v>97.513729999999981</v>
      </c>
      <c r="AT238" s="40">
        <v>97.456360900000007</v>
      </c>
      <c r="AU238" s="40">
        <v>95.436540000000008</v>
      </c>
      <c r="AV238" s="40">
        <v>96.497949999999989</v>
      </c>
      <c r="AW238" s="40">
        <v>96.657110000000017</v>
      </c>
      <c r="AX238" s="40">
        <v>97.603840000000019</v>
      </c>
      <c r="AY238" s="40">
        <v>97.700140000000005</v>
      </c>
      <c r="AZ238" s="40">
        <v>97.48254</v>
      </c>
      <c r="BA238" s="40">
        <v>97.393219900000005</v>
      </c>
      <c r="BB238" s="174">
        <v>43252</v>
      </c>
      <c r="BC238" s="174">
        <v>43388</v>
      </c>
    </row>
    <row r="239" spans="1:55" s="44" customFormat="1" ht="60">
      <c r="A239" s="18" t="s">
        <v>9</v>
      </c>
      <c r="B239" s="18" t="s">
        <v>909</v>
      </c>
      <c r="C239" s="23" t="s">
        <v>10</v>
      </c>
      <c r="D239" s="23" t="s">
        <v>10</v>
      </c>
      <c r="E239" s="23" t="s">
        <v>10</v>
      </c>
      <c r="F239" s="23" t="s">
        <v>11</v>
      </c>
      <c r="G239" s="18" t="s">
        <v>757</v>
      </c>
      <c r="H239" s="19">
        <v>0.315</v>
      </c>
      <c r="I239" s="37">
        <v>208</v>
      </c>
      <c r="J239" s="19">
        <v>97</v>
      </c>
      <c r="K239" s="21" t="s">
        <v>1219</v>
      </c>
      <c r="L239" s="49" t="s">
        <v>758</v>
      </c>
      <c r="M239" s="38" t="s">
        <v>759</v>
      </c>
      <c r="N239" s="174">
        <v>43388</v>
      </c>
      <c r="O239" s="49" t="s">
        <v>758</v>
      </c>
      <c r="P239" s="23" t="s">
        <v>17</v>
      </c>
      <c r="Q239" s="23" t="s">
        <v>17</v>
      </c>
      <c r="R239" s="151" t="s">
        <v>760</v>
      </c>
      <c r="S239" s="39" t="s">
        <v>11</v>
      </c>
      <c r="T239" s="39" t="s">
        <v>10</v>
      </c>
      <c r="U239" s="153">
        <v>2.1000000000000001E-2</v>
      </c>
      <c r="V239" s="153"/>
      <c r="W239" s="153"/>
      <c r="X239" s="153">
        <v>53</v>
      </c>
      <c r="Y239" s="153">
        <v>60</v>
      </c>
      <c r="Z239" s="153">
        <v>64</v>
      </c>
      <c r="AA239" s="40">
        <v>3.15E-2</v>
      </c>
      <c r="AB239" s="40">
        <v>6.3E-2</v>
      </c>
      <c r="AC239" s="40">
        <v>9.4500000000000001E-2</v>
      </c>
      <c r="AD239" s="40">
        <v>0.1575</v>
      </c>
      <c r="AE239" s="40">
        <v>0.23625000000000002</v>
      </c>
      <c r="AF239" s="40">
        <v>0.315</v>
      </c>
      <c r="AG239" s="40">
        <v>90.483609999999999</v>
      </c>
      <c r="AH239" s="40">
        <v>96.662759999999992</v>
      </c>
      <c r="AI239" s="40">
        <v>97.099880000000013</v>
      </c>
      <c r="AJ239" s="40">
        <v>97.635729999999995</v>
      </c>
      <c r="AK239" s="40">
        <v>97.524219999999985</v>
      </c>
      <c r="AL239" s="40">
        <v>97.103530000000006</v>
      </c>
      <c r="AM239" s="40">
        <v>97.150984399999999</v>
      </c>
      <c r="AN239" s="40">
        <v>95.414170000000013</v>
      </c>
      <c r="AO239" s="40">
        <v>96.465389999999999</v>
      </c>
      <c r="AP239" s="40">
        <v>96.900779999999997</v>
      </c>
      <c r="AQ239" s="40">
        <v>97.542020000000008</v>
      </c>
      <c r="AR239" s="40">
        <v>97.461279999999988</v>
      </c>
      <c r="AS239" s="40">
        <v>97.049990000000008</v>
      </c>
      <c r="AT239" s="40">
        <v>97.258731999999981</v>
      </c>
      <c r="AU239" s="40">
        <v>95.270490000000009</v>
      </c>
      <c r="AV239" s="40">
        <v>96.333490000000012</v>
      </c>
      <c r="AW239" s="40">
        <v>96.813520000000011</v>
      </c>
      <c r="AX239" s="40">
        <v>97.502470000000002</v>
      </c>
      <c r="AY239" s="40">
        <v>97.42989</v>
      </c>
      <c r="AZ239" s="40">
        <v>97.019700000000014</v>
      </c>
      <c r="BA239" s="40">
        <v>97.209461900000008</v>
      </c>
      <c r="BB239" s="174">
        <v>43374</v>
      </c>
      <c r="BC239" s="174">
        <v>43388</v>
      </c>
    </row>
    <row r="240" spans="1:55" s="44" customFormat="1" ht="60">
      <c r="A240" s="18" t="s">
        <v>9</v>
      </c>
      <c r="B240" s="18" t="s">
        <v>910</v>
      </c>
      <c r="C240" s="23" t="s">
        <v>10</v>
      </c>
      <c r="D240" s="23" t="s">
        <v>10</v>
      </c>
      <c r="E240" s="23" t="s">
        <v>10</v>
      </c>
      <c r="F240" s="23" t="s">
        <v>11</v>
      </c>
      <c r="G240" s="18" t="s">
        <v>761</v>
      </c>
      <c r="H240" s="19">
        <v>0.315</v>
      </c>
      <c r="I240" s="37">
        <v>240</v>
      </c>
      <c r="J240" s="19">
        <v>97.5</v>
      </c>
      <c r="K240" s="21" t="s">
        <v>1219</v>
      </c>
      <c r="L240" s="49" t="s">
        <v>758</v>
      </c>
      <c r="M240" s="38" t="s">
        <v>759</v>
      </c>
      <c r="N240" s="174">
        <v>43388</v>
      </c>
      <c r="O240" s="49" t="s">
        <v>758</v>
      </c>
      <c r="P240" s="23" t="s">
        <v>17</v>
      </c>
      <c r="Q240" s="23" t="s">
        <v>17</v>
      </c>
      <c r="R240" s="151" t="s">
        <v>760</v>
      </c>
      <c r="S240" s="39" t="s">
        <v>11</v>
      </c>
      <c r="T240" s="39" t="s">
        <v>10</v>
      </c>
      <c r="U240" s="153">
        <v>2.1000000000000001E-2</v>
      </c>
      <c r="V240" s="153"/>
      <c r="W240" s="153"/>
      <c r="X240" s="153">
        <v>53</v>
      </c>
      <c r="Y240" s="153">
        <v>60</v>
      </c>
      <c r="Z240" s="153">
        <v>64</v>
      </c>
      <c r="AA240" s="40">
        <v>3.15E-2</v>
      </c>
      <c r="AB240" s="40">
        <v>6.3E-2</v>
      </c>
      <c r="AC240" s="40">
        <v>9.4500000000000001E-2</v>
      </c>
      <c r="AD240" s="40">
        <v>0.1575</v>
      </c>
      <c r="AE240" s="40">
        <v>0.23625000000000002</v>
      </c>
      <c r="AF240" s="40">
        <v>0.315</v>
      </c>
      <c r="AG240" s="40">
        <v>95.734780000000015</v>
      </c>
      <c r="AH240" s="40">
        <v>96.840240000000009</v>
      </c>
      <c r="AI240" s="40">
        <v>96.996160000000003</v>
      </c>
      <c r="AJ240" s="40">
        <v>97.762709999999998</v>
      </c>
      <c r="AK240" s="40">
        <v>97.755849999999981</v>
      </c>
      <c r="AL240" s="40">
        <v>97.46862999999999</v>
      </c>
      <c r="AM240" s="40">
        <v>97.525143499999984</v>
      </c>
      <c r="AN240" s="40">
        <v>95.610320000000002</v>
      </c>
      <c r="AO240" s="40">
        <v>96.678239999999988</v>
      </c>
      <c r="AP240" s="40">
        <v>96.754879999999986</v>
      </c>
      <c r="AQ240" s="40">
        <v>97.666660000000007</v>
      </c>
      <c r="AR240" s="40">
        <v>97.739180000000005</v>
      </c>
      <c r="AS240" s="40">
        <v>97.513729999999981</v>
      </c>
      <c r="AT240" s="40">
        <v>97.456360900000007</v>
      </c>
      <c r="AU240" s="40">
        <v>95.436540000000008</v>
      </c>
      <c r="AV240" s="40">
        <v>96.497949999999989</v>
      </c>
      <c r="AW240" s="40">
        <v>96.657110000000017</v>
      </c>
      <c r="AX240" s="40">
        <v>97.603840000000019</v>
      </c>
      <c r="AY240" s="40">
        <v>97.700140000000005</v>
      </c>
      <c r="AZ240" s="40">
        <v>97.48254</v>
      </c>
      <c r="BA240" s="40">
        <v>97.393219900000005</v>
      </c>
      <c r="BB240" s="174">
        <v>43374</v>
      </c>
      <c r="BC240" s="174">
        <v>43388</v>
      </c>
    </row>
    <row r="241" spans="1:55" s="44" customFormat="1" ht="75">
      <c r="A241" s="18" t="s">
        <v>9</v>
      </c>
      <c r="B241" s="140" t="s">
        <v>884</v>
      </c>
      <c r="C241" s="26" t="s">
        <v>10</v>
      </c>
      <c r="D241" s="26" t="s">
        <v>10</v>
      </c>
      <c r="E241" s="23" t="s">
        <v>10</v>
      </c>
      <c r="F241" s="23" t="s">
        <v>11</v>
      </c>
      <c r="G241" s="18" t="s">
        <v>212</v>
      </c>
      <c r="H241" s="19">
        <v>0.22</v>
      </c>
      <c r="I241" s="19">
        <v>208</v>
      </c>
      <c r="J241" s="19">
        <v>97</v>
      </c>
      <c r="K241" s="21" t="s">
        <v>1219</v>
      </c>
      <c r="L241" s="49" t="s">
        <v>433</v>
      </c>
      <c r="M241" s="21" t="s">
        <v>434</v>
      </c>
      <c r="N241" s="174">
        <v>43388</v>
      </c>
      <c r="O241" s="49" t="s">
        <v>433</v>
      </c>
      <c r="P241" s="23" t="s">
        <v>17</v>
      </c>
      <c r="Q241" s="23" t="s">
        <v>17</v>
      </c>
      <c r="R241" s="150"/>
      <c r="S241" s="20" t="s">
        <v>11</v>
      </c>
      <c r="T241" s="20" t="s">
        <v>10</v>
      </c>
      <c r="U241" s="19">
        <v>5.0999999999999997E-2</v>
      </c>
      <c r="V241" s="19"/>
      <c r="W241" s="19"/>
      <c r="X241" s="19">
        <v>27</v>
      </c>
      <c r="Y241" s="19">
        <v>32</v>
      </c>
      <c r="Z241" s="19">
        <v>37</v>
      </c>
      <c r="AA241" s="40">
        <v>0.02</v>
      </c>
      <c r="AB241" s="40">
        <v>0.04</v>
      </c>
      <c r="AC241" s="40">
        <v>7.0000000000000007E-2</v>
      </c>
      <c r="AD241" s="40">
        <v>0.11</v>
      </c>
      <c r="AE241" s="40">
        <v>0.17</v>
      </c>
      <c r="AF241" s="40">
        <v>0.22</v>
      </c>
      <c r="AG241" s="40">
        <v>94.9</v>
      </c>
      <c r="AH241" s="40">
        <v>96.5</v>
      </c>
      <c r="AI241" s="40">
        <v>96.4</v>
      </c>
      <c r="AJ241" s="40">
        <v>97.2</v>
      </c>
      <c r="AK241" s="40">
        <v>97.2</v>
      </c>
      <c r="AL241" s="40">
        <v>96.9</v>
      </c>
      <c r="AM241" s="40">
        <v>97</v>
      </c>
      <c r="AN241" s="40">
        <v>94.9</v>
      </c>
      <c r="AO241" s="40">
        <v>96.4</v>
      </c>
      <c r="AP241" s="40">
        <v>96.1</v>
      </c>
      <c r="AQ241" s="40">
        <v>97.1</v>
      </c>
      <c r="AR241" s="40">
        <v>97.1</v>
      </c>
      <c r="AS241" s="40">
        <v>96.8</v>
      </c>
      <c r="AT241" s="40">
        <v>96.8</v>
      </c>
      <c r="AU241" s="40">
        <v>94.8</v>
      </c>
      <c r="AV241" s="40">
        <v>96.3</v>
      </c>
      <c r="AW241" s="40">
        <v>95.8</v>
      </c>
      <c r="AX241" s="40">
        <v>96.9</v>
      </c>
      <c r="AY241" s="40">
        <v>97</v>
      </c>
      <c r="AZ241" s="40">
        <v>96.7</v>
      </c>
      <c r="BA241" s="40">
        <v>96.7</v>
      </c>
      <c r="BB241" s="174">
        <v>43024</v>
      </c>
      <c r="BC241" s="174">
        <v>43388</v>
      </c>
    </row>
    <row r="242" spans="1:55" s="44" customFormat="1" ht="45">
      <c r="A242" s="18" t="s">
        <v>9</v>
      </c>
      <c r="B242" s="140" t="s">
        <v>885</v>
      </c>
      <c r="C242" s="26" t="s">
        <v>10</v>
      </c>
      <c r="D242" s="26" t="s">
        <v>10</v>
      </c>
      <c r="E242" s="23" t="s">
        <v>10</v>
      </c>
      <c r="F242" s="23" t="s">
        <v>11</v>
      </c>
      <c r="G242" s="18" t="s">
        <v>211</v>
      </c>
      <c r="H242" s="19">
        <v>0.22</v>
      </c>
      <c r="I242" s="19">
        <v>240</v>
      </c>
      <c r="J242" s="19">
        <v>97</v>
      </c>
      <c r="K242" s="21" t="s">
        <v>1219</v>
      </c>
      <c r="L242" s="49" t="s">
        <v>433</v>
      </c>
      <c r="M242" s="21" t="s">
        <v>434</v>
      </c>
      <c r="N242" s="174">
        <v>43388</v>
      </c>
      <c r="O242" s="49" t="s">
        <v>433</v>
      </c>
      <c r="P242" s="23" t="s">
        <v>17</v>
      </c>
      <c r="Q242" s="23" t="s">
        <v>17</v>
      </c>
      <c r="R242" s="150"/>
      <c r="S242" s="20" t="s">
        <v>11</v>
      </c>
      <c r="T242" s="20" t="s">
        <v>10</v>
      </c>
      <c r="U242" s="19">
        <v>5.0999999999999997E-2</v>
      </c>
      <c r="V242" s="19"/>
      <c r="W242" s="19"/>
      <c r="X242" s="19">
        <v>27</v>
      </c>
      <c r="Y242" s="19">
        <v>32</v>
      </c>
      <c r="Z242" s="19">
        <v>37</v>
      </c>
      <c r="AA242" s="40">
        <v>0.02</v>
      </c>
      <c r="AB242" s="40">
        <v>0.04</v>
      </c>
      <c r="AC242" s="40">
        <v>7.0000000000000007E-2</v>
      </c>
      <c r="AD242" s="40">
        <v>0.11</v>
      </c>
      <c r="AE242" s="40">
        <v>0.17</v>
      </c>
      <c r="AF242" s="40">
        <v>0.22</v>
      </c>
      <c r="AG242" s="40">
        <v>95</v>
      </c>
      <c r="AH242" s="40">
        <v>96.4</v>
      </c>
      <c r="AI242" s="40">
        <v>96.2</v>
      </c>
      <c r="AJ242" s="40">
        <v>97.4</v>
      </c>
      <c r="AK242" s="40">
        <v>97.5</v>
      </c>
      <c r="AL242" s="40">
        <v>97.4</v>
      </c>
      <c r="AM242" s="40">
        <v>97.2</v>
      </c>
      <c r="AN242" s="40">
        <v>95</v>
      </c>
      <c r="AO242" s="40">
        <v>96.5</v>
      </c>
      <c r="AP242" s="40">
        <v>95.8</v>
      </c>
      <c r="AQ242" s="40">
        <v>97.2</v>
      </c>
      <c r="AR242" s="40">
        <v>97.3</v>
      </c>
      <c r="AS242" s="40">
        <v>97.2</v>
      </c>
      <c r="AT242" s="40">
        <v>97</v>
      </c>
      <c r="AU242" s="40">
        <v>94.9</v>
      </c>
      <c r="AV242" s="40">
        <v>96.4</v>
      </c>
      <c r="AW242" s="40">
        <v>95.4</v>
      </c>
      <c r="AX242" s="40">
        <v>96.9</v>
      </c>
      <c r="AY242" s="40">
        <v>97.2</v>
      </c>
      <c r="AZ242" s="40">
        <v>97.2</v>
      </c>
      <c r="BA242" s="40">
        <v>96.8</v>
      </c>
      <c r="BB242" s="174">
        <v>43024</v>
      </c>
      <c r="BC242" s="174">
        <v>43388</v>
      </c>
    </row>
    <row r="243" spans="1:55" s="44" customFormat="1" ht="45">
      <c r="A243" s="18" t="s">
        <v>9</v>
      </c>
      <c r="B243" s="140" t="s">
        <v>895</v>
      </c>
      <c r="C243" s="26" t="s">
        <v>10</v>
      </c>
      <c r="D243" s="26" t="s">
        <v>10</v>
      </c>
      <c r="E243" s="23" t="s">
        <v>10</v>
      </c>
      <c r="F243" s="23" t="s">
        <v>11</v>
      </c>
      <c r="G243" s="18" t="s">
        <v>214</v>
      </c>
      <c r="H243" s="19">
        <v>0.27</v>
      </c>
      <c r="I243" s="19">
        <v>208</v>
      </c>
      <c r="J243" s="19">
        <v>96.5</v>
      </c>
      <c r="K243" s="21" t="s">
        <v>1219</v>
      </c>
      <c r="L243" s="49" t="s">
        <v>433</v>
      </c>
      <c r="M243" s="21" t="s">
        <v>434</v>
      </c>
      <c r="N243" s="174">
        <v>43388</v>
      </c>
      <c r="O243" s="49" t="s">
        <v>433</v>
      </c>
      <c r="P243" s="23" t="s">
        <v>17</v>
      </c>
      <c r="Q243" s="23" t="s">
        <v>17</v>
      </c>
      <c r="R243" s="150"/>
      <c r="S243" s="20" t="s">
        <v>11</v>
      </c>
      <c r="T243" s="20" t="s">
        <v>10</v>
      </c>
      <c r="U243" s="19">
        <v>5.0999999999999997E-2</v>
      </c>
      <c r="V243" s="19"/>
      <c r="W243" s="19"/>
      <c r="X243" s="19">
        <v>27</v>
      </c>
      <c r="Y243" s="19">
        <v>32</v>
      </c>
      <c r="Z243" s="19">
        <v>37</v>
      </c>
      <c r="AA243" s="40">
        <v>0.03</v>
      </c>
      <c r="AB243" s="40">
        <v>0.05</v>
      </c>
      <c r="AC243" s="40">
        <v>0.08</v>
      </c>
      <c r="AD243" s="40">
        <v>0.14000000000000001</v>
      </c>
      <c r="AE243" s="40">
        <v>0.2</v>
      </c>
      <c r="AF243" s="40">
        <v>0.27</v>
      </c>
      <c r="AG243" s="40">
        <v>95</v>
      </c>
      <c r="AH243" s="40">
        <v>96.1</v>
      </c>
      <c r="AI243" s="40">
        <v>96.5</v>
      </c>
      <c r="AJ243" s="40">
        <v>96.9</v>
      </c>
      <c r="AK243" s="40">
        <v>96.7</v>
      </c>
      <c r="AL243" s="40">
        <v>96.2</v>
      </c>
      <c r="AM243" s="40">
        <v>96.6</v>
      </c>
      <c r="AN243" s="40">
        <v>95</v>
      </c>
      <c r="AO243" s="40">
        <v>96.1</v>
      </c>
      <c r="AP243" s="40">
        <v>96.1</v>
      </c>
      <c r="AQ243" s="40">
        <v>96.7</v>
      </c>
      <c r="AR243" s="40">
        <v>96.6</v>
      </c>
      <c r="AS243" s="40">
        <v>96.2</v>
      </c>
      <c r="AT243" s="40">
        <v>96.5</v>
      </c>
      <c r="AU243" s="40">
        <v>94.9</v>
      </c>
      <c r="AV243" s="40">
        <v>95.7</v>
      </c>
      <c r="AW243" s="40">
        <v>95.8</v>
      </c>
      <c r="AX243" s="40">
        <v>96.6</v>
      </c>
      <c r="AY243" s="40">
        <v>96.5</v>
      </c>
      <c r="AZ243" s="40">
        <v>96.1</v>
      </c>
      <c r="BA243" s="40">
        <v>96.3</v>
      </c>
      <c r="BB243" s="174">
        <v>43024</v>
      </c>
      <c r="BC243" s="174">
        <v>43388</v>
      </c>
    </row>
    <row r="244" spans="1:55" s="44" customFormat="1" ht="75">
      <c r="A244" s="18" t="s">
        <v>9</v>
      </c>
      <c r="B244" s="140" t="s">
        <v>896</v>
      </c>
      <c r="C244" s="26" t="s">
        <v>10</v>
      </c>
      <c r="D244" s="26" t="s">
        <v>10</v>
      </c>
      <c r="E244" s="23" t="s">
        <v>10</v>
      </c>
      <c r="F244" s="23" t="s">
        <v>11</v>
      </c>
      <c r="G244" s="18" t="s">
        <v>213</v>
      </c>
      <c r="H244" s="19">
        <v>0.27</v>
      </c>
      <c r="I244" s="19">
        <v>240</v>
      </c>
      <c r="J244" s="19">
        <v>97</v>
      </c>
      <c r="K244" s="21" t="s">
        <v>1219</v>
      </c>
      <c r="L244" s="49" t="s">
        <v>433</v>
      </c>
      <c r="M244" s="21" t="s">
        <v>434</v>
      </c>
      <c r="N244" s="174">
        <v>43388</v>
      </c>
      <c r="O244" s="49" t="s">
        <v>433</v>
      </c>
      <c r="P244" s="23" t="s">
        <v>17</v>
      </c>
      <c r="Q244" s="23" t="s">
        <v>17</v>
      </c>
      <c r="R244" s="150"/>
      <c r="S244" s="20" t="s">
        <v>11</v>
      </c>
      <c r="T244" s="20" t="s">
        <v>10</v>
      </c>
      <c r="U244" s="19">
        <v>6.2E-2</v>
      </c>
      <c r="V244" s="19"/>
      <c r="W244" s="19"/>
      <c r="X244" s="19">
        <v>27</v>
      </c>
      <c r="Y244" s="19">
        <v>32</v>
      </c>
      <c r="Z244" s="19">
        <v>37</v>
      </c>
      <c r="AA244" s="40">
        <v>0.03</v>
      </c>
      <c r="AB244" s="40">
        <v>0.05</v>
      </c>
      <c r="AC244" s="40">
        <v>0.08</v>
      </c>
      <c r="AD244" s="40">
        <v>0.14000000000000001</v>
      </c>
      <c r="AE244" s="40">
        <v>0.2</v>
      </c>
      <c r="AF244" s="40">
        <v>0.27</v>
      </c>
      <c r="AG244" s="40">
        <v>95.2</v>
      </c>
      <c r="AH244" s="40">
        <v>96.5</v>
      </c>
      <c r="AI244" s="40">
        <v>96.9</v>
      </c>
      <c r="AJ244" s="40">
        <v>97.3</v>
      </c>
      <c r="AK244" s="40">
        <v>97.3</v>
      </c>
      <c r="AL244" s="40">
        <v>97</v>
      </c>
      <c r="AM244" s="40">
        <v>97.1</v>
      </c>
      <c r="AN244" s="40">
        <v>95.3</v>
      </c>
      <c r="AO244" s="40">
        <v>96.5</v>
      </c>
      <c r="AP244" s="40">
        <v>96.7</v>
      </c>
      <c r="AQ244" s="40">
        <v>97.1</v>
      </c>
      <c r="AR244" s="40">
        <v>97.2</v>
      </c>
      <c r="AS244" s="40">
        <v>96.9</v>
      </c>
      <c r="AT244" s="40">
        <v>97</v>
      </c>
      <c r="AU244" s="40">
        <v>95.1</v>
      </c>
      <c r="AV244" s="40">
        <v>96.1</v>
      </c>
      <c r="AW244" s="40">
        <v>96</v>
      </c>
      <c r="AX244" s="40">
        <v>96.9</v>
      </c>
      <c r="AY244" s="40">
        <v>97.1</v>
      </c>
      <c r="AZ244" s="40">
        <v>96.9</v>
      </c>
      <c r="BA244" s="40">
        <v>96.8</v>
      </c>
      <c r="BB244" s="174">
        <v>43024</v>
      </c>
      <c r="BC244" s="174">
        <v>43388</v>
      </c>
    </row>
    <row r="245" spans="1:55" s="44" customFormat="1" ht="45">
      <c r="A245" s="18" t="s">
        <v>1468</v>
      </c>
      <c r="B245" s="18" t="s">
        <v>1475</v>
      </c>
      <c r="C245" s="23" t="s">
        <v>10</v>
      </c>
      <c r="D245" s="23" t="s">
        <v>10</v>
      </c>
      <c r="E245" s="23" t="s">
        <v>10</v>
      </c>
      <c r="F245" s="23" t="s">
        <v>11</v>
      </c>
      <c r="G245" s="18" t="s">
        <v>1469</v>
      </c>
      <c r="H245" s="19">
        <v>250.19</v>
      </c>
      <c r="I245" s="37">
        <v>480</v>
      </c>
      <c r="J245" s="19">
        <v>97</v>
      </c>
      <c r="K245" s="21" t="s">
        <v>1215</v>
      </c>
      <c r="L245" s="49" t="s">
        <v>1470</v>
      </c>
      <c r="M245" s="38" t="s">
        <v>1471</v>
      </c>
      <c r="N245" s="174">
        <v>43570</v>
      </c>
      <c r="O245" s="38" t="s">
        <v>1470</v>
      </c>
      <c r="P245" s="38" t="s">
        <v>17</v>
      </c>
      <c r="Q245" s="38" t="s">
        <v>17</v>
      </c>
      <c r="R245" s="151"/>
      <c r="S245" s="39" t="s">
        <v>11</v>
      </c>
      <c r="T245" s="39" t="s">
        <v>11</v>
      </c>
      <c r="U245" s="171">
        <v>20</v>
      </c>
      <c r="V245" s="153"/>
      <c r="W245" s="153"/>
      <c r="X245" s="153">
        <v>710</v>
      </c>
      <c r="Y245" s="153">
        <v>950</v>
      </c>
      <c r="Z245" s="153">
        <v>1250</v>
      </c>
      <c r="AA245" s="40">
        <v>25.018999999999998</v>
      </c>
      <c r="AB245" s="40">
        <v>50.037999999999997</v>
      </c>
      <c r="AC245" s="40">
        <v>75.057000000000002</v>
      </c>
      <c r="AD245" s="40">
        <v>125.095</v>
      </c>
      <c r="AE245" s="40">
        <v>187.643</v>
      </c>
      <c r="AF245" s="40">
        <v>250.19</v>
      </c>
      <c r="AG245" s="40">
        <v>94.8</v>
      </c>
      <c r="AH245" s="40">
        <v>96.79</v>
      </c>
      <c r="AI245" s="40">
        <v>97.38</v>
      </c>
      <c r="AJ245" s="40">
        <v>97.66</v>
      </c>
      <c r="AK245" s="40">
        <v>97.6</v>
      </c>
      <c r="AL245" s="40">
        <v>97.44</v>
      </c>
      <c r="AM245" s="40">
        <v>97.42</v>
      </c>
      <c r="AN245" s="40">
        <v>94.12</v>
      </c>
      <c r="AO245" s="40">
        <v>96.48</v>
      </c>
      <c r="AP245" s="40">
        <v>97.08</v>
      </c>
      <c r="AQ245" s="40">
        <v>97.37</v>
      </c>
      <c r="AR245" s="40">
        <v>97.29</v>
      </c>
      <c r="AS245" s="40">
        <v>97.04</v>
      </c>
      <c r="AT245" s="40">
        <v>97.1</v>
      </c>
      <c r="AU245" s="40">
        <v>92.55</v>
      </c>
      <c r="AV245" s="40">
        <v>95.64</v>
      </c>
      <c r="AW245" s="40">
        <v>96.52</v>
      </c>
      <c r="AX245" s="40">
        <v>96.95</v>
      </c>
      <c r="AY245" s="40">
        <v>96.97</v>
      </c>
      <c r="AZ245" s="40">
        <v>96.78</v>
      </c>
      <c r="BA245" s="40">
        <v>96.66</v>
      </c>
      <c r="BB245" s="178">
        <v>43570</v>
      </c>
      <c r="BC245" s="178"/>
    </row>
    <row r="246" spans="1:55" s="44" customFormat="1" ht="75">
      <c r="A246" s="18" t="s">
        <v>1468</v>
      </c>
      <c r="B246" s="18" t="s">
        <v>1567</v>
      </c>
      <c r="C246" s="23" t="s">
        <v>10</v>
      </c>
      <c r="D246" s="23" t="s">
        <v>10</v>
      </c>
      <c r="E246" s="23" t="s">
        <v>10</v>
      </c>
      <c r="F246" s="23" t="s">
        <v>11</v>
      </c>
      <c r="G246" s="18" t="s">
        <v>1524</v>
      </c>
      <c r="H246" s="19">
        <v>499.13</v>
      </c>
      <c r="I246" s="37">
        <v>480</v>
      </c>
      <c r="J246" s="19">
        <v>97</v>
      </c>
      <c r="K246" s="20" t="s">
        <v>1215</v>
      </c>
      <c r="L246" s="49" t="s">
        <v>1525</v>
      </c>
      <c r="M246" s="38" t="s">
        <v>1526</v>
      </c>
      <c r="N246" s="174">
        <v>43586</v>
      </c>
      <c r="O246" s="38" t="s">
        <v>1525</v>
      </c>
      <c r="P246" s="38" t="s">
        <v>17</v>
      </c>
      <c r="Q246" s="38" t="s">
        <v>17</v>
      </c>
      <c r="R246" s="151"/>
      <c r="S246" s="39" t="s">
        <v>11</v>
      </c>
      <c r="T246" s="39" t="s">
        <v>11</v>
      </c>
      <c r="U246" s="37">
        <v>20</v>
      </c>
      <c r="V246" s="153"/>
      <c r="W246" s="153"/>
      <c r="X246" s="153">
        <v>710</v>
      </c>
      <c r="Y246" s="153">
        <v>950</v>
      </c>
      <c r="Z246" s="153">
        <v>1250</v>
      </c>
      <c r="AA246" s="40">
        <v>49.913000000000004</v>
      </c>
      <c r="AB246" s="40">
        <v>99.826000000000008</v>
      </c>
      <c r="AC246" s="40">
        <v>149.739</v>
      </c>
      <c r="AD246" s="40">
        <v>249.565</v>
      </c>
      <c r="AE246" s="40">
        <v>374.34749999999997</v>
      </c>
      <c r="AF246" s="40">
        <v>499.13</v>
      </c>
      <c r="AG246" s="40">
        <v>96.530252664758535</v>
      </c>
      <c r="AH246" s="40">
        <v>97.750141265774261</v>
      </c>
      <c r="AI246" s="40">
        <v>98.003014174261708</v>
      </c>
      <c r="AJ246" s="40">
        <v>98.055295844503107</v>
      </c>
      <c r="AK246" s="40">
        <v>97.914563022140598</v>
      </c>
      <c r="AL246" s="40">
        <v>97.73542885739927</v>
      </c>
      <c r="AM246" s="40">
        <v>97.88218084274061</v>
      </c>
      <c r="AN246" s="40">
        <v>96.080763662093631</v>
      </c>
      <c r="AO246" s="40">
        <v>97.544849203203171</v>
      </c>
      <c r="AP246" s="40">
        <v>97.861813306303574</v>
      </c>
      <c r="AQ246" s="40">
        <v>97.925566759494714</v>
      </c>
      <c r="AR246" s="40">
        <v>97.738743549342772</v>
      </c>
      <c r="AS246" s="40">
        <v>97.468819838194577</v>
      </c>
      <c r="AT246" s="40">
        <v>97.703234695955629</v>
      </c>
      <c r="AU246" s="40">
        <v>93.730818541709866</v>
      </c>
      <c r="AV246" s="40">
        <v>95.609575391984791</v>
      </c>
      <c r="AW246" s="40">
        <v>96.014955652044037</v>
      </c>
      <c r="AX246" s="40">
        <v>96.137758090238663</v>
      </c>
      <c r="AY246" s="40">
        <v>95.982042871958058</v>
      </c>
      <c r="AZ246" s="40">
        <v>95.734372288891578</v>
      </c>
      <c r="BA246" s="40">
        <v>95.897636725045388</v>
      </c>
      <c r="BB246" s="178">
        <v>43586</v>
      </c>
      <c r="BC246" s="178"/>
    </row>
    <row r="247" spans="1:55" s="44" customFormat="1" ht="45">
      <c r="A247" s="18" t="s">
        <v>1255</v>
      </c>
      <c r="B247" s="18" t="s">
        <v>1256</v>
      </c>
      <c r="C247" s="23" t="s">
        <v>10</v>
      </c>
      <c r="D247" s="23" t="s">
        <v>10</v>
      </c>
      <c r="E247" s="23" t="s">
        <v>10</v>
      </c>
      <c r="F247" s="23" t="s">
        <v>11</v>
      </c>
      <c r="G247" s="140" t="s">
        <v>1259</v>
      </c>
      <c r="H247" s="19">
        <v>220.03299999999999</v>
      </c>
      <c r="I247" s="37">
        <v>480</v>
      </c>
      <c r="J247" s="19">
        <v>96</v>
      </c>
      <c r="K247" s="21" t="s">
        <v>1215</v>
      </c>
      <c r="L247" s="49" t="s">
        <v>1257</v>
      </c>
      <c r="M247" s="38" t="s">
        <v>1258</v>
      </c>
      <c r="N247" s="174">
        <v>43480</v>
      </c>
      <c r="O247" s="49" t="s">
        <v>1257</v>
      </c>
      <c r="P247" s="23" t="s">
        <v>17</v>
      </c>
      <c r="Q247" s="23" t="s">
        <v>17</v>
      </c>
      <c r="R247" s="151"/>
      <c r="S247" s="39" t="s">
        <v>11</v>
      </c>
      <c r="T247" s="39" t="s">
        <v>11</v>
      </c>
      <c r="U247" s="153">
        <v>19.2</v>
      </c>
      <c r="V247" s="153"/>
      <c r="W247" s="153"/>
      <c r="X247" s="153">
        <v>455</v>
      </c>
      <c r="Y247" s="153">
        <v>475</v>
      </c>
      <c r="Z247" s="153">
        <v>600</v>
      </c>
      <c r="AA247" s="40">
        <v>22.003332999999998</v>
      </c>
      <c r="AB247" s="40">
        <v>44.006665999999996</v>
      </c>
      <c r="AC247" s="40">
        <v>66.009998999999993</v>
      </c>
      <c r="AD247" s="40">
        <v>110.01666499999999</v>
      </c>
      <c r="AE247" s="40">
        <v>165.02499749999998</v>
      </c>
      <c r="AF247" s="40">
        <v>220.03332999999998</v>
      </c>
      <c r="AG247" s="40">
        <v>95.015714285714282</v>
      </c>
      <c r="AH247" s="40">
        <v>96.159999999999982</v>
      </c>
      <c r="AI247" s="40">
        <v>96.411428571428573</v>
      </c>
      <c r="AJ247" s="40">
        <v>96.357142857142861</v>
      </c>
      <c r="AK247" s="40">
        <v>96.094285714285732</v>
      </c>
      <c r="AL247" s="40">
        <v>95.765714285714282</v>
      </c>
      <c r="AM247" s="40">
        <v>96.131257142857166</v>
      </c>
      <c r="AN247" s="40">
        <v>93.96142857142857</v>
      </c>
      <c r="AO247" s="40">
        <v>95.395714285714263</v>
      </c>
      <c r="AP247" s="40">
        <v>95.672857142857154</v>
      </c>
      <c r="AQ247" s="40">
        <v>95.734285714285718</v>
      </c>
      <c r="AR247" s="40">
        <v>95.52428571428571</v>
      </c>
      <c r="AS247" s="40">
        <v>95.179999999999993</v>
      </c>
      <c r="AT247" s="40">
        <v>95.500057142857145</v>
      </c>
      <c r="AU247" s="40">
        <v>94.338571428571427</v>
      </c>
      <c r="AV247" s="40">
        <v>95.8</v>
      </c>
      <c r="AW247" s="40">
        <v>96.09714285714287</v>
      </c>
      <c r="AX247" s="40">
        <v>96.165714285714259</v>
      </c>
      <c r="AY247" s="40">
        <v>96.01428571428572</v>
      </c>
      <c r="AZ247" s="40">
        <v>95.718571428571437</v>
      </c>
      <c r="BA247" s="40">
        <v>95.963499999999996</v>
      </c>
      <c r="BB247" s="174">
        <v>43480</v>
      </c>
      <c r="BC247" s="174"/>
    </row>
    <row r="248" spans="1:55" s="44" customFormat="1" ht="89.25">
      <c r="A248" s="18" t="s">
        <v>130</v>
      </c>
      <c r="B248" s="168" t="s">
        <v>1318</v>
      </c>
      <c r="C248" s="39" t="s">
        <v>10</v>
      </c>
      <c r="D248" s="39" t="s">
        <v>10</v>
      </c>
      <c r="E248" s="23" t="s">
        <v>10</v>
      </c>
      <c r="F248" s="23" t="s">
        <v>11</v>
      </c>
      <c r="G248" s="18" t="s">
        <v>1414</v>
      </c>
      <c r="H248" s="125">
        <v>9.9949999999999992</v>
      </c>
      <c r="I248" s="127">
        <v>208</v>
      </c>
      <c r="J248" s="136">
        <v>96.5</v>
      </c>
      <c r="K248" s="21" t="s">
        <v>1216</v>
      </c>
      <c r="L248" s="49" t="s">
        <v>1356</v>
      </c>
      <c r="M248" s="138" t="s">
        <v>1358</v>
      </c>
      <c r="N248" s="174">
        <v>43388</v>
      </c>
      <c r="O248" s="49" t="s">
        <v>438</v>
      </c>
      <c r="P248" s="23" t="s">
        <v>17</v>
      </c>
      <c r="Q248" s="23" t="s">
        <v>17</v>
      </c>
      <c r="R248" s="151" t="s">
        <v>1359</v>
      </c>
      <c r="S248" s="23" t="s">
        <v>10</v>
      </c>
      <c r="T248" s="23" t="s">
        <v>11</v>
      </c>
      <c r="U248" s="19">
        <v>0.24</v>
      </c>
      <c r="V248" s="153"/>
      <c r="W248" s="153"/>
      <c r="X248" s="153">
        <v>100</v>
      </c>
      <c r="Y248" s="153">
        <v>660</v>
      </c>
      <c r="Z248" s="153">
        <v>800</v>
      </c>
      <c r="AA248" s="40">
        <v>1</v>
      </c>
      <c r="AB248" s="40">
        <v>2</v>
      </c>
      <c r="AC248" s="40">
        <v>3</v>
      </c>
      <c r="AD248" s="40">
        <v>5</v>
      </c>
      <c r="AE248" s="40">
        <v>7.5</v>
      </c>
      <c r="AF248" s="40">
        <v>10</v>
      </c>
      <c r="AG248" s="40">
        <v>92</v>
      </c>
      <c r="AH248" s="40">
        <v>94.7</v>
      </c>
      <c r="AI248" s="40">
        <v>95.1</v>
      </c>
      <c r="AJ248" s="40">
        <v>95.6</v>
      </c>
      <c r="AK248" s="40">
        <v>95.6</v>
      </c>
      <c r="AL248" s="40">
        <v>95.5</v>
      </c>
      <c r="AM248" s="40">
        <v>95.3</v>
      </c>
      <c r="AN248" s="40">
        <v>94.5</v>
      </c>
      <c r="AO248" s="40">
        <v>97.4</v>
      </c>
      <c r="AP248" s="40">
        <v>96.8</v>
      </c>
      <c r="AQ248" s="40">
        <v>97.3</v>
      </c>
      <c r="AR248" s="40">
        <v>97.3</v>
      </c>
      <c r="AS248" s="40">
        <v>97.4</v>
      </c>
      <c r="AT248" s="40">
        <v>97.1</v>
      </c>
      <c r="AU248" s="40">
        <v>93.3</v>
      </c>
      <c r="AV248" s="40">
        <v>97.1</v>
      </c>
      <c r="AW248" s="40">
        <v>96.5</v>
      </c>
      <c r="AX248" s="40">
        <v>97</v>
      </c>
      <c r="AY248" s="40">
        <v>97.3</v>
      </c>
      <c r="AZ248" s="40">
        <v>97.3</v>
      </c>
      <c r="BA248" s="40">
        <v>97</v>
      </c>
      <c r="BB248" s="174">
        <v>43040</v>
      </c>
      <c r="BC248" s="174">
        <v>43525</v>
      </c>
    </row>
    <row r="249" spans="1:55" s="44" customFormat="1" ht="89.25">
      <c r="A249" s="18" t="s">
        <v>130</v>
      </c>
      <c r="B249" s="168" t="s">
        <v>1319</v>
      </c>
      <c r="C249" s="39" t="s">
        <v>10</v>
      </c>
      <c r="D249" s="39" t="s">
        <v>10</v>
      </c>
      <c r="E249" s="23" t="s">
        <v>10</v>
      </c>
      <c r="F249" s="23" t="s">
        <v>11</v>
      </c>
      <c r="G249" s="18" t="s">
        <v>1415</v>
      </c>
      <c r="H249" s="125">
        <v>9.9949999999999992</v>
      </c>
      <c r="I249" s="127">
        <v>240</v>
      </c>
      <c r="J249" s="136">
        <v>96.5</v>
      </c>
      <c r="K249" s="21" t="s">
        <v>1216</v>
      </c>
      <c r="L249" s="49" t="s">
        <v>1356</v>
      </c>
      <c r="M249" s="138" t="s">
        <v>1358</v>
      </c>
      <c r="N249" s="174">
        <v>43388</v>
      </c>
      <c r="O249" s="49" t="s">
        <v>438</v>
      </c>
      <c r="P249" s="23" t="s">
        <v>17</v>
      </c>
      <c r="Q249" s="23" t="s">
        <v>17</v>
      </c>
      <c r="R249" s="151" t="s">
        <v>1360</v>
      </c>
      <c r="S249" s="23" t="s">
        <v>10</v>
      </c>
      <c r="T249" s="23" t="s">
        <v>11</v>
      </c>
      <c r="U249" s="19">
        <v>0.32</v>
      </c>
      <c r="V249" s="153"/>
      <c r="W249" s="153"/>
      <c r="X249" s="153">
        <v>100</v>
      </c>
      <c r="Y249" s="153">
        <v>655</v>
      </c>
      <c r="Z249" s="153">
        <v>800</v>
      </c>
      <c r="AA249" s="40">
        <v>1</v>
      </c>
      <c r="AB249" s="40">
        <v>2</v>
      </c>
      <c r="AC249" s="40">
        <v>3</v>
      </c>
      <c r="AD249" s="40">
        <v>5</v>
      </c>
      <c r="AE249" s="40">
        <v>7.5</v>
      </c>
      <c r="AF249" s="40">
        <v>10</v>
      </c>
      <c r="AG249" s="40">
        <v>91.4</v>
      </c>
      <c r="AH249" s="40">
        <v>94.3</v>
      </c>
      <c r="AI249" s="40">
        <v>94.8</v>
      </c>
      <c r="AJ249" s="40">
        <v>95.4</v>
      </c>
      <c r="AK249" s="40">
        <v>95.6</v>
      </c>
      <c r="AL249" s="40">
        <v>95.6</v>
      </c>
      <c r="AM249" s="40">
        <v>95.2</v>
      </c>
      <c r="AN249" s="40">
        <v>93.5</v>
      </c>
      <c r="AO249" s="40">
        <v>95.8</v>
      </c>
      <c r="AP249" s="40">
        <v>96.3</v>
      </c>
      <c r="AQ249" s="40">
        <v>96.9</v>
      </c>
      <c r="AR249" s="40">
        <v>97.1</v>
      </c>
      <c r="AS249" s="40">
        <v>97</v>
      </c>
      <c r="AT249" s="40">
        <v>96.7</v>
      </c>
      <c r="AU249" s="40">
        <v>95.6</v>
      </c>
      <c r="AV249" s="40">
        <v>97</v>
      </c>
      <c r="AW249" s="40">
        <v>97.2</v>
      </c>
      <c r="AX249" s="40">
        <v>97.6</v>
      </c>
      <c r="AY249" s="40">
        <v>97.7</v>
      </c>
      <c r="AZ249" s="40">
        <v>97.5</v>
      </c>
      <c r="BA249" s="40">
        <v>97.5</v>
      </c>
      <c r="BB249" s="174">
        <v>43040</v>
      </c>
      <c r="BC249" s="174">
        <v>43525</v>
      </c>
    </row>
    <row r="250" spans="1:55" s="44" customFormat="1" ht="89.25">
      <c r="A250" s="18" t="s">
        <v>130</v>
      </c>
      <c r="B250" s="168" t="s">
        <v>1320</v>
      </c>
      <c r="C250" s="39" t="s">
        <v>10</v>
      </c>
      <c r="D250" s="39" t="s">
        <v>10</v>
      </c>
      <c r="E250" s="23" t="s">
        <v>10</v>
      </c>
      <c r="F250" s="23" t="s">
        <v>11</v>
      </c>
      <c r="G250" s="18" t="s">
        <v>1416</v>
      </c>
      <c r="H250" s="125">
        <v>11.4</v>
      </c>
      <c r="I250" s="127">
        <v>208</v>
      </c>
      <c r="J250" s="136">
        <v>96.5</v>
      </c>
      <c r="K250" s="21" t="s">
        <v>1216</v>
      </c>
      <c r="L250" s="49" t="s">
        <v>1356</v>
      </c>
      <c r="M250" s="138" t="s">
        <v>1358</v>
      </c>
      <c r="N250" s="174">
        <v>43388</v>
      </c>
      <c r="O250" s="49" t="s">
        <v>438</v>
      </c>
      <c r="P250" s="23" t="s">
        <v>17</v>
      </c>
      <c r="Q250" s="23" t="s">
        <v>17</v>
      </c>
      <c r="R250" s="151" t="s">
        <v>1361</v>
      </c>
      <c r="S250" s="23" t="s">
        <v>10</v>
      </c>
      <c r="T250" s="23" t="s">
        <v>11</v>
      </c>
      <c r="U250" s="19">
        <v>0.24</v>
      </c>
      <c r="V250" s="153"/>
      <c r="W250" s="153"/>
      <c r="X250" s="153">
        <v>240</v>
      </c>
      <c r="Y250" s="153">
        <v>660</v>
      </c>
      <c r="Z250" s="153">
        <v>800</v>
      </c>
      <c r="AA250" s="40">
        <v>1.1399999999999999</v>
      </c>
      <c r="AB250" s="40">
        <v>2.2799999999999998</v>
      </c>
      <c r="AC250" s="40">
        <v>3.42</v>
      </c>
      <c r="AD250" s="40">
        <v>5.7</v>
      </c>
      <c r="AE250" s="40">
        <v>8.5500000000000007</v>
      </c>
      <c r="AF250" s="40">
        <v>11.4</v>
      </c>
      <c r="AG250" s="40">
        <v>93</v>
      </c>
      <c r="AH250" s="40">
        <v>94.9</v>
      </c>
      <c r="AI250" s="40">
        <v>95.4</v>
      </c>
      <c r="AJ250" s="40">
        <v>95.8</v>
      </c>
      <c r="AK250" s="40">
        <v>95.8</v>
      </c>
      <c r="AL250" s="40">
        <v>95.7</v>
      </c>
      <c r="AM250" s="40">
        <v>95.6</v>
      </c>
      <c r="AN250" s="40">
        <v>95.4</v>
      </c>
      <c r="AO250" s="40">
        <v>97</v>
      </c>
      <c r="AP250" s="40">
        <v>97.3</v>
      </c>
      <c r="AQ250" s="40">
        <v>97.4</v>
      </c>
      <c r="AR250" s="40">
        <v>97.4</v>
      </c>
      <c r="AS250" s="40">
        <v>97.4</v>
      </c>
      <c r="AT250" s="40">
        <v>97.3</v>
      </c>
      <c r="AU250" s="40">
        <v>94.5</v>
      </c>
      <c r="AV250" s="40">
        <v>96.4</v>
      </c>
      <c r="AW250" s="40">
        <v>96.9</v>
      </c>
      <c r="AX250" s="40">
        <v>97.2</v>
      </c>
      <c r="AY250" s="40">
        <v>97.2</v>
      </c>
      <c r="AZ250" s="40">
        <v>97.3</v>
      </c>
      <c r="BA250" s="40">
        <v>97.1</v>
      </c>
      <c r="BB250" s="174">
        <v>43040</v>
      </c>
      <c r="BC250" s="174">
        <v>43525</v>
      </c>
    </row>
    <row r="251" spans="1:55" s="44" customFormat="1" ht="89.25">
      <c r="A251" s="18" t="s">
        <v>130</v>
      </c>
      <c r="B251" s="168" t="s">
        <v>1321</v>
      </c>
      <c r="C251" s="39" t="s">
        <v>10</v>
      </c>
      <c r="D251" s="39" t="s">
        <v>10</v>
      </c>
      <c r="E251" s="23" t="s">
        <v>10</v>
      </c>
      <c r="F251" s="23" t="s">
        <v>11</v>
      </c>
      <c r="G251" s="18" t="s">
        <v>1417</v>
      </c>
      <c r="H251" s="125">
        <v>11.4</v>
      </c>
      <c r="I251" s="127">
        <v>240</v>
      </c>
      <c r="J251" s="136">
        <v>96.5</v>
      </c>
      <c r="K251" s="21" t="s">
        <v>1216</v>
      </c>
      <c r="L251" s="49" t="s">
        <v>1356</v>
      </c>
      <c r="M251" s="138" t="s">
        <v>1358</v>
      </c>
      <c r="N251" s="174">
        <v>43388</v>
      </c>
      <c r="O251" s="49" t="s">
        <v>438</v>
      </c>
      <c r="P251" s="23" t="s">
        <v>17</v>
      </c>
      <c r="Q251" s="23" t="s">
        <v>17</v>
      </c>
      <c r="R251" s="151" t="s">
        <v>1362</v>
      </c>
      <c r="S251" s="23" t="s">
        <v>10</v>
      </c>
      <c r="T251" s="23" t="s">
        <v>11</v>
      </c>
      <c r="U251" s="19">
        <v>0.32</v>
      </c>
      <c r="V251" s="153"/>
      <c r="W251" s="153"/>
      <c r="X251" s="153">
        <v>240</v>
      </c>
      <c r="Y251" s="153">
        <v>660</v>
      </c>
      <c r="Z251" s="153">
        <v>800</v>
      </c>
      <c r="AA251" s="40">
        <v>1.1399999999999999</v>
      </c>
      <c r="AB251" s="40">
        <v>2.2799999999999998</v>
      </c>
      <c r="AC251" s="40">
        <v>3.42</v>
      </c>
      <c r="AD251" s="40">
        <v>5.7</v>
      </c>
      <c r="AE251" s="40">
        <v>8.5500000000000007</v>
      </c>
      <c r="AF251" s="40">
        <v>11.4</v>
      </c>
      <c r="AG251" s="40">
        <v>92.1</v>
      </c>
      <c r="AH251" s="40">
        <v>94.8</v>
      </c>
      <c r="AI251" s="40">
        <v>95.3</v>
      </c>
      <c r="AJ251" s="40">
        <v>95.8</v>
      </c>
      <c r="AK251" s="40">
        <v>95.9</v>
      </c>
      <c r="AL251" s="40">
        <v>95.8</v>
      </c>
      <c r="AM251" s="40">
        <v>95.6</v>
      </c>
      <c r="AN251" s="40">
        <v>93.7</v>
      </c>
      <c r="AO251" s="40">
        <v>96.1</v>
      </c>
      <c r="AP251" s="40">
        <v>96.6</v>
      </c>
      <c r="AQ251" s="40">
        <v>97</v>
      </c>
      <c r="AR251" s="40">
        <v>97.1</v>
      </c>
      <c r="AS251" s="40">
        <v>97.1</v>
      </c>
      <c r="AT251" s="40">
        <v>96.9</v>
      </c>
      <c r="AU251" s="40">
        <v>94.8</v>
      </c>
      <c r="AV251" s="40">
        <v>96.9</v>
      </c>
      <c r="AW251" s="40">
        <v>97.4</v>
      </c>
      <c r="AX251" s="40">
        <v>97.6</v>
      </c>
      <c r="AY251" s="40">
        <v>97.6</v>
      </c>
      <c r="AZ251" s="40">
        <v>97.6</v>
      </c>
      <c r="BA251" s="40">
        <v>97.4</v>
      </c>
      <c r="BB251" s="174">
        <v>43040</v>
      </c>
      <c r="BC251" s="174">
        <v>43525</v>
      </c>
    </row>
    <row r="252" spans="1:55" s="44" customFormat="1" ht="89.25">
      <c r="A252" s="18" t="s">
        <v>130</v>
      </c>
      <c r="B252" s="168" t="s">
        <v>1322</v>
      </c>
      <c r="C252" s="39" t="s">
        <v>10</v>
      </c>
      <c r="D252" s="39" t="s">
        <v>10</v>
      </c>
      <c r="E252" s="23" t="s">
        <v>10</v>
      </c>
      <c r="F252" s="23" t="s">
        <v>11</v>
      </c>
      <c r="G252" s="18" t="s">
        <v>1418</v>
      </c>
      <c r="H252" s="125">
        <v>12.5</v>
      </c>
      <c r="I252" s="127">
        <v>208</v>
      </c>
      <c r="J252" s="136">
        <v>96.5</v>
      </c>
      <c r="K252" s="21" t="s">
        <v>1216</v>
      </c>
      <c r="L252" s="49" t="s">
        <v>1356</v>
      </c>
      <c r="M252" s="138" t="s">
        <v>1358</v>
      </c>
      <c r="N252" s="174">
        <v>43388</v>
      </c>
      <c r="O252" s="49" t="s">
        <v>438</v>
      </c>
      <c r="P252" s="23" t="s">
        <v>17</v>
      </c>
      <c r="Q252" s="23" t="s">
        <v>17</v>
      </c>
      <c r="R252" s="151" t="s">
        <v>1363</v>
      </c>
      <c r="S252" s="23" t="s">
        <v>10</v>
      </c>
      <c r="T252" s="23" t="s">
        <v>11</v>
      </c>
      <c r="U252" s="19">
        <v>0.24</v>
      </c>
      <c r="V252" s="153"/>
      <c r="W252" s="153"/>
      <c r="X252" s="153">
        <v>260</v>
      </c>
      <c r="Y252" s="153">
        <v>665</v>
      </c>
      <c r="Z252" s="153">
        <v>800</v>
      </c>
      <c r="AA252" s="40">
        <v>1.25</v>
      </c>
      <c r="AB252" s="40">
        <v>2.5</v>
      </c>
      <c r="AC252" s="40">
        <v>3.75</v>
      </c>
      <c r="AD252" s="40">
        <v>6.25</v>
      </c>
      <c r="AE252" s="40">
        <v>9.3800000000000008</v>
      </c>
      <c r="AF252" s="40">
        <v>12.5</v>
      </c>
      <c r="AG252" s="40">
        <v>92.5</v>
      </c>
      <c r="AH252" s="40">
        <v>95.1</v>
      </c>
      <c r="AI252" s="40">
        <v>95.5</v>
      </c>
      <c r="AJ252" s="40">
        <v>95.9</v>
      </c>
      <c r="AK252" s="40">
        <v>95.9</v>
      </c>
      <c r="AL252" s="40">
        <v>95.6</v>
      </c>
      <c r="AM252" s="40">
        <v>95.6</v>
      </c>
      <c r="AN252" s="40">
        <v>95.3</v>
      </c>
      <c r="AO252" s="40">
        <v>96.9</v>
      </c>
      <c r="AP252" s="40">
        <v>97.3</v>
      </c>
      <c r="AQ252" s="40">
        <v>97.5</v>
      </c>
      <c r="AR252" s="40">
        <v>97.3</v>
      </c>
      <c r="AS252" s="40">
        <v>97.3</v>
      </c>
      <c r="AT252" s="40">
        <v>97.2</v>
      </c>
      <c r="AU252" s="40">
        <v>94.5</v>
      </c>
      <c r="AV252" s="40">
        <v>96.6</v>
      </c>
      <c r="AW252" s="40">
        <v>97</v>
      </c>
      <c r="AX252" s="40">
        <v>97.2</v>
      </c>
      <c r="AY252" s="40">
        <v>97.1</v>
      </c>
      <c r="AZ252" s="40">
        <v>97.2</v>
      </c>
      <c r="BA252" s="40">
        <v>97</v>
      </c>
      <c r="BB252" s="174">
        <v>43040</v>
      </c>
      <c r="BC252" s="174">
        <v>43525</v>
      </c>
    </row>
    <row r="253" spans="1:55" s="44" customFormat="1" ht="89.25">
      <c r="A253" s="18" t="s">
        <v>130</v>
      </c>
      <c r="B253" s="168" t="s">
        <v>1323</v>
      </c>
      <c r="C253" s="39" t="s">
        <v>10</v>
      </c>
      <c r="D253" s="39" t="s">
        <v>10</v>
      </c>
      <c r="E253" s="23" t="s">
        <v>10</v>
      </c>
      <c r="F253" s="23" t="s">
        <v>11</v>
      </c>
      <c r="G253" s="18" t="s">
        <v>1419</v>
      </c>
      <c r="H253" s="125">
        <v>12.5</v>
      </c>
      <c r="I253" s="127">
        <v>240</v>
      </c>
      <c r="J253" s="136">
        <v>96.5</v>
      </c>
      <c r="K253" s="21" t="s">
        <v>1216</v>
      </c>
      <c r="L253" s="49" t="s">
        <v>1356</v>
      </c>
      <c r="M253" s="138" t="s">
        <v>1358</v>
      </c>
      <c r="N253" s="174">
        <v>43388</v>
      </c>
      <c r="O253" s="49" t="s">
        <v>438</v>
      </c>
      <c r="P253" s="23" t="s">
        <v>17</v>
      </c>
      <c r="Q253" s="23" t="s">
        <v>17</v>
      </c>
      <c r="R253" s="151" t="s">
        <v>1364</v>
      </c>
      <c r="S253" s="23" t="s">
        <v>10</v>
      </c>
      <c r="T253" s="23" t="s">
        <v>11</v>
      </c>
      <c r="U253" s="19">
        <v>0.32</v>
      </c>
      <c r="V253" s="153"/>
      <c r="W253" s="153"/>
      <c r="X253" s="153">
        <v>260</v>
      </c>
      <c r="Y253" s="153">
        <v>660</v>
      </c>
      <c r="Z253" s="153">
        <v>800</v>
      </c>
      <c r="AA253" s="40">
        <v>1.25</v>
      </c>
      <c r="AB253" s="40">
        <v>2.5</v>
      </c>
      <c r="AC253" s="40">
        <v>3.75</v>
      </c>
      <c r="AD253" s="40">
        <v>6.25</v>
      </c>
      <c r="AE253" s="40">
        <v>9.3800000000000008</v>
      </c>
      <c r="AF253" s="40">
        <v>12.5</v>
      </c>
      <c r="AG253" s="40">
        <v>92.1</v>
      </c>
      <c r="AH253" s="40">
        <v>95</v>
      </c>
      <c r="AI253" s="40">
        <v>95.4</v>
      </c>
      <c r="AJ253" s="40">
        <v>95.9</v>
      </c>
      <c r="AK253" s="40">
        <v>95.9</v>
      </c>
      <c r="AL253" s="40">
        <v>95.8</v>
      </c>
      <c r="AM253" s="40">
        <v>95.6</v>
      </c>
      <c r="AN253" s="40">
        <v>93.7</v>
      </c>
      <c r="AO253" s="40">
        <v>96.2</v>
      </c>
      <c r="AP253" s="40">
        <v>96.6</v>
      </c>
      <c r="AQ253" s="40">
        <v>97</v>
      </c>
      <c r="AR253" s="40">
        <v>97.1</v>
      </c>
      <c r="AS253" s="40">
        <v>97.1</v>
      </c>
      <c r="AT253" s="40">
        <v>96.8</v>
      </c>
      <c r="AU253" s="40">
        <v>95.4</v>
      </c>
      <c r="AV253" s="40">
        <v>97.2</v>
      </c>
      <c r="AW253" s="40">
        <v>97.3</v>
      </c>
      <c r="AX253" s="40">
        <v>97.5</v>
      </c>
      <c r="AY253" s="40">
        <v>97.6</v>
      </c>
      <c r="AZ253" s="40">
        <v>97.7</v>
      </c>
      <c r="BA253" s="40">
        <v>97.5</v>
      </c>
      <c r="BB253" s="174">
        <v>43040</v>
      </c>
      <c r="BC253" s="174">
        <v>43525</v>
      </c>
    </row>
    <row r="254" spans="1:55" s="44" customFormat="1" ht="89.25">
      <c r="A254" s="18" t="s">
        <v>130</v>
      </c>
      <c r="B254" s="168" t="s">
        <v>1324</v>
      </c>
      <c r="C254" s="39" t="s">
        <v>10</v>
      </c>
      <c r="D254" s="39" t="s">
        <v>10</v>
      </c>
      <c r="E254" s="23" t="s">
        <v>10</v>
      </c>
      <c r="F254" s="23" t="s">
        <v>11</v>
      </c>
      <c r="G254" s="18" t="s">
        <v>1420</v>
      </c>
      <c r="H254" s="125">
        <v>13.75</v>
      </c>
      <c r="I254" s="127">
        <v>208</v>
      </c>
      <c r="J254" s="136">
        <v>97</v>
      </c>
      <c r="K254" s="21" t="s">
        <v>1216</v>
      </c>
      <c r="L254" s="49" t="s">
        <v>1356</v>
      </c>
      <c r="M254" s="138" t="s">
        <v>1358</v>
      </c>
      <c r="N254" s="174">
        <v>43388</v>
      </c>
      <c r="O254" s="49" t="s">
        <v>438</v>
      </c>
      <c r="P254" s="23" t="s">
        <v>17</v>
      </c>
      <c r="Q254" s="23" t="s">
        <v>17</v>
      </c>
      <c r="R254" s="151" t="s">
        <v>1365</v>
      </c>
      <c r="S254" s="23" t="s">
        <v>10</v>
      </c>
      <c r="T254" s="23" t="s">
        <v>11</v>
      </c>
      <c r="U254" s="19">
        <v>0.24</v>
      </c>
      <c r="V254" s="153"/>
      <c r="W254" s="153"/>
      <c r="X254" s="153">
        <v>320</v>
      </c>
      <c r="Y254" s="153">
        <v>680</v>
      </c>
      <c r="Z254" s="153">
        <v>800</v>
      </c>
      <c r="AA254" s="40">
        <v>1.38</v>
      </c>
      <c r="AB254" s="40">
        <v>2.75</v>
      </c>
      <c r="AC254" s="40">
        <v>4.13</v>
      </c>
      <c r="AD254" s="40">
        <v>6.88</v>
      </c>
      <c r="AE254" s="40">
        <v>10.31</v>
      </c>
      <c r="AF254" s="40">
        <v>13.75</v>
      </c>
      <c r="AG254" s="40">
        <v>93.3</v>
      </c>
      <c r="AH254" s="40">
        <v>95.7</v>
      </c>
      <c r="AI254" s="40">
        <v>96</v>
      </c>
      <c r="AJ254" s="40">
        <v>96.3</v>
      </c>
      <c r="AK254" s="40">
        <v>96.2</v>
      </c>
      <c r="AL254" s="40">
        <v>96</v>
      </c>
      <c r="AM254" s="40">
        <v>96</v>
      </c>
      <c r="AN254" s="40">
        <v>95.9</v>
      </c>
      <c r="AO254" s="40">
        <v>97.1</v>
      </c>
      <c r="AP254" s="40">
        <v>97.4</v>
      </c>
      <c r="AQ254" s="40">
        <v>97.4</v>
      </c>
      <c r="AR254" s="40">
        <v>97.4</v>
      </c>
      <c r="AS254" s="40">
        <v>97.2</v>
      </c>
      <c r="AT254" s="40">
        <v>97.3</v>
      </c>
      <c r="AU254" s="40">
        <v>95.1</v>
      </c>
      <c r="AV254" s="40">
        <v>96.8</v>
      </c>
      <c r="AW254" s="40">
        <v>97.1</v>
      </c>
      <c r="AX254" s="40">
        <v>97.2</v>
      </c>
      <c r="AY254" s="40">
        <v>97.2</v>
      </c>
      <c r="AZ254" s="40">
        <v>97.1</v>
      </c>
      <c r="BA254" s="40">
        <v>97.1</v>
      </c>
      <c r="BB254" s="174">
        <v>43040</v>
      </c>
      <c r="BC254" s="174">
        <v>43525</v>
      </c>
    </row>
    <row r="255" spans="1:55" s="44" customFormat="1" ht="89.25">
      <c r="A255" s="18" t="s">
        <v>130</v>
      </c>
      <c r="B255" s="168" t="s">
        <v>1325</v>
      </c>
      <c r="C255" s="39" t="s">
        <v>10</v>
      </c>
      <c r="D255" s="39" t="s">
        <v>10</v>
      </c>
      <c r="E255" s="23" t="s">
        <v>10</v>
      </c>
      <c r="F255" s="23" t="s">
        <v>11</v>
      </c>
      <c r="G255" s="18" t="s">
        <v>1421</v>
      </c>
      <c r="H255" s="125">
        <v>15</v>
      </c>
      <c r="I255" s="127">
        <v>240</v>
      </c>
      <c r="J255" s="136">
        <v>97</v>
      </c>
      <c r="K255" s="21" t="s">
        <v>1216</v>
      </c>
      <c r="L255" s="49" t="s">
        <v>1356</v>
      </c>
      <c r="M255" s="138" t="s">
        <v>1358</v>
      </c>
      <c r="N255" s="174">
        <v>43388</v>
      </c>
      <c r="O255" s="49" t="s">
        <v>438</v>
      </c>
      <c r="P255" s="23" t="s">
        <v>17</v>
      </c>
      <c r="Q255" s="23" t="s">
        <v>17</v>
      </c>
      <c r="R255" s="151" t="s">
        <v>1366</v>
      </c>
      <c r="S255" s="23" t="s">
        <v>10</v>
      </c>
      <c r="T255" s="23" t="s">
        <v>11</v>
      </c>
      <c r="U255" s="19">
        <v>0.32</v>
      </c>
      <c r="V255" s="153"/>
      <c r="W255" s="153"/>
      <c r="X255" s="153">
        <v>320</v>
      </c>
      <c r="Y255" s="153">
        <v>680</v>
      </c>
      <c r="Z255" s="153">
        <v>800</v>
      </c>
      <c r="AA255" s="40">
        <v>1.5</v>
      </c>
      <c r="AB255" s="40">
        <v>3</v>
      </c>
      <c r="AC255" s="40">
        <v>4.5</v>
      </c>
      <c r="AD255" s="40">
        <v>7.5</v>
      </c>
      <c r="AE255" s="40">
        <v>11.25</v>
      </c>
      <c r="AF255" s="40">
        <v>15</v>
      </c>
      <c r="AG255" s="40">
        <v>93.5</v>
      </c>
      <c r="AH255" s="40">
        <v>95.5</v>
      </c>
      <c r="AI255" s="40">
        <v>96</v>
      </c>
      <c r="AJ255" s="40">
        <v>96.3</v>
      </c>
      <c r="AK255" s="40">
        <v>96.3</v>
      </c>
      <c r="AL255" s="40">
        <v>96.1</v>
      </c>
      <c r="AM255" s="40">
        <v>96.1</v>
      </c>
      <c r="AN255" s="40">
        <v>94.5</v>
      </c>
      <c r="AO255" s="40">
        <v>96.5</v>
      </c>
      <c r="AP255" s="40">
        <v>96.9</v>
      </c>
      <c r="AQ255" s="40">
        <v>97.2</v>
      </c>
      <c r="AR255" s="40">
        <v>97.2</v>
      </c>
      <c r="AS255" s="40">
        <v>97</v>
      </c>
      <c r="AT255" s="40">
        <v>97</v>
      </c>
      <c r="AU255" s="40">
        <v>95.7</v>
      </c>
      <c r="AV255" s="40">
        <v>97.2</v>
      </c>
      <c r="AW255" s="40">
        <v>97.5</v>
      </c>
      <c r="AX255" s="40">
        <v>97.6</v>
      </c>
      <c r="AY255" s="40">
        <v>97.6</v>
      </c>
      <c r="AZ255" s="40">
        <v>97.4</v>
      </c>
      <c r="BA255" s="40">
        <v>97.5</v>
      </c>
      <c r="BB255" s="174">
        <v>43040</v>
      </c>
      <c r="BC255" s="174">
        <v>43525</v>
      </c>
    </row>
    <row r="256" spans="1:55" s="44" customFormat="1" ht="105">
      <c r="A256" s="18" t="s">
        <v>130</v>
      </c>
      <c r="B256" s="18" t="s">
        <v>358</v>
      </c>
      <c r="C256" s="23" t="s">
        <v>10</v>
      </c>
      <c r="D256" s="23" t="s">
        <v>10</v>
      </c>
      <c r="E256" s="23" t="s">
        <v>10</v>
      </c>
      <c r="F256" s="23" t="s">
        <v>11</v>
      </c>
      <c r="G256" s="147" t="s">
        <v>1404</v>
      </c>
      <c r="H256" s="19">
        <v>3.8</v>
      </c>
      <c r="I256" s="19">
        <v>208</v>
      </c>
      <c r="J256" s="19">
        <v>96</v>
      </c>
      <c r="K256" s="21" t="s">
        <v>1216</v>
      </c>
      <c r="L256" s="49" t="s">
        <v>1356</v>
      </c>
      <c r="M256" s="21" t="s">
        <v>1357</v>
      </c>
      <c r="N256" s="174">
        <v>43388</v>
      </c>
      <c r="O256" s="49" t="s">
        <v>437</v>
      </c>
      <c r="P256" s="23" t="s">
        <v>17</v>
      </c>
      <c r="Q256" s="23" t="s">
        <v>17</v>
      </c>
      <c r="R256" s="150"/>
      <c r="S256" s="20" t="s">
        <v>10</v>
      </c>
      <c r="T256" s="20" t="s">
        <v>11</v>
      </c>
      <c r="U256" s="19">
        <v>0.41</v>
      </c>
      <c r="V256" s="19"/>
      <c r="W256" s="19"/>
      <c r="X256" s="19">
        <v>100</v>
      </c>
      <c r="Y256" s="19">
        <v>650</v>
      </c>
      <c r="Z256" s="19">
        <v>800</v>
      </c>
      <c r="AA256" s="40">
        <v>0.38</v>
      </c>
      <c r="AB256" s="40">
        <v>0.76</v>
      </c>
      <c r="AC256" s="40">
        <v>1.1399999999999999</v>
      </c>
      <c r="AD256" s="40">
        <v>1.9</v>
      </c>
      <c r="AE256" s="40">
        <v>2.85</v>
      </c>
      <c r="AF256" s="40">
        <v>3.8</v>
      </c>
      <c r="AG256" s="40">
        <v>87.3</v>
      </c>
      <c r="AH256" s="40">
        <v>92.4</v>
      </c>
      <c r="AI256" s="40">
        <v>93.9</v>
      </c>
      <c r="AJ256" s="40">
        <v>95.2</v>
      </c>
      <c r="AK256" s="40">
        <v>95.6</v>
      </c>
      <c r="AL256" s="40">
        <v>95.7</v>
      </c>
      <c r="AM256" s="40">
        <v>94.8</v>
      </c>
      <c r="AN256" s="40">
        <v>90.7</v>
      </c>
      <c r="AO256" s="40">
        <v>95.2</v>
      </c>
      <c r="AP256" s="40">
        <v>96.4</v>
      </c>
      <c r="AQ256" s="40">
        <v>97.2</v>
      </c>
      <c r="AR256" s="40">
        <v>97.5</v>
      </c>
      <c r="AS256" s="40">
        <v>97.6</v>
      </c>
      <c r="AT256" s="40">
        <v>96.9</v>
      </c>
      <c r="AU256" s="40">
        <v>85.7</v>
      </c>
      <c r="AV256" s="40">
        <v>93.4</v>
      </c>
      <c r="AW256" s="40">
        <v>95.2</v>
      </c>
      <c r="AX256" s="40">
        <v>96.6</v>
      </c>
      <c r="AY256" s="40">
        <v>97.1</v>
      </c>
      <c r="AZ256" s="40">
        <v>97.3</v>
      </c>
      <c r="BA256" s="40">
        <v>96.1</v>
      </c>
      <c r="BB256" s="174">
        <v>42948</v>
      </c>
      <c r="BC256" s="174">
        <v>43525</v>
      </c>
    </row>
    <row r="257" spans="1:55" s="44" customFormat="1" ht="105">
      <c r="A257" s="18" t="s">
        <v>130</v>
      </c>
      <c r="B257" s="18" t="s">
        <v>359</v>
      </c>
      <c r="C257" s="23" t="s">
        <v>10</v>
      </c>
      <c r="D257" s="23" t="s">
        <v>10</v>
      </c>
      <c r="E257" s="23" t="s">
        <v>10</v>
      </c>
      <c r="F257" s="23" t="s">
        <v>11</v>
      </c>
      <c r="G257" s="147" t="s">
        <v>1405</v>
      </c>
      <c r="H257" s="19">
        <v>3.8</v>
      </c>
      <c r="I257" s="19">
        <v>240</v>
      </c>
      <c r="J257" s="19">
        <v>95.5</v>
      </c>
      <c r="K257" s="21" t="s">
        <v>1216</v>
      </c>
      <c r="L257" s="49" t="s">
        <v>1356</v>
      </c>
      <c r="M257" s="21" t="s">
        <v>1357</v>
      </c>
      <c r="N257" s="174">
        <v>43388</v>
      </c>
      <c r="O257" s="49" t="s">
        <v>437</v>
      </c>
      <c r="P257" s="23" t="s">
        <v>17</v>
      </c>
      <c r="Q257" s="23" t="s">
        <v>17</v>
      </c>
      <c r="R257" s="150"/>
      <c r="S257" s="20" t="s">
        <v>10</v>
      </c>
      <c r="T257" s="20" t="s">
        <v>11</v>
      </c>
      <c r="U257" s="19">
        <v>0.55000000000000004</v>
      </c>
      <c r="V257" s="19"/>
      <c r="W257" s="19"/>
      <c r="X257" s="19">
        <v>100</v>
      </c>
      <c r="Y257" s="19">
        <v>650</v>
      </c>
      <c r="Z257" s="19">
        <v>800</v>
      </c>
      <c r="AA257" s="40">
        <v>0.38</v>
      </c>
      <c r="AB257" s="40">
        <v>0.76</v>
      </c>
      <c r="AC257" s="40">
        <v>1.1399999999999999</v>
      </c>
      <c r="AD257" s="40">
        <v>1.9</v>
      </c>
      <c r="AE257" s="40">
        <v>2.85</v>
      </c>
      <c r="AF257" s="40">
        <v>3.8</v>
      </c>
      <c r="AG257" s="40">
        <v>85.5</v>
      </c>
      <c r="AH257" s="40">
        <v>91.5</v>
      </c>
      <c r="AI257" s="40">
        <v>93.3</v>
      </c>
      <c r="AJ257" s="40">
        <v>94.8</v>
      </c>
      <c r="AK257" s="40">
        <v>95.4</v>
      </c>
      <c r="AL257" s="40">
        <v>95.6</v>
      </c>
      <c r="AM257" s="40">
        <v>94.4</v>
      </c>
      <c r="AN257" s="40">
        <v>87.2</v>
      </c>
      <c r="AO257" s="40">
        <v>93.4</v>
      </c>
      <c r="AP257" s="40">
        <v>95</v>
      </c>
      <c r="AQ257" s="40">
        <v>96.4</v>
      </c>
      <c r="AR257" s="40">
        <v>96.9</v>
      </c>
      <c r="AS257" s="40">
        <v>97.2</v>
      </c>
      <c r="AT257" s="40">
        <v>96</v>
      </c>
      <c r="AU257" s="40">
        <v>87</v>
      </c>
      <c r="AV257" s="40">
        <v>93.7</v>
      </c>
      <c r="AW257" s="40">
        <v>95.5</v>
      </c>
      <c r="AX257" s="40">
        <v>96.9</v>
      </c>
      <c r="AY257" s="40">
        <v>97.4</v>
      </c>
      <c r="AZ257" s="40">
        <v>97.6</v>
      </c>
      <c r="BA257" s="40">
        <v>96.5</v>
      </c>
      <c r="BB257" s="174">
        <v>42948</v>
      </c>
      <c r="BC257" s="174">
        <v>43525</v>
      </c>
    </row>
    <row r="258" spans="1:55" s="44" customFormat="1" ht="105">
      <c r="A258" s="18" t="s">
        <v>130</v>
      </c>
      <c r="B258" s="18" t="s">
        <v>360</v>
      </c>
      <c r="C258" s="23" t="s">
        <v>10</v>
      </c>
      <c r="D258" s="23" t="s">
        <v>10</v>
      </c>
      <c r="E258" s="23" t="s">
        <v>10</v>
      </c>
      <c r="F258" s="23" t="s">
        <v>11</v>
      </c>
      <c r="G258" s="147" t="s">
        <v>1406</v>
      </c>
      <c r="H258" s="19">
        <v>5</v>
      </c>
      <c r="I258" s="19">
        <v>208</v>
      </c>
      <c r="J258" s="19">
        <v>96.5</v>
      </c>
      <c r="K258" s="21" t="s">
        <v>1216</v>
      </c>
      <c r="L258" s="49" t="s">
        <v>1356</v>
      </c>
      <c r="M258" s="21" t="s">
        <v>1357</v>
      </c>
      <c r="N258" s="174">
        <v>43388</v>
      </c>
      <c r="O258" s="49" t="s">
        <v>437</v>
      </c>
      <c r="P258" s="23" t="s">
        <v>17</v>
      </c>
      <c r="Q258" s="23" t="s">
        <v>17</v>
      </c>
      <c r="R258" s="150"/>
      <c r="S258" s="20" t="s">
        <v>10</v>
      </c>
      <c r="T258" s="20" t="s">
        <v>11</v>
      </c>
      <c r="U258" s="19">
        <v>0.41</v>
      </c>
      <c r="V258" s="19"/>
      <c r="W258" s="19"/>
      <c r="X258" s="19">
        <v>100</v>
      </c>
      <c r="Y258" s="19">
        <v>650</v>
      </c>
      <c r="Z258" s="19">
        <v>800</v>
      </c>
      <c r="AA258" s="40">
        <v>0.5</v>
      </c>
      <c r="AB258" s="40">
        <v>1</v>
      </c>
      <c r="AC258" s="40">
        <v>1.5</v>
      </c>
      <c r="AD258" s="40">
        <v>2.5</v>
      </c>
      <c r="AE258" s="40">
        <v>3.75</v>
      </c>
      <c r="AF258" s="40">
        <v>5</v>
      </c>
      <c r="AG258" s="40">
        <v>89.4</v>
      </c>
      <c r="AH258" s="40">
        <v>93.8</v>
      </c>
      <c r="AI258" s="40">
        <v>94.8</v>
      </c>
      <c r="AJ258" s="40">
        <v>95.8</v>
      </c>
      <c r="AK258" s="40">
        <v>96</v>
      </c>
      <c r="AL258" s="40">
        <v>96</v>
      </c>
      <c r="AM258" s="40">
        <v>95.4</v>
      </c>
      <c r="AN258" s="40">
        <v>92.5</v>
      </c>
      <c r="AO258" s="40">
        <v>96</v>
      </c>
      <c r="AP258" s="40">
        <v>96.8</v>
      </c>
      <c r="AQ258" s="40">
        <v>97.5</v>
      </c>
      <c r="AR258" s="40">
        <v>97.6</v>
      </c>
      <c r="AS258" s="40">
        <v>97.6</v>
      </c>
      <c r="AT258" s="40">
        <v>97.2</v>
      </c>
      <c r="AU258" s="40">
        <v>89.3</v>
      </c>
      <c r="AV258" s="40">
        <v>94.6</v>
      </c>
      <c r="AW258" s="40">
        <v>96</v>
      </c>
      <c r="AX258" s="40">
        <v>97</v>
      </c>
      <c r="AY258" s="40">
        <v>97.3</v>
      </c>
      <c r="AZ258" s="40">
        <v>97.4</v>
      </c>
      <c r="BA258" s="40">
        <v>96.6</v>
      </c>
      <c r="BB258" s="174">
        <v>42948</v>
      </c>
      <c r="BC258" s="174">
        <v>43525</v>
      </c>
    </row>
    <row r="259" spans="1:55" s="44" customFormat="1" ht="105">
      <c r="A259" s="18" t="s">
        <v>130</v>
      </c>
      <c r="B259" s="18" t="s">
        <v>361</v>
      </c>
      <c r="C259" s="23" t="s">
        <v>10</v>
      </c>
      <c r="D259" s="23" t="s">
        <v>10</v>
      </c>
      <c r="E259" s="23" t="s">
        <v>10</v>
      </c>
      <c r="F259" s="23" t="s">
        <v>11</v>
      </c>
      <c r="G259" s="147" t="s">
        <v>1407</v>
      </c>
      <c r="H259" s="19">
        <v>5</v>
      </c>
      <c r="I259" s="19">
        <v>240</v>
      </c>
      <c r="J259" s="19">
        <v>96.5</v>
      </c>
      <c r="K259" s="21" t="s">
        <v>1216</v>
      </c>
      <c r="L259" s="49" t="s">
        <v>1356</v>
      </c>
      <c r="M259" s="21" t="s">
        <v>1357</v>
      </c>
      <c r="N259" s="174">
        <v>43388</v>
      </c>
      <c r="O259" s="49" t="s">
        <v>437</v>
      </c>
      <c r="P259" s="23" t="s">
        <v>17</v>
      </c>
      <c r="Q259" s="23" t="s">
        <v>17</v>
      </c>
      <c r="R259" s="150"/>
      <c r="S259" s="20" t="s">
        <v>10</v>
      </c>
      <c r="T259" s="20" t="s">
        <v>11</v>
      </c>
      <c r="U259" s="19">
        <v>0.55000000000000004</v>
      </c>
      <c r="V259" s="19"/>
      <c r="W259" s="19"/>
      <c r="X259" s="19">
        <v>100</v>
      </c>
      <c r="Y259" s="19">
        <v>660</v>
      </c>
      <c r="Z259" s="19">
        <v>800</v>
      </c>
      <c r="AA259" s="40">
        <v>0.5</v>
      </c>
      <c r="AB259" s="40">
        <v>1</v>
      </c>
      <c r="AC259" s="40">
        <v>1.5</v>
      </c>
      <c r="AD259" s="40">
        <v>2.5</v>
      </c>
      <c r="AE259" s="40">
        <v>3.75</v>
      </c>
      <c r="AF259" s="40">
        <v>5</v>
      </c>
      <c r="AG259" s="40">
        <v>89</v>
      </c>
      <c r="AH259" s="40">
        <v>93.2</v>
      </c>
      <c r="AI259" s="40">
        <v>94.6</v>
      </c>
      <c r="AJ259" s="40">
        <v>95.6</v>
      </c>
      <c r="AK259" s="40">
        <v>95.9</v>
      </c>
      <c r="AL259" s="40">
        <v>96</v>
      </c>
      <c r="AM259" s="40">
        <v>95.3</v>
      </c>
      <c r="AN259" s="40">
        <v>91.6</v>
      </c>
      <c r="AO259" s="40">
        <v>95.4</v>
      </c>
      <c r="AP259" s="40">
        <v>96.4</v>
      </c>
      <c r="AQ259" s="40">
        <v>97.1</v>
      </c>
      <c r="AR259" s="40">
        <v>97.4</v>
      </c>
      <c r="AS259" s="40">
        <v>97.4</v>
      </c>
      <c r="AT259" s="40">
        <v>96.9</v>
      </c>
      <c r="AU259" s="40">
        <v>92.3</v>
      </c>
      <c r="AV259" s="40">
        <v>96</v>
      </c>
      <c r="AW259" s="40">
        <v>97</v>
      </c>
      <c r="AX259" s="40">
        <v>97.7</v>
      </c>
      <c r="AY259" s="40">
        <v>97.9</v>
      </c>
      <c r="AZ259" s="40">
        <v>97.9</v>
      </c>
      <c r="BA259" s="40">
        <v>97.4</v>
      </c>
      <c r="BB259" s="174">
        <v>42948</v>
      </c>
      <c r="BC259" s="174">
        <v>43525</v>
      </c>
    </row>
    <row r="260" spans="1:55" s="44" customFormat="1" ht="105">
      <c r="A260" s="18" t="s">
        <v>130</v>
      </c>
      <c r="B260" s="18" t="s">
        <v>362</v>
      </c>
      <c r="C260" s="23" t="s">
        <v>10</v>
      </c>
      <c r="D260" s="23" t="s">
        <v>10</v>
      </c>
      <c r="E260" s="23" t="s">
        <v>10</v>
      </c>
      <c r="F260" s="23" t="s">
        <v>11</v>
      </c>
      <c r="G260" s="147" t="s">
        <v>1408</v>
      </c>
      <c r="H260" s="19">
        <v>6</v>
      </c>
      <c r="I260" s="19">
        <v>208</v>
      </c>
      <c r="J260" s="19">
        <v>96.5</v>
      </c>
      <c r="K260" s="21" t="s">
        <v>1216</v>
      </c>
      <c r="L260" s="49" t="s">
        <v>1356</v>
      </c>
      <c r="M260" s="21" t="s">
        <v>1357</v>
      </c>
      <c r="N260" s="174">
        <v>43388</v>
      </c>
      <c r="O260" s="49" t="s">
        <v>437</v>
      </c>
      <c r="P260" s="23" t="s">
        <v>17</v>
      </c>
      <c r="Q260" s="23" t="s">
        <v>17</v>
      </c>
      <c r="R260" s="150"/>
      <c r="S260" s="20" t="s">
        <v>10</v>
      </c>
      <c r="T260" s="20" t="s">
        <v>11</v>
      </c>
      <c r="U260" s="19">
        <v>0.41</v>
      </c>
      <c r="V260" s="19"/>
      <c r="W260" s="19"/>
      <c r="X260" s="19">
        <v>100</v>
      </c>
      <c r="Y260" s="19">
        <v>660</v>
      </c>
      <c r="Z260" s="19">
        <v>800</v>
      </c>
      <c r="AA260" s="40">
        <v>0.6</v>
      </c>
      <c r="AB260" s="40">
        <v>1.2</v>
      </c>
      <c r="AC260" s="40">
        <v>1.8</v>
      </c>
      <c r="AD260" s="40">
        <v>3</v>
      </c>
      <c r="AE260" s="40">
        <v>4.5</v>
      </c>
      <c r="AF260" s="40">
        <v>6</v>
      </c>
      <c r="AG260" s="40">
        <v>90.7</v>
      </c>
      <c r="AH260" s="40">
        <v>94.4</v>
      </c>
      <c r="AI260" s="40">
        <v>95.2</v>
      </c>
      <c r="AJ260" s="40">
        <v>95.9</v>
      </c>
      <c r="AK260" s="40">
        <v>96</v>
      </c>
      <c r="AL260" s="40">
        <v>95.9</v>
      </c>
      <c r="AM260" s="40">
        <v>95.6</v>
      </c>
      <c r="AN260" s="40">
        <v>93.5</v>
      </c>
      <c r="AO260" s="40">
        <v>96.5</v>
      </c>
      <c r="AP260" s="40">
        <v>97.1</v>
      </c>
      <c r="AQ260" s="40">
        <v>97.6</v>
      </c>
      <c r="AR260" s="40">
        <v>97.6</v>
      </c>
      <c r="AS260" s="40">
        <v>97.6</v>
      </c>
      <c r="AT260" s="40">
        <v>97.3</v>
      </c>
      <c r="AU260" s="40">
        <v>91</v>
      </c>
      <c r="AV260" s="40">
        <v>95.4</v>
      </c>
      <c r="AW260" s="40">
        <v>96.4</v>
      </c>
      <c r="AX260" s="40">
        <v>97.2</v>
      </c>
      <c r="AY260" s="40">
        <v>97.3</v>
      </c>
      <c r="AZ260" s="40">
        <v>97.4</v>
      </c>
      <c r="BA260" s="40">
        <v>96.8</v>
      </c>
      <c r="BB260" s="174">
        <v>42948</v>
      </c>
      <c r="BC260" s="174">
        <v>43525</v>
      </c>
    </row>
    <row r="261" spans="1:55" s="44" customFormat="1" ht="105">
      <c r="A261" s="18" t="s">
        <v>130</v>
      </c>
      <c r="B261" s="18" t="s">
        <v>363</v>
      </c>
      <c r="C261" s="23" t="s">
        <v>10</v>
      </c>
      <c r="D261" s="23" t="s">
        <v>10</v>
      </c>
      <c r="E261" s="23" t="s">
        <v>10</v>
      </c>
      <c r="F261" s="23" t="s">
        <v>11</v>
      </c>
      <c r="G261" s="147" t="s">
        <v>1409</v>
      </c>
      <c r="H261" s="19">
        <v>6</v>
      </c>
      <c r="I261" s="19">
        <v>240</v>
      </c>
      <c r="J261" s="19">
        <v>96.5</v>
      </c>
      <c r="K261" s="21" t="s">
        <v>1216</v>
      </c>
      <c r="L261" s="49" t="s">
        <v>1356</v>
      </c>
      <c r="M261" s="21" t="s">
        <v>1357</v>
      </c>
      <c r="N261" s="174">
        <v>43388</v>
      </c>
      <c r="O261" s="49" t="s">
        <v>437</v>
      </c>
      <c r="P261" s="23" t="s">
        <v>17</v>
      </c>
      <c r="Q261" s="23" t="s">
        <v>17</v>
      </c>
      <c r="R261" s="150"/>
      <c r="S261" s="20" t="s">
        <v>10</v>
      </c>
      <c r="T261" s="20" t="s">
        <v>11</v>
      </c>
      <c r="U261" s="19">
        <v>0.55000000000000004</v>
      </c>
      <c r="V261" s="19"/>
      <c r="W261" s="19"/>
      <c r="X261" s="19">
        <v>100</v>
      </c>
      <c r="Y261" s="19">
        <v>660</v>
      </c>
      <c r="Z261" s="19">
        <v>800</v>
      </c>
      <c r="AA261" s="40">
        <v>0.6</v>
      </c>
      <c r="AB261" s="40">
        <v>1.2</v>
      </c>
      <c r="AC261" s="40">
        <v>1.8</v>
      </c>
      <c r="AD261" s="40">
        <v>3</v>
      </c>
      <c r="AE261" s="40">
        <v>4.5</v>
      </c>
      <c r="AF261" s="40">
        <v>6</v>
      </c>
      <c r="AG261" s="40">
        <v>89.8</v>
      </c>
      <c r="AH261" s="40">
        <v>93.6</v>
      </c>
      <c r="AI261" s="40">
        <v>94.9</v>
      </c>
      <c r="AJ261" s="40">
        <v>95.8</v>
      </c>
      <c r="AK261" s="40">
        <v>96</v>
      </c>
      <c r="AL261" s="40">
        <v>96</v>
      </c>
      <c r="AM261" s="40">
        <v>95.4</v>
      </c>
      <c r="AN261" s="40">
        <v>91.4</v>
      </c>
      <c r="AO261" s="40">
        <v>95.3</v>
      </c>
      <c r="AP261" s="40">
        <v>96.3</v>
      </c>
      <c r="AQ261" s="40">
        <v>97</v>
      </c>
      <c r="AR261" s="40">
        <v>97.3</v>
      </c>
      <c r="AS261" s="40">
        <v>97.3</v>
      </c>
      <c r="AT261" s="40">
        <v>96.8</v>
      </c>
      <c r="AU261" s="40">
        <v>91.7</v>
      </c>
      <c r="AV261" s="40">
        <v>95.7</v>
      </c>
      <c r="AW261" s="40">
        <v>96.7</v>
      </c>
      <c r="AX261" s="40">
        <v>97.5</v>
      </c>
      <c r="AY261" s="40">
        <v>97.7</v>
      </c>
      <c r="AZ261" s="40">
        <v>97.7</v>
      </c>
      <c r="BA261" s="40">
        <v>97.2</v>
      </c>
      <c r="BB261" s="174">
        <v>42948</v>
      </c>
      <c r="BC261" s="174">
        <v>43525</v>
      </c>
    </row>
    <row r="262" spans="1:55" s="44" customFormat="1" ht="105">
      <c r="A262" s="18" t="s">
        <v>130</v>
      </c>
      <c r="B262" s="18" t="s">
        <v>364</v>
      </c>
      <c r="C262" s="23" t="s">
        <v>10</v>
      </c>
      <c r="D262" s="23" t="s">
        <v>10</v>
      </c>
      <c r="E262" s="23" t="s">
        <v>10</v>
      </c>
      <c r="F262" s="23" t="s">
        <v>11</v>
      </c>
      <c r="G262" s="147" t="s">
        <v>1410</v>
      </c>
      <c r="H262" s="19">
        <v>7.6</v>
      </c>
      <c r="I262" s="19">
        <v>208</v>
      </c>
      <c r="J262" s="19">
        <v>97</v>
      </c>
      <c r="K262" s="21" t="s">
        <v>1216</v>
      </c>
      <c r="L262" s="49" t="s">
        <v>1356</v>
      </c>
      <c r="M262" s="21" t="s">
        <v>1357</v>
      </c>
      <c r="N262" s="174">
        <v>43388</v>
      </c>
      <c r="O262" s="49" t="s">
        <v>437</v>
      </c>
      <c r="P262" s="23" t="s">
        <v>17</v>
      </c>
      <c r="Q262" s="23" t="s">
        <v>17</v>
      </c>
      <c r="R262" s="150"/>
      <c r="S262" s="20" t="s">
        <v>10</v>
      </c>
      <c r="T262" s="20" t="s">
        <v>11</v>
      </c>
      <c r="U262" s="19">
        <v>0.41</v>
      </c>
      <c r="V262" s="19"/>
      <c r="W262" s="19"/>
      <c r="X262" s="19">
        <v>100</v>
      </c>
      <c r="Y262" s="19">
        <v>660</v>
      </c>
      <c r="Z262" s="19">
        <v>800</v>
      </c>
      <c r="AA262" s="40">
        <v>0.76</v>
      </c>
      <c r="AB262" s="40">
        <v>1.52</v>
      </c>
      <c r="AC262" s="40">
        <v>2.2799999999999998</v>
      </c>
      <c r="AD262" s="40">
        <v>3.8</v>
      </c>
      <c r="AE262" s="40">
        <v>5.7</v>
      </c>
      <c r="AF262" s="40">
        <v>7.6</v>
      </c>
      <c r="AG262" s="40">
        <v>92.7</v>
      </c>
      <c r="AH262" s="40">
        <v>95.1</v>
      </c>
      <c r="AI262" s="40">
        <v>95.8</v>
      </c>
      <c r="AJ262" s="40">
        <v>96.1</v>
      </c>
      <c r="AK262" s="40">
        <v>96.1</v>
      </c>
      <c r="AL262" s="40">
        <v>95.8</v>
      </c>
      <c r="AM262" s="40">
        <v>95.8</v>
      </c>
      <c r="AN262" s="40">
        <v>96</v>
      </c>
      <c r="AO262" s="40">
        <v>97.4</v>
      </c>
      <c r="AP262" s="40">
        <v>97.7</v>
      </c>
      <c r="AQ262" s="40">
        <v>97.8</v>
      </c>
      <c r="AR262" s="40">
        <v>97.7</v>
      </c>
      <c r="AS262" s="40">
        <v>97.6</v>
      </c>
      <c r="AT262" s="40">
        <v>97.7</v>
      </c>
      <c r="AU262" s="40">
        <v>94.1</v>
      </c>
      <c r="AV262" s="40">
        <v>96.7</v>
      </c>
      <c r="AW262" s="40">
        <v>97.3</v>
      </c>
      <c r="AX262" s="40">
        <v>97.6</v>
      </c>
      <c r="AY262" s="40">
        <v>97.5</v>
      </c>
      <c r="AZ262" s="40">
        <v>97.4</v>
      </c>
      <c r="BA262" s="40">
        <v>97.3</v>
      </c>
      <c r="BB262" s="174">
        <v>42948</v>
      </c>
      <c r="BC262" s="174">
        <v>43525</v>
      </c>
    </row>
    <row r="263" spans="1:55" s="44" customFormat="1" ht="105">
      <c r="A263" s="18" t="s">
        <v>130</v>
      </c>
      <c r="B263" s="18" t="s">
        <v>365</v>
      </c>
      <c r="C263" s="23" t="s">
        <v>10</v>
      </c>
      <c r="D263" s="23" t="s">
        <v>10</v>
      </c>
      <c r="E263" s="23" t="s">
        <v>10</v>
      </c>
      <c r="F263" s="23" t="s">
        <v>11</v>
      </c>
      <c r="G263" s="147" t="s">
        <v>1411</v>
      </c>
      <c r="H263" s="19">
        <v>7.6</v>
      </c>
      <c r="I263" s="19">
        <v>240</v>
      </c>
      <c r="J263" s="19">
        <v>97</v>
      </c>
      <c r="K263" s="21" t="s">
        <v>1216</v>
      </c>
      <c r="L263" s="49" t="s">
        <v>1356</v>
      </c>
      <c r="M263" s="21" t="s">
        <v>1357</v>
      </c>
      <c r="N263" s="174">
        <v>43388</v>
      </c>
      <c r="O263" s="49" t="s">
        <v>437</v>
      </c>
      <c r="P263" s="23" t="s">
        <v>17</v>
      </c>
      <c r="Q263" s="23" t="s">
        <v>17</v>
      </c>
      <c r="R263" s="150"/>
      <c r="S263" s="20" t="s">
        <v>10</v>
      </c>
      <c r="T263" s="20" t="s">
        <v>11</v>
      </c>
      <c r="U263" s="19">
        <v>0.55000000000000004</v>
      </c>
      <c r="V263" s="19"/>
      <c r="W263" s="19"/>
      <c r="X263" s="19">
        <v>100</v>
      </c>
      <c r="Y263" s="19">
        <v>660</v>
      </c>
      <c r="Z263" s="19">
        <v>800</v>
      </c>
      <c r="AA263" s="40">
        <v>0.76</v>
      </c>
      <c r="AB263" s="40">
        <v>1.52</v>
      </c>
      <c r="AC263" s="40">
        <v>2.2799999999999998</v>
      </c>
      <c r="AD263" s="40">
        <v>3.8</v>
      </c>
      <c r="AE263" s="40">
        <v>5.7</v>
      </c>
      <c r="AF263" s="40">
        <v>7.6</v>
      </c>
      <c r="AG263" s="40">
        <v>91.6</v>
      </c>
      <c r="AH263" s="40">
        <v>94.8</v>
      </c>
      <c r="AI263" s="40">
        <v>95.5</v>
      </c>
      <c r="AJ263" s="40">
        <v>96</v>
      </c>
      <c r="AK263" s="40">
        <v>96.1</v>
      </c>
      <c r="AL263" s="40">
        <v>95.9</v>
      </c>
      <c r="AM263" s="40">
        <v>95.7</v>
      </c>
      <c r="AN263" s="40">
        <v>94</v>
      </c>
      <c r="AO263" s="40">
        <v>96.4</v>
      </c>
      <c r="AP263" s="40">
        <v>97</v>
      </c>
      <c r="AQ263" s="40">
        <v>97.4</v>
      </c>
      <c r="AR263" s="40">
        <v>97.5</v>
      </c>
      <c r="AS263" s="40">
        <v>97.4</v>
      </c>
      <c r="AT263" s="40">
        <v>97.2</v>
      </c>
      <c r="AU263" s="40">
        <v>94.6</v>
      </c>
      <c r="AV263" s="40">
        <v>97</v>
      </c>
      <c r="AW263" s="40">
        <v>97.6</v>
      </c>
      <c r="AX263" s="40">
        <v>97.9</v>
      </c>
      <c r="AY263" s="40">
        <v>97.9</v>
      </c>
      <c r="AZ263" s="40">
        <v>97.8</v>
      </c>
      <c r="BA263" s="40">
        <v>97.7</v>
      </c>
      <c r="BB263" s="174">
        <v>42948</v>
      </c>
      <c r="BC263" s="174">
        <v>43525</v>
      </c>
    </row>
    <row r="264" spans="1:55" s="44" customFormat="1" ht="105">
      <c r="A264" s="18" t="s">
        <v>130</v>
      </c>
      <c r="B264" s="18" t="s">
        <v>366</v>
      </c>
      <c r="C264" s="23" t="s">
        <v>10</v>
      </c>
      <c r="D264" s="23" t="s">
        <v>10</v>
      </c>
      <c r="E264" s="23" t="s">
        <v>10</v>
      </c>
      <c r="F264" s="23" t="s">
        <v>11</v>
      </c>
      <c r="G264" s="147" t="s">
        <v>1412</v>
      </c>
      <c r="H264" s="19">
        <v>7.9</v>
      </c>
      <c r="I264" s="19">
        <v>208</v>
      </c>
      <c r="J264" s="19">
        <v>97</v>
      </c>
      <c r="K264" s="21" t="s">
        <v>1216</v>
      </c>
      <c r="L264" s="49" t="s">
        <v>1356</v>
      </c>
      <c r="M264" s="21" t="s">
        <v>1357</v>
      </c>
      <c r="N264" s="174">
        <v>43388</v>
      </c>
      <c r="O264" s="49" t="s">
        <v>437</v>
      </c>
      <c r="P264" s="23" t="s">
        <v>17</v>
      </c>
      <c r="Q264" s="23" t="s">
        <v>17</v>
      </c>
      <c r="R264" s="150"/>
      <c r="S264" s="20" t="s">
        <v>10</v>
      </c>
      <c r="T264" s="20" t="s">
        <v>11</v>
      </c>
      <c r="U264" s="19">
        <v>0.41</v>
      </c>
      <c r="V264" s="19"/>
      <c r="W264" s="19"/>
      <c r="X264" s="19">
        <v>100</v>
      </c>
      <c r="Y264" s="19">
        <v>660</v>
      </c>
      <c r="Z264" s="19">
        <v>800</v>
      </c>
      <c r="AA264" s="40">
        <v>0.79</v>
      </c>
      <c r="AB264" s="40">
        <v>1.58</v>
      </c>
      <c r="AC264" s="40">
        <v>2.37</v>
      </c>
      <c r="AD264" s="40">
        <v>3.95</v>
      </c>
      <c r="AE264" s="40">
        <v>5.93</v>
      </c>
      <c r="AF264" s="40">
        <v>7.9</v>
      </c>
      <c r="AG264" s="40">
        <v>93</v>
      </c>
      <c r="AH264" s="40">
        <v>95.3</v>
      </c>
      <c r="AI264" s="40">
        <v>95.9</v>
      </c>
      <c r="AJ264" s="40">
        <v>96.2</v>
      </c>
      <c r="AK264" s="40">
        <v>96.2</v>
      </c>
      <c r="AL264" s="40">
        <v>95.9</v>
      </c>
      <c r="AM264" s="40">
        <v>96</v>
      </c>
      <c r="AN264" s="40">
        <v>95.8</v>
      </c>
      <c r="AO264" s="40">
        <v>97.3</v>
      </c>
      <c r="AP264" s="40">
        <v>97.7</v>
      </c>
      <c r="AQ264" s="40">
        <v>97.8</v>
      </c>
      <c r="AR264" s="40">
        <v>97.8</v>
      </c>
      <c r="AS264" s="40">
        <v>97.5</v>
      </c>
      <c r="AT264" s="40">
        <v>97.7</v>
      </c>
      <c r="AU264" s="40">
        <v>94</v>
      </c>
      <c r="AV264" s="40">
        <v>96.7</v>
      </c>
      <c r="AW264" s="40">
        <v>97.3</v>
      </c>
      <c r="AX264" s="40">
        <v>97.6</v>
      </c>
      <c r="AY264" s="40">
        <v>97.6</v>
      </c>
      <c r="AZ264" s="40">
        <v>97.4</v>
      </c>
      <c r="BA264" s="40">
        <v>97.3</v>
      </c>
      <c r="BB264" s="174">
        <v>42948</v>
      </c>
      <c r="BC264" s="174">
        <v>43525</v>
      </c>
    </row>
    <row r="265" spans="1:55" s="44" customFormat="1" ht="105">
      <c r="A265" s="18" t="s">
        <v>130</v>
      </c>
      <c r="B265" s="18" t="s">
        <v>367</v>
      </c>
      <c r="C265" s="23" t="s">
        <v>10</v>
      </c>
      <c r="D265" s="23" t="s">
        <v>10</v>
      </c>
      <c r="E265" s="23" t="s">
        <v>10</v>
      </c>
      <c r="F265" s="23" t="s">
        <v>11</v>
      </c>
      <c r="G265" s="147" t="s">
        <v>1413</v>
      </c>
      <c r="H265" s="19">
        <v>8.1999999999999993</v>
      </c>
      <c r="I265" s="19">
        <v>240</v>
      </c>
      <c r="J265" s="19">
        <v>97</v>
      </c>
      <c r="K265" s="21" t="s">
        <v>1216</v>
      </c>
      <c r="L265" s="49" t="s">
        <v>1356</v>
      </c>
      <c r="M265" s="21" t="s">
        <v>1357</v>
      </c>
      <c r="N265" s="174">
        <v>43388</v>
      </c>
      <c r="O265" s="49" t="s">
        <v>437</v>
      </c>
      <c r="P265" s="23" t="s">
        <v>17</v>
      </c>
      <c r="Q265" s="23" t="s">
        <v>17</v>
      </c>
      <c r="R265" s="150"/>
      <c r="S265" s="20" t="s">
        <v>10</v>
      </c>
      <c r="T265" s="20" t="s">
        <v>11</v>
      </c>
      <c r="U265" s="19">
        <v>0.55000000000000004</v>
      </c>
      <c r="V265" s="19"/>
      <c r="W265" s="19"/>
      <c r="X265" s="19">
        <v>100</v>
      </c>
      <c r="Y265" s="19">
        <v>660</v>
      </c>
      <c r="Z265" s="19">
        <v>800</v>
      </c>
      <c r="AA265" s="40">
        <v>0.82</v>
      </c>
      <c r="AB265" s="40">
        <v>1.64</v>
      </c>
      <c r="AC265" s="40">
        <v>2.46</v>
      </c>
      <c r="AD265" s="40">
        <v>4.0999999999999996</v>
      </c>
      <c r="AE265" s="40">
        <v>6.15</v>
      </c>
      <c r="AF265" s="40">
        <v>8.1999999999999993</v>
      </c>
      <c r="AG265" s="40">
        <v>92.1</v>
      </c>
      <c r="AH265" s="40">
        <v>94.9</v>
      </c>
      <c r="AI265" s="40">
        <v>95.7</v>
      </c>
      <c r="AJ265" s="40">
        <v>96.2</v>
      </c>
      <c r="AK265" s="40">
        <v>96.2</v>
      </c>
      <c r="AL265" s="40">
        <v>96.1</v>
      </c>
      <c r="AM265" s="40">
        <v>95.9</v>
      </c>
      <c r="AN265" s="40">
        <v>94.2</v>
      </c>
      <c r="AO265" s="40">
        <v>96.6</v>
      </c>
      <c r="AP265" s="40">
        <v>97.1</v>
      </c>
      <c r="AQ265" s="40">
        <v>97.4</v>
      </c>
      <c r="AR265" s="40">
        <v>97.4</v>
      </c>
      <c r="AS265" s="40">
        <v>97.4</v>
      </c>
      <c r="AT265" s="40">
        <v>97.2</v>
      </c>
      <c r="AU265" s="40">
        <v>94.7</v>
      </c>
      <c r="AV265" s="40">
        <v>97.1</v>
      </c>
      <c r="AW265" s="40">
        <v>97.6</v>
      </c>
      <c r="AX265" s="40">
        <v>97.9</v>
      </c>
      <c r="AY265" s="40">
        <v>97.9</v>
      </c>
      <c r="AZ265" s="40">
        <v>97.8</v>
      </c>
      <c r="BA265" s="40">
        <v>97.7</v>
      </c>
      <c r="BB265" s="174">
        <v>42948</v>
      </c>
      <c r="BC265" s="174">
        <v>43525</v>
      </c>
    </row>
    <row r="266" spans="1:55" s="44" customFormat="1" ht="105">
      <c r="A266" s="18" t="s">
        <v>130</v>
      </c>
      <c r="B266" s="18" t="s">
        <v>368</v>
      </c>
      <c r="C266" s="23" t="s">
        <v>10</v>
      </c>
      <c r="D266" s="23" t="s">
        <v>10</v>
      </c>
      <c r="E266" s="23" t="s">
        <v>10</v>
      </c>
      <c r="F266" s="23" t="s">
        <v>11</v>
      </c>
      <c r="G266" s="148" t="s">
        <v>1343</v>
      </c>
      <c r="H266" s="19">
        <v>9.9949999999999992</v>
      </c>
      <c r="I266" s="19">
        <v>208</v>
      </c>
      <c r="J266" s="19">
        <v>96.5</v>
      </c>
      <c r="K266" s="21" t="s">
        <v>1216</v>
      </c>
      <c r="L266" s="49" t="s">
        <v>1284</v>
      </c>
      <c r="M266" s="23" t="s">
        <v>1285</v>
      </c>
      <c r="N266" s="174">
        <v>43388</v>
      </c>
      <c r="O266" s="49" t="s">
        <v>439</v>
      </c>
      <c r="P266" s="23" t="s">
        <v>17</v>
      </c>
      <c r="Q266" s="23" t="s">
        <v>17</v>
      </c>
      <c r="R266" s="151"/>
      <c r="S266" s="23" t="s">
        <v>10</v>
      </c>
      <c r="T266" s="23" t="s">
        <v>11</v>
      </c>
      <c r="U266" s="125">
        <v>0.81</v>
      </c>
      <c r="V266" s="135"/>
      <c r="W266" s="135"/>
      <c r="X266" s="135">
        <v>100</v>
      </c>
      <c r="Y266" s="135">
        <v>370</v>
      </c>
      <c r="Z266" s="135">
        <v>480</v>
      </c>
      <c r="AA266" s="126">
        <v>1</v>
      </c>
      <c r="AB266" s="126">
        <v>2</v>
      </c>
      <c r="AC266" s="126">
        <v>3</v>
      </c>
      <c r="AD266" s="126">
        <v>5</v>
      </c>
      <c r="AE266" s="126">
        <v>7.5</v>
      </c>
      <c r="AF266" s="126">
        <v>10</v>
      </c>
      <c r="AG266" s="126">
        <v>94</v>
      </c>
      <c r="AH266" s="126">
        <v>95.6</v>
      </c>
      <c r="AI266" s="126">
        <v>96.1</v>
      </c>
      <c r="AJ266" s="126">
        <v>96.2</v>
      </c>
      <c r="AK266" s="126">
        <v>96.2</v>
      </c>
      <c r="AL266" s="126">
        <v>96</v>
      </c>
      <c r="AM266" s="126">
        <v>96.1</v>
      </c>
      <c r="AN266" s="126">
        <v>95.4</v>
      </c>
      <c r="AO266" s="126">
        <v>96.8</v>
      </c>
      <c r="AP266" s="126">
        <v>97</v>
      </c>
      <c r="AQ266" s="126">
        <v>97.1</v>
      </c>
      <c r="AR266" s="126">
        <v>97.1</v>
      </c>
      <c r="AS266" s="126">
        <v>96.9</v>
      </c>
      <c r="AT266" s="126">
        <v>97</v>
      </c>
      <c r="AU266" s="126">
        <v>94.8</v>
      </c>
      <c r="AV266" s="126">
        <v>96.4</v>
      </c>
      <c r="AW266" s="126">
        <v>96.7</v>
      </c>
      <c r="AX266" s="126">
        <v>96.9</v>
      </c>
      <c r="AY266" s="126">
        <v>96.9</v>
      </c>
      <c r="AZ266" s="126">
        <v>96.7</v>
      </c>
      <c r="BA266" s="126">
        <v>96.7</v>
      </c>
      <c r="BB266" s="174">
        <v>43070</v>
      </c>
      <c r="BC266" s="174">
        <v>43525</v>
      </c>
    </row>
    <row r="267" spans="1:55" s="44" customFormat="1" ht="105">
      <c r="A267" s="18" t="s">
        <v>130</v>
      </c>
      <c r="B267" s="18" t="s">
        <v>369</v>
      </c>
      <c r="C267" s="23" t="s">
        <v>10</v>
      </c>
      <c r="D267" s="23" t="s">
        <v>10</v>
      </c>
      <c r="E267" s="23" t="s">
        <v>10</v>
      </c>
      <c r="F267" s="23" t="s">
        <v>11</v>
      </c>
      <c r="G267" s="148" t="s">
        <v>1345</v>
      </c>
      <c r="H267" s="19">
        <v>9.9949999999999992</v>
      </c>
      <c r="I267" s="19">
        <v>240</v>
      </c>
      <c r="J267" s="19">
        <v>96.5</v>
      </c>
      <c r="K267" s="21" t="s">
        <v>1216</v>
      </c>
      <c r="L267" s="49" t="s">
        <v>1284</v>
      </c>
      <c r="M267" s="23" t="s">
        <v>1285</v>
      </c>
      <c r="N267" s="174">
        <v>43388</v>
      </c>
      <c r="O267" s="49" t="s">
        <v>439</v>
      </c>
      <c r="P267" s="23" t="s">
        <v>17</v>
      </c>
      <c r="Q267" s="23" t="s">
        <v>17</v>
      </c>
      <c r="R267" s="151"/>
      <c r="S267" s="23" t="s">
        <v>10</v>
      </c>
      <c r="T267" s="23" t="s">
        <v>11</v>
      </c>
      <c r="U267" s="125">
        <v>0.8</v>
      </c>
      <c r="V267" s="135"/>
      <c r="W267" s="135"/>
      <c r="X267" s="135">
        <v>100</v>
      </c>
      <c r="Y267" s="135">
        <v>370</v>
      </c>
      <c r="Z267" s="135">
        <v>480</v>
      </c>
      <c r="AA267" s="126">
        <v>1</v>
      </c>
      <c r="AB267" s="126">
        <v>2</v>
      </c>
      <c r="AC267" s="126">
        <v>3</v>
      </c>
      <c r="AD267" s="126">
        <v>5</v>
      </c>
      <c r="AE267" s="126">
        <v>7.5</v>
      </c>
      <c r="AF267" s="126">
        <v>10</v>
      </c>
      <c r="AG267" s="126">
        <v>94</v>
      </c>
      <c r="AH267" s="126">
        <v>95.6</v>
      </c>
      <c r="AI267" s="126">
        <v>96.1</v>
      </c>
      <c r="AJ267" s="126">
        <v>96.2</v>
      </c>
      <c r="AK267" s="126">
        <v>96.2</v>
      </c>
      <c r="AL267" s="126">
        <v>96</v>
      </c>
      <c r="AM267" s="126">
        <v>96.1</v>
      </c>
      <c r="AN267" s="126">
        <v>95.4</v>
      </c>
      <c r="AO267" s="126">
        <v>96.8</v>
      </c>
      <c r="AP267" s="126">
        <v>97</v>
      </c>
      <c r="AQ267" s="126">
        <v>97.1</v>
      </c>
      <c r="AR267" s="126">
        <v>97.1</v>
      </c>
      <c r="AS267" s="126">
        <v>96.9</v>
      </c>
      <c r="AT267" s="126">
        <v>97</v>
      </c>
      <c r="AU267" s="126">
        <v>94.8</v>
      </c>
      <c r="AV267" s="126">
        <v>96.4</v>
      </c>
      <c r="AW267" s="126">
        <v>96.7</v>
      </c>
      <c r="AX267" s="126">
        <v>96.9</v>
      </c>
      <c r="AY267" s="126">
        <v>96.9</v>
      </c>
      <c r="AZ267" s="126">
        <v>96.7</v>
      </c>
      <c r="BA267" s="126">
        <v>96.7</v>
      </c>
      <c r="BB267" s="174">
        <v>43070</v>
      </c>
      <c r="BC267" s="174">
        <v>43525</v>
      </c>
    </row>
    <row r="268" spans="1:55" s="44" customFormat="1" ht="105">
      <c r="A268" s="18" t="s">
        <v>130</v>
      </c>
      <c r="B268" s="18" t="s">
        <v>370</v>
      </c>
      <c r="C268" s="23" t="s">
        <v>10</v>
      </c>
      <c r="D268" s="23" t="s">
        <v>10</v>
      </c>
      <c r="E268" s="23" t="s">
        <v>10</v>
      </c>
      <c r="F268" s="23" t="s">
        <v>11</v>
      </c>
      <c r="G268" s="18" t="s">
        <v>1353</v>
      </c>
      <c r="H268" s="19">
        <v>9.9949999999999992</v>
      </c>
      <c r="I268" s="19">
        <v>480</v>
      </c>
      <c r="J268" s="19">
        <v>96.5</v>
      </c>
      <c r="K268" s="21" t="s">
        <v>1216</v>
      </c>
      <c r="L268" s="49" t="s">
        <v>1286</v>
      </c>
      <c r="M268" s="21" t="s">
        <v>1287</v>
      </c>
      <c r="N268" s="174">
        <v>43388</v>
      </c>
      <c r="O268" s="49" t="s">
        <v>440</v>
      </c>
      <c r="P268" s="23" t="s">
        <v>17</v>
      </c>
      <c r="Q268" s="23" t="s">
        <v>17</v>
      </c>
      <c r="R268" s="150"/>
      <c r="S268" s="20" t="s">
        <v>10</v>
      </c>
      <c r="T268" s="20" t="s">
        <v>11</v>
      </c>
      <c r="U268" s="19">
        <v>0.86</v>
      </c>
      <c r="V268" s="19"/>
      <c r="W268" s="19"/>
      <c r="X268" s="19">
        <v>100</v>
      </c>
      <c r="Y268" s="19">
        <v>670</v>
      </c>
      <c r="Z268" s="19">
        <v>800</v>
      </c>
      <c r="AA268" s="40">
        <v>1</v>
      </c>
      <c r="AB268" s="40">
        <v>2</v>
      </c>
      <c r="AC268" s="40">
        <v>3</v>
      </c>
      <c r="AD268" s="40">
        <v>5</v>
      </c>
      <c r="AE268" s="40">
        <v>7.5</v>
      </c>
      <c r="AF268" s="40">
        <v>10</v>
      </c>
      <c r="AG268" s="40">
        <v>89.6</v>
      </c>
      <c r="AH268" s="40">
        <v>93.7</v>
      </c>
      <c r="AI268" s="40">
        <v>94.8</v>
      </c>
      <c r="AJ268" s="40">
        <v>95.3</v>
      </c>
      <c r="AK268" s="40">
        <v>96</v>
      </c>
      <c r="AL268" s="40">
        <v>96.2</v>
      </c>
      <c r="AM268" s="40">
        <v>95.3</v>
      </c>
      <c r="AN268" s="40">
        <v>91.8</v>
      </c>
      <c r="AO268" s="40">
        <v>95.2</v>
      </c>
      <c r="AP268" s="40">
        <v>96.1</v>
      </c>
      <c r="AQ268" s="40">
        <v>96.7</v>
      </c>
      <c r="AR268" s="40">
        <v>97.2</v>
      </c>
      <c r="AS268" s="40">
        <v>97.3</v>
      </c>
      <c r="AT268" s="40">
        <v>96.6</v>
      </c>
      <c r="AU268" s="40">
        <v>92.9</v>
      </c>
      <c r="AV268" s="40">
        <v>96.1</v>
      </c>
      <c r="AW268" s="40">
        <v>96.9</v>
      </c>
      <c r="AX268" s="40">
        <v>97.3</v>
      </c>
      <c r="AY268" s="40">
        <v>97.7</v>
      </c>
      <c r="AZ268" s="40">
        <v>97.8</v>
      </c>
      <c r="BA268" s="40">
        <v>97.2</v>
      </c>
      <c r="BB268" s="174">
        <v>42948</v>
      </c>
      <c r="BC268" s="174">
        <v>43525</v>
      </c>
    </row>
    <row r="269" spans="1:55" s="44" customFormat="1" ht="105">
      <c r="A269" s="18" t="s">
        <v>130</v>
      </c>
      <c r="B269" s="18" t="s">
        <v>371</v>
      </c>
      <c r="C269" s="23" t="s">
        <v>10</v>
      </c>
      <c r="D269" s="23" t="s">
        <v>10</v>
      </c>
      <c r="E269" s="23" t="s">
        <v>10</v>
      </c>
      <c r="F269" s="23" t="s">
        <v>11</v>
      </c>
      <c r="G269" s="148" t="s">
        <v>1346</v>
      </c>
      <c r="H269" s="19">
        <v>12</v>
      </c>
      <c r="I269" s="19">
        <v>208</v>
      </c>
      <c r="J269" s="19">
        <v>96.5</v>
      </c>
      <c r="K269" s="21" t="s">
        <v>1216</v>
      </c>
      <c r="L269" s="49" t="s">
        <v>1284</v>
      </c>
      <c r="M269" s="23" t="s">
        <v>1285</v>
      </c>
      <c r="N269" s="174">
        <v>43388</v>
      </c>
      <c r="O269" s="49" t="s">
        <v>439</v>
      </c>
      <c r="P269" s="23" t="s">
        <v>17</v>
      </c>
      <c r="Q269" s="23" t="s">
        <v>17</v>
      </c>
      <c r="R269" s="151"/>
      <c r="S269" s="23" t="s">
        <v>10</v>
      </c>
      <c r="T269" s="23" t="s">
        <v>11</v>
      </c>
      <c r="U269" s="125">
        <v>0.61</v>
      </c>
      <c r="V269" s="135"/>
      <c r="W269" s="135"/>
      <c r="X269" s="135">
        <v>300</v>
      </c>
      <c r="Y269" s="135">
        <v>350</v>
      </c>
      <c r="Z269" s="135">
        <v>480</v>
      </c>
      <c r="AA269" s="126">
        <v>1.2</v>
      </c>
      <c r="AB269" s="126">
        <v>2.4</v>
      </c>
      <c r="AC269" s="126">
        <v>3.6</v>
      </c>
      <c r="AD269" s="126">
        <v>6</v>
      </c>
      <c r="AE269" s="126">
        <v>9</v>
      </c>
      <c r="AF269" s="126">
        <v>12</v>
      </c>
      <c r="AG269" s="126">
        <v>95.4</v>
      </c>
      <c r="AH269" s="126">
        <v>96.2</v>
      </c>
      <c r="AI269" s="126">
        <v>96.3</v>
      </c>
      <c r="AJ269" s="126">
        <v>96.2</v>
      </c>
      <c r="AK269" s="126">
        <v>95.9</v>
      </c>
      <c r="AL269" s="126">
        <v>95.4</v>
      </c>
      <c r="AM269" s="126">
        <v>95.9</v>
      </c>
      <c r="AN269" s="126">
        <v>96.3</v>
      </c>
      <c r="AO269" s="126">
        <v>96.9</v>
      </c>
      <c r="AP269" s="126">
        <v>96.9</v>
      </c>
      <c r="AQ269" s="126">
        <v>96.8</v>
      </c>
      <c r="AR269" s="126">
        <v>96.5</v>
      </c>
      <c r="AS269" s="126">
        <v>96.2</v>
      </c>
      <c r="AT269" s="126">
        <v>96.6</v>
      </c>
      <c r="AU269" s="126">
        <v>94.7</v>
      </c>
      <c r="AV269" s="126">
        <v>96.1</v>
      </c>
      <c r="AW269" s="126">
        <v>96.4</v>
      </c>
      <c r="AX269" s="126">
        <v>96.4</v>
      </c>
      <c r="AY269" s="126">
        <v>96.3</v>
      </c>
      <c r="AZ269" s="126">
        <v>96</v>
      </c>
      <c r="BA269" s="126">
        <v>96.2</v>
      </c>
      <c r="BB269" s="174">
        <v>43070</v>
      </c>
      <c r="BC269" s="174">
        <v>43525</v>
      </c>
    </row>
    <row r="270" spans="1:55" s="44" customFormat="1" ht="105">
      <c r="A270" s="18" t="s">
        <v>130</v>
      </c>
      <c r="B270" s="18" t="s">
        <v>372</v>
      </c>
      <c r="C270" s="23" t="s">
        <v>10</v>
      </c>
      <c r="D270" s="23" t="s">
        <v>10</v>
      </c>
      <c r="E270" s="23" t="s">
        <v>10</v>
      </c>
      <c r="F270" s="23" t="s">
        <v>11</v>
      </c>
      <c r="G270" s="148" t="s">
        <v>1347</v>
      </c>
      <c r="H270" s="19">
        <v>12</v>
      </c>
      <c r="I270" s="19">
        <v>240</v>
      </c>
      <c r="J270" s="19">
        <v>96.5</v>
      </c>
      <c r="K270" s="21" t="s">
        <v>1216</v>
      </c>
      <c r="L270" s="49" t="s">
        <v>1284</v>
      </c>
      <c r="M270" s="23" t="s">
        <v>1285</v>
      </c>
      <c r="N270" s="174">
        <v>43388</v>
      </c>
      <c r="O270" s="49" t="s">
        <v>439</v>
      </c>
      <c r="P270" s="23" t="s">
        <v>17</v>
      </c>
      <c r="Q270" s="23" t="s">
        <v>17</v>
      </c>
      <c r="R270" s="151"/>
      <c r="S270" s="23" t="s">
        <v>10</v>
      </c>
      <c r="T270" s="23" t="s">
        <v>11</v>
      </c>
      <c r="U270" s="125">
        <v>0.81</v>
      </c>
      <c r="V270" s="135"/>
      <c r="W270" s="135"/>
      <c r="X270" s="135">
        <v>300</v>
      </c>
      <c r="Y270" s="135">
        <v>370</v>
      </c>
      <c r="Z270" s="135">
        <v>480</v>
      </c>
      <c r="AA270" s="126">
        <v>1.2</v>
      </c>
      <c r="AB270" s="126">
        <v>2.4</v>
      </c>
      <c r="AC270" s="126">
        <v>3.6</v>
      </c>
      <c r="AD270" s="126">
        <v>6</v>
      </c>
      <c r="AE270" s="126">
        <v>9</v>
      </c>
      <c r="AF270" s="126">
        <v>12</v>
      </c>
      <c r="AG270" s="126">
        <v>94.4</v>
      </c>
      <c r="AH270" s="126">
        <v>95.9</v>
      </c>
      <c r="AI270" s="126">
        <v>96.2</v>
      </c>
      <c r="AJ270" s="126">
        <v>96.3</v>
      </c>
      <c r="AK270" s="126">
        <v>96.1</v>
      </c>
      <c r="AL270" s="126">
        <v>95.8</v>
      </c>
      <c r="AM270" s="126">
        <v>96.1</v>
      </c>
      <c r="AN270" s="126">
        <v>96</v>
      </c>
      <c r="AO270" s="126">
        <v>96.9</v>
      </c>
      <c r="AP270" s="126">
        <v>97.1</v>
      </c>
      <c r="AQ270" s="126">
        <v>97.1</v>
      </c>
      <c r="AR270" s="126">
        <v>97</v>
      </c>
      <c r="AS270" s="126">
        <v>96.8</v>
      </c>
      <c r="AT270" s="126">
        <v>97</v>
      </c>
      <c r="AU270" s="126">
        <v>95.2</v>
      </c>
      <c r="AV270" s="126">
        <v>96.6</v>
      </c>
      <c r="AW270" s="126">
        <v>96.8</v>
      </c>
      <c r="AX270" s="126">
        <v>96.9</v>
      </c>
      <c r="AY270" s="126">
        <v>96.8</v>
      </c>
      <c r="AZ270" s="126">
        <v>96.6</v>
      </c>
      <c r="BA270" s="126">
        <v>96.7</v>
      </c>
      <c r="BB270" s="174">
        <v>43070</v>
      </c>
      <c r="BC270" s="174">
        <v>43525</v>
      </c>
    </row>
    <row r="271" spans="1:55" s="44" customFormat="1" ht="105">
      <c r="A271" s="18" t="s">
        <v>130</v>
      </c>
      <c r="B271" s="18" t="s">
        <v>373</v>
      </c>
      <c r="C271" s="23" t="s">
        <v>10</v>
      </c>
      <c r="D271" s="23" t="s">
        <v>10</v>
      </c>
      <c r="E271" s="23" t="s">
        <v>10</v>
      </c>
      <c r="F271" s="23" t="s">
        <v>11</v>
      </c>
      <c r="G271" s="18" t="s">
        <v>1354</v>
      </c>
      <c r="H271" s="19">
        <v>12.5</v>
      </c>
      <c r="I271" s="19">
        <v>480</v>
      </c>
      <c r="J271" s="19">
        <v>97</v>
      </c>
      <c r="K271" s="21" t="s">
        <v>1216</v>
      </c>
      <c r="L271" s="49" t="s">
        <v>1286</v>
      </c>
      <c r="M271" s="21" t="s">
        <v>1287</v>
      </c>
      <c r="N271" s="174">
        <v>43388</v>
      </c>
      <c r="O271" s="49" t="s">
        <v>440</v>
      </c>
      <c r="P271" s="23" t="s">
        <v>17</v>
      </c>
      <c r="Q271" s="23" t="s">
        <v>17</v>
      </c>
      <c r="R271" s="150"/>
      <c r="S271" s="20" t="s">
        <v>10</v>
      </c>
      <c r="T271" s="20" t="s">
        <v>11</v>
      </c>
      <c r="U271" s="19">
        <v>0.94</v>
      </c>
      <c r="V271" s="19"/>
      <c r="W271" s="19"/>
      <c r="X271" s="19">
        <v>350</v>
      </c>
      <c r="Y271" s="19">
        <v>685</v>
      </c>
      <c r="Z271" s="19">
        <v>800</v>
      </c>
      <c r="AA271" s="40">
        <v>1.25</v>
      </c>
      <c r="AB271" s="40">
        <v>2.5</v>
      </c>
      <c r="AC271" s="40">
        <v>3.75</v>
      </c>
      <c r="AD271" s="40">
        <v>6.25</v>
      </c>
      <c r="AE271" s="40">
        <v>9.3699999999999992</v>
      </c>
      <c r="AF271" s="40">
        <v>12.5</v>
      </c>
      <c r="AG271" s="40">
        <v>92.5</v>
      </c>
      <c r="AH271" s="40">
        <v>94.9</v>
      </c>
      <c r="AI271" s="40">
        <v>95.6</v>
      </c>
      <c r="AJ271" s="40">
        <v>96</v>
      </c>
      <c r="AK271" s="40">
        <v>96.4</v>
      </c>
      <c r="AL271" s="40">
        <v>96.5</v>
      </c>
      <c r="AM271" s="40">
        <v>96</v>
      </c>
      <c r="AN271" s="40">
        <v>94.4</v>
      </c>
      <c r="AO271" s="40">
        <v>96.5</v>
      </c>
      <c r="AP271" s="40">
        <v>97</v>
      </c>
      <c r="AQ271" s="40">
        <v>97.3</v>
      </c>
      <c r="AR271" s="40">
        <v>97.5</v>
      </c>
      <c r="AS271" s="40">
        <v>97.5</v>
      </c>
      <c r="AT271" s="40">
        <v>97.2</v>
      </c>
      <c r="AU271" s="40">
        <v>95.6</v>
      </c>
      <c r="AV271" s="40">
        <v>97.3</v>
      </c>
      <c r="AW271" s="40">
        <v>97.7</v>
      </c>
      <c r="AX271" s="40">
        <v>97.9</v>
      </c>
      <c r="AY271" s="40">
        <v>98</v>
      </c>
      <c r="AZ271" s="40">
        <v>98</v>
      </c>
      <c r="BA271" s="40">
        <v>97.8</v>
      </c>
      <c r="BB271" s="174">
        <v>42948</v>
      </c>
      <c r="BC271" s="174">
        <v>43525</v>
      </c>
    </row>
    <row r="272" spans="1:55" s="44" customFormat="1" ht="45">
      <c r="A272" s="18" t="s">
        <v>130</v>
      </c>
      <c r="B272" s="18" t="s">
        <v>1313</v>
      </c>
      <c r="C272" s="158" t="s">
        <v>10</v>
      </c>
      <c r="D272" s="158" t="s">
        <v>10</v>
      </c>
      <c r="E272" s="158" t="s">
        <v>10</v>
      </c>
      <c r="F272" s="158" t="s">
        <v>11</v>
      </c>
      <c r="G272" s="168" t="s">
        <v>1352</v>
      </c>
      <c r="H272" s="169">
        <v>15</v>
      </c>
      <c r="I272" s="159">
        <v>208</v>
      </c>
      <c r="J272" s="164">
        <v>96.5</v>
      </c>
      <c r="K272" s="160" t="s">
        <v>1216</v>
      </c>
      <c r="L272" s="38" t="s">
        <v>441</v>
      </c>
      <c r="M272" s="38" t="s">
        <v>1314</v>
      </c>
      <c r="N272" s="174">
        <v>43388</v>
      </c>
      <c r="O272" s="38" t="s">
        <v>441</v>
      </c>
      <c r="P272" s="38" t="s">
        <v>17</v>
      </c>
      <c r="Q272" s="160" t="s">
        <v>17</v>
      </c>
      <c r="R272" s="151" t="s">
        <v>1315</v>
      </c>
      <c r="S272" s="161" t="s">
        <v>10</v>
      </c>
      <c r="T272" s="161" t="s">
        <v>11</v>
      </c>
      <c r="U272" s="162">
        <v>0.43</v>
      </c>
      <c r="V272" s="163"/>
      <c r="W272" s="163"/>
      <c r="X272" s="163">
        <v>325</v>
      </c>
      <c r="Y272" s="163">
        <v>445</v>
      </c>
      <c r="Z272" s="163">
        <v>800</v>
      </c>
      <c r="AA272" s="162">
        <v>1.5</v>
      </c>
      <c r="AB272" s="162">
        <v>3</v>
      </c>
      <c r="AC272" s="162">
        <v>4.5</v>
      </c>
      <c r="AD272" s="162">
        <v>7.5</v>
      </c>
      <c r="AE272" s="162">
        <v>11.25</v>
      </c>
      <c r="AF272" s="162">
        <v>15</v>
      </c>
      <c r="AG272" s="164">
        <v>96.1</v>
      </c>
      <c r="AH272" s="164">
        <v>97</v>
      </c>
      <c r="AI272" s="164">
        <v>97.1</v>
      </c>
      <c r="AJ272" s="164">
        <v>97.1</v>
      </c>
      <c r="AK272" s="164">
        <v>96.9</v>
      </c>
      <c r="AL272" s="164">
        <v>96.7</v>
      </c>
      <c r="AM272" s="164">
        <v>96.9</v>
      </c>
      <c r="AN272" s="164">
        <v>95.3</v>
      </c>
      <c r="AO272" s="164">
        <v>96.4</v>
      </c>
      <c r="AP272" s="164">
        <v>96.6</v>
      </c>
      <c r="AQ272" s="164">
        <v>96.7</v>
      </c>
      <c r="AR272" s="164">
        <v>96.5</v>
      </c>
      <c r="AS272" s="164">
        <v>96.2</v>
      </c>
      <c r="AT272" s="164">
        <v>96.5</v>
      </c>
      <c r="AU272" s="164">
        <v>92.7</v>
      </c>
      <c r="AV272" s="164">
        <v>94.9</v>
      </c>
      <c r="AW272" s="164">
        <v>95.4</v>
      </c>
      <c r="AX272" s="164">
        <v>95.6</v>
      </c>
      <c r="AY272" s="164">
        <v>95.5</v>
      </c>
      <c r="AZ272" s="164">
        <v>95.3</v>
      </c>
      <c r="BA272" s="164">
        <v>95.4</v>
      </c>
      <c r="BB272" s="177">
        <v>43040</v>
      </c>
      <c r="BC272" s="175">
        <v>43525</v>
      </c>
    </row>
    <row r="273" spans="1:55" s="44" customFormat="1" ht="105">
      <c r="A273" s="18" t="s">
        <v>130</v>
      </c>
      <c r="B273" s="18" t="s">
        <v>374</v>
      </c>
      <c r="C273" s="23" t="s">
        <v>10</v>
      </c>
      <c r="D273" s="23" t="s">
        <v>10</v>
      </c>
      <c r="E273" s="23" t="s">
        <v>10</v>
      </c>
      <c r="F273" s="23" t="s">
        <v>11</v>
      </c>
      <c r="G273" s="18" t="s">
        <v>1348</v>
      </c>
      <c r="H273" s="19">
        <v>15</v>
      </c>
      <c r="I273" s="19">
        <v>480</v>
      </c>
      <c r="J273" s="19">
        <v>97</v>
      </c>
      <c r="K273" s="21" t="s">
        <v>1216</v>
      </c>
      <c r="L273" s="49" t="s">
        <v>1286</v>
      </c>
      <c r="M273" s="21" t="s">
        <v>1287</v>
      </c>
      <c r="N273" s="174">
        <v>43388</v>
      </c>
      <c r="O273" s="49" t="s">
        <v>440</v>
      </c>
      <c r="P273" s="23" t="s">
        <v>17</v>
      </c>
      <c r="Q273" s="23" t="s">
        <v>17</v>
      </c>
      <c r="R273" s="150"/>
      <c r="S273" s="20" t="s">
        <v>10</v>
      </c>
      <c r="T273" s="20" t="s">
        <v>11</v>
      </c>
      <c r="U273" s="19">
        <v>1.03</v>
      </c>
      <c r="V273" s="19"/>
      <c r="W273" s="19"/>
      <c r="X273" s="19">
        <v>350</v>
      </c>
      <c r="Y273" s="19">
        <v>685</v>
      </c>
      <c r="Z273" s="19">
        <v>800</v>
      </c>
      <c r="AA273" s="40">
        <v>1.5</v>
      </c>
      <c r="AB273" s="40">
        <v>3</v>
      </c>
      <c r="AC273" s="40">
        <v>4.5</v>
      </c>
      <c r="AD273" s="40">
        <v>7.5</v>
      </c>
      <c r="AE273" s="40">
        <v>11.25</v>
      </c>
      <c r="AF273" s="40">
        <v>15</v>
      </c>
      <c r="AG273" s="40">
        <v>92</v>
      </c>
      <c r="AH273" s="40">
        <v>94.9</v>
      </c>
      <c r="AI273" s="40">
        <v>95.6</v>
      </c>
      <c r="AJ273" s="40">
        <v>96.2</v>
      </c>
      <c r="AK273" s="40">
        <v>96.5</v>
      </c>
      <c r="AL273" s="40">
        <v>96.4</v>
      </c>
      <c r="AM273" s="40">
        <v>96.1</v>
      </c>
      <c r="AN273" s="40">
        <v>93.5</v>
      </c>
      <c r="AO273" s="40">
        <v>96</v>
      </c>
      <c r="AP273" s="40">
        <v>96.7</v>
      </c>
      <c r="AQ273" s="40">
        <v>97.2</v>
      </c>
      <c r="AR273" s="40">
        <v>97.4</v>
      </c>
      <c r="AS273" s="40">
        <v>97.4</v>
      </c>
      <c r="AT273" s="40">
        <v>97.1</v>
      </c>
      <c r="AU273" s="40">
        <v>94.6</v>
      </c>
      <c r="AV273" s="40">
        <v>96.8</v>
      </c>
      <c r="AW273" s="40">
        <v>97.4</v>
      </c>
      <c r="AX273" s="40">
        <v>97.8</v>
      </c>
      <c r="AY273" s="40">
        <v>97.9</v>
      </c>
      <c r="AZ273" s="40">
        <v>97.9</v>
      </c>
      <c r="BA273" s="40">
        <v>97.6</v>
      </c>
      <c r="BB273" s="174">
        <v>42948</v>
      </c>
      <c r="BC273" s="174">
        <v>43525</v>
      </c>
    </row>
    <row r="274" spans="1:55" s="44" customFormat="1" ht="105">
      <c r="A274" s="18" t="s">
        <v>130</v>
      </c>
      <c r="B274" s="18" t="s">
        <v>375</v>
      </c>
      <c r="C274" s="23" t="s">
        <v>10</v>
      </c>
      <c r="D274" s="23" t="s">
        <v>10</v>
      </c>
      <c r="E274" s="23" t="s">
        <v>10</v>
      </c>
      <c r="F274" s="23" t="s">
        <v>11</v>
      </c>
      <c r="G274" s="18" t="s">
        <v>1355</v>
      </c>
      <c r="H274" s="19">
        <v>17.5</v>
      </c>
      <c r="I274" s="19">
        <v>480</v>
      </c>
      <c r="J274" s="19">
        <v>97.5</v>
      </c>
      <c r="K274" s="21" t="s">
        <v>1216</v>
      </c>
      <c r="L274" s="49" t="s">
        <v>1286</v>
      </c>
      <c r="M274" s="21" t="s">
        <v>1287</v>
      </c>
      <c r="N274" s="174">
        <v>43388</v>
      </c>
      <c r="O274" s="49" t="s">
        <v>440</v>
      </c>
      <c r="P274" s="23" t="s">
        <v>17</v>
      </c>
      <c r="Q274" s="23" t="s">
        <v>17</v>
      </c>
      <c r="R274" s="150"/>
      <c r="S274" s="20" t="s">
        <v>10</v>
      </c>
      <c r="T274" s="20" t="s">
        <v>11</v>
      </c>
      <c r="U274" s="19">
        <v>1.03</v>
      </c>
      <c r="V274" s="19"/>
      <c r="W274" s="19"/>
      <c r="X274" s="19">
        <v>400</v>
      </c>
      <c r="Y274" s="19">
        <v>700</v>
      </c>
      <c r="Z274" s="19">
        <v>800</v>
      </c>
      <c r="AA274" s="40">
        <v>1.75</v>
      </c>
      <c r="AB274" s="40">
        <v>3.5</v>
      </c>
      <c r="AC274" s="40">
        <v>5.25</v>
      </c>
      <c r="AD274" s="40">
        <v>8.75</v>
      </c>
      <c r="AE274" s="40">
        <v>13.12</v>
      </c>
      <c r="AF274" s="40">
        <v>17.5</v>
      </c>
      <c r="AG274" s="40">
        <v>92.7</v>
      </c>
      <c r="AH274" s="40">
        <v>95.3</v>
      </c>
      <c r="AI274" s="40">
        <v>95.8</v>
      </c>
      <c r="AJ274" s="40">
        <v>96.5</v>
      </c>
      <c r="AK274" s="40">
        <v>96.6</v>
      </c>
      <c r="AL274" s="40">
        <v>96.7</v>
      </c>
      <c r="AM274" s="40">
        <v>96.3</v>
      </c>
      <c r="AN274" s="40">
        <v>95.7</v>
      </c>
      <c r="AO274" s="40">
        <v>97.4</v>
      </c>
      <c r="AP274" s="40">
        <v>97.8</v>
      </c>
      <c r="AQ274" s="40">
        <v>98.1</v>
      </c>
      <c r="AR274" s="40">
        <v>98.1</v>
      </c>
      <c r="AS274" s="40">
        <v>98.2</v>
      </c>
      <c r="AT274" s="40">
        <v>98</v>
      </c>
      <c r="AU274" s="40">
        <v>94.8</v>
      </c>
      <c r="AV274" s="40">
        <v>96.9</v>
      </c>
      <c r="AW274" s="40">
        <v>97.4</v>
      </c>
      <c r="AX274" s="40">
        <v>97.7</v>
      </c>
      <c r="AY274" s="40">
        <v>97.8</v>
      </c>
      <c r="AZ274" s="40">
        <v>97.8</v>
      </c>
      <c r="BA274" s="40">
        <v>97.6</v>
      </c>
      <c r="BB274" s="174">
        <v>42948</v>
      </c>
      <c r="BC274" s="174">
        <v>43525</v>
      </c>
    </row>
    <row r="275" spans="1:55" s="44" customFormat="1" ht="105">
      <c r="A275" s="18" t="s">
        <v>130</v>
      </c>
      <c r="B275" s="18" t="s">
        <v>376</v>
      </c>
      <c r="C275" s="23" t="s">
        <v>10</v>
      </c>
      <c r="D275" s="23" t="s">
        <v>10</v>
      </c>
      <c r="E275" s="23" t="s">
        <v>10</v>
      </c>
      <c r="F275" s="23" t="s">
        <v>11</v>
      </c>
      <c r="G275" s="18" t="s">
        <v>1349</v>
      </c>
      <c r="H275" s="19">
        <v>20</v>
      </c>
      <c r="I275" s="19">
        <v>480</v>
      </c>
      <c r="J275" s="19">
        <v>97.5</v>
      </c>
      <c r="K275" s="21" t="s">
        <v>1216</v>
      </c>
      <c r="L275" s="49" t="s">
        <v>1286</v>
      </c>
      <c r="M275" s="21" t="s">
        <v>1287</v>
      </c>
      <c r="N275" s="174">
        <v>43388</v>
      </c>
      <c r="O275" s="49" t="s">
        <v>440</v>
      </c>
      <c r="P275" s="23" t="s">
        <v>17</v>
      </c>
      <c r="Q275" s="23" t="s">
        <v>17</v>
      </c>
      <c r="R275" s="150"/>
      <c r="S275" s="20" t="s">
        <v>10</v>
      </c>
      <c r="T275" s="20" t="s">
        <v>11</v>
      </c>
      <c r="U275" s="19">
        <v>1.04</v>
      </c>
      <c r="V275" s="19"/>
      <c r="W275" s="19"/>
      <c r="X275" s="19">
        <v>450</v>
      </c>
      <c r="Y275" s="19">
        <v>712</v>
      </c>
      <c r="Z275" s="19">
        <v>800</v>
      </c>
      <c r="AA275" s="40">
        <v>2</v>
      </c>
      <c r="AB275" s="40">
        <v>4</v>
      </c>
      <c r="AC275" s="40">
        <v>6</v>
      </c>
      <c r="AD275" s="40">
        <v>10</v>
      </c>
      <c r="AE275" s="40">
        <v>15</v>
      </c>
      <c r="AF275" s="40">
        <v>20</v>
      </c>
      <c r="AG275" s="40">
        <v>93.7</v>
      </c>
      <c r="AH275" s="40">
        <v>95.6</v>
      </c>
      <c r="AI275" s="40">
        <v>96.3</v>
      </c>
      <c r="AJ275" s="40">
        <v>96.7</v>
      </c>
      <c r="AK275" s="40">
        <v>96.8</v>
      </c>
      <c r="AL275" s="40">
        <v>96.8</v>
      </c>
      <c r="AM275" s="40">
        <v>96.5</v>
      </c>
      <c r="AN275" s="40">
        <v>96</v>
      </c>
      <c r="AO275" s="40">
        <v>97.2</v>
      </c>
      <c r="AP275" s="40">
        <v>97.7</v>
      </c>
      <c r="AQ275" s="40">
        <v>98</v>
      </c>
      <c r="AR275" s="40">
        <v>98</v>
      </c>
      <c r="AS275" s="40">
        <v>98</v>
      </c>
      <c r="AT275" s="40">
        <v>97.9</v>
      </c>
      <c r="AU275" s="40">
        <v>95.7</v>
      </c>
      <c r="AV275" s="40">
        <v>97</v>
      </c>
      <c r="AW275" s="40">
        <v>97.5</v>
      </c>
      <c r="AX275" s="40">
        <v>97.7</v>
      </c>
      <c r="AY275" s="40">
        <v>97.8</v>
      </c>
      <c r="AZ275" s="40">
        <v>97.8</v>
      </c>
      <c r="BA275" s="40">
        <v>97.6</v>
      </c>
      <c r="BB275" s="174">
        <v>42948</v>
      </c>
      <c r="BC275" s="174">
        <v>43525</v>
      </c>
    </row>
    <row r="276" spans="1:55" s="44" customFormat="1" ht="105">
      <c r="A276" s="18" t="s">
        <v>130</v>
      </c>
      <c r="B276" s="18" t="s">
        <v>377</v>
      </c>
      <c r="C276" s="23" t="s">
        <v>10</v>
      </c>
      <c r="D276" s="23" t="s">
        <v>10</v>
      </c>
      <c r="E276" s="23" t="s">
        <v>10</v>
      </c>
      <c r="F276" s="23" t="s">
        <v>11</v>
      </c>
      <c r="G276" s="18" t="s">
        <v>1350</v>
      </c>
      <c r="H276" s="19">
        <v>22.73</v>
      </c>
      <c r="I276" s="19">
        <v>480</v>
      </c>
      <c r="J276" s="19">
        <v>97.5</v>
      </c>
      <c r="K276" s="21" t="s">
        <v>1216</v>
      </c>
      <c r="L276" s="49" t="s">
        <v>1286</v>
      </c>
      <c r="M276" s="21" t="s">
        <v>1287</v>
      </c>
      <c r="N276" s="174">
        <v>43388</v>
      </c>
      <c r="O276" s="49" t="s">
        <v>440</v>
      </c>
      <c r="P276" s="23" t="s">
        <v>17</v>
      </c>
      <c r="Q276" s="23" t="s">
        <v>17</v>
      </c>
      <c r="R276" s="150"/>
      <c r="S276" s="20" t="s">
        <v>10</v>
      </c>
      <c r="T276" s="20" t="s">
        <v>11</v>
      </c>
      <c r="U276" s="19">
        <v>1.03</v>
      </c>
      <c r="V276" s="19"/>
      <c r="W276" s="19"/>
      <c r="X276" s="19">
        <v>500</v>
      </c>
      <c r="Y276" s="19">
        <v>720</v>
      </c>
      <c r="Z276" s="19">
        <v>800</v>
      </c>
      <c r="AA276" s="40">
        <v>2.27</v>
      </c>
      <c r="AB276" s="40">
        <v>4.55</v>
      </c>
      <c r="AC276" s="40">
        <v>6.82</v>
      </c>
      <c r="AD276" s="40">
        <v>11.36</v>
      </c>
      <c r="AE276" s="40">
        <v>17.05</v>
      </c>
      <c r="AF276" s="40">
        <v>22.73</v>
      </c>
      <c r="AG276" s="40">
        <v>94.3</v>
      </c>
      <c r="AH276" s="40">
        <v>96.2</v>
      </c>
      <c r="AI276" s="40">
        <v>96.7</v>
      </c>
      <c r="AJ276" s="40">
        <v>97</v>
      </c>
      <c r="AK276" s="40">
        <v>97</v>
      </c>
      <c r="AL276" s="40">
        <v>96.9</v>
      </c>
      <c r="AM276" s="40">
        <v>96.8</v>
      </c>
      <c r="AN276" s="40">
        <v>96.4</v>
      </c>
      <c r="AO276" s="40">
        <v>97.6</v>
      </c>
      <c r="AP276" s="40">
        <v>97.8</v>
      </c>
      <c r="AQ276" s="40">
        <v>98</v>
      </c>
      <c r="AR276" s="40">
        <v>98</v>
      </c>
      <c r="AS276" s="40">
        <v>98</v>
      </c>
      <c r="AT276" s="40">
        <v>97.9</v>
      </c>
      <c r="AU276" s="40">
        <v>95.9</v>
      </c>
      <c r="AV276" s="40">
        <v>97.3</v>
      </c>
      <c r="AW276" s="40">
        <v>97.7</v>
      </c>
      <c r="AX276" s="40">
        <v>97.8</v>
      </c>
      <c r="AY276" s="40">
        <v>97.9</v>
      </c>
      <c r="AZ276" s="40">
        <v>97.8</v>
      </c>
      <c r="BA276" s="40">
        <v>97.7</v>
      </c>
      <c r="BB276" s="174">
        <v>42948</v>
      </c>
      <c r="BC276" s="174">
        <v>43525</v>
      </c>
    </row>
    <row r="277" spans="1:55" s="44" customFormat="1" ht="105">
      <c r="A277" s="18" t="s">
        <v>130</v>
      </c>
      <c r="B277" s="18" t="s">
        <v>378</v>
      </c>
      <c r="C277" s="23" t="s">
        <v>10</v>
      </c>
      <c r="D277" s="23" t="s">
        <v>10</v>
      </c>
      <c r="E277" s="23" t="s">
        <v>10</v>
      </c>
      <c r="F277" s="23" t="s">
        <v>11</v>
      </c>
      <c r="G277" s="18" t="s">
        <v>1351</v>
      </c>
      <c r="H277" s="19">
        <v>24</v>
      </c>
      <c r="I277" s="19">
        <v>480</v>
      </c>
      <c r="J277" s="19">
        <v>97.5</v>
      </c>
      <c r="K277" s="21" t="s">
        <v>1216</v>
      </c>
      <c r="L277" s="49" t="s">
        <v>1286</v>
      </c>
      <c r="M277" s="21" t="s">
        <v>1287</v>
      </c>
      <c r="N277" s="174">
        <v>43388</v>
      </c>
      <c r="O277" s="49" t="s">
        <v>440</v>
      </c>
      <c r="P277" s="23" t="s">
        <v>17</v>
      </c>
      <c r="Q277" s="23" t="s">
        <v>17</v>
      </c>
      <c r="R277" s="150"/>
      <c r="S277" s="20" t="s">
        <v>10</v>
      </c>
      <c r="T277" s="20" t="s">
        <v>11</v>
      </c>
      <c r="U277" s="19">
        <v>1.03</v>
      </c>
      <c r="V277" s="19"/>
      <c r="W277" s="19"/>
      <c r="X277" s="19">
        <v>500</v>
      </c>
      <c r="Y277" s="19">
        <v>725</v>
      </c>
      <c r="Z277" s="19">
        <v>800</v>
      </c>
      <c r="AA277" s="40">
        <v>2.4</v>
      </c>
      <c r="AB277" s="40">
        <v>4.8</v>
      </c>
      <c r="AC277" s="40">
        <v>7.2</v>
      </c>
      <c r="AD277" s="40">
        <v>12</v>
      </c>
      <c r="AE277" s="40">
        <v>18</v>
      </c>
      <c r="AF277" s="40">
        <v>24</v>
      </c>
      <c r="AG277" s="40">
        <v>94.3</v>
      </c>
      <c r="AH277" s="40">
        <v>96.1</v>
      </c>
      <c r="AI277" s="40">
        <v>96.6</v>
      </c>
      <c r="AJ277" s="40">
        <v>97</v>
      </c>
      <c r="AK277" s="40">
        <v>97</v>
      </c>
      <c r="AL277" s="40">
        <v>97</v>
      </c>
      <c r="AM277" s="40">
        <v>96.8</v>
      </c>
      <c r="AN277" s="40">
        <v>96.2</v>
      </c>
      <c r="AO277" s="40">
        <v>97.5</v>
      </c>
      <c r="AP277" s="40">
        <v>97.8</v>
      </c>
      <c r="AQ277" s="40">
        <v>98</v>
      </c>
      <c r="AR277" s="40">
        <v>98</v>
      </c>
      <c r="AS277" s="40">
        <v>97.9</v>
      </c>
      <c r="AT277" s="40">
        <v>97.9</v>
      </c>
      <c r="AU277" s="40">
        <v>95.8</v>
      </c>
      <c r="AV277" s="40">
        <v>97.2</v>
      </c>
      <c r="AW277" s="40">
        <v>97.6</v>
      </c>
      <c r="AX277" s="40">
        <v>97.8</v>
      </c>
      <c r="AY277" s="40">
        <v>97.8</v>
      </c>
      <c r="AZ277" s="40">
        <v>97.7</v>
      </c>
      <c r="BA277" s="40">
        <v>97.7</v>
      </c>
      <c r="BB277" s="174">
        <v>42948</v>
      </c>
      <c r="BC277" s="174">
        <v>43525</v>
      </c>
    </row>
    <row r="278" spans="1:55" s="44" customFormat="1" ht="45">
      <c r="A278" s="18" t="s">
        <v>130</v>
      </c>
      <c r="B278" s="18" t="s">
        <v>1304</v>
      </c>
      <c r="C278" s="23" t="s">
        <v>10</v>
      </c>
      <c r="D278" s="23" t="s">
        <v>10</v>
      </c>
      <c r="E278" s="23" t="s">
        <v>10</v>
      </c>
      <c r="F278" s="23" t="s">
        <v>11</v>
      </c>
      <c r="G278" s="18" t="s">
        <v>1343</v>
      </c>
      <c r="H278" s="19">
        <v>10.010999999999999</v>
      </c>
      <c r="I278" s="37">
        <v>208</v>
      </c>
      <c r="J278" s="19">
        <v>96.5</v>
      </c>
      <c r="K278" s="21" t="s">
        <v>1216</v>
      </c>
      <c r="L278" s="49" t="s">
        <v>1279</v>
      </c>
      <c r="M278" s="38" t="s">
        <v>1344</v>
      </c>
      <c r="N278" s="174">
        <v>43511</v>
      </c>
      <c r="O278" s="38" t="s">
        <v>1279</v>
      </c>
      <c r="P278" s="38" t="s">
        <v>17</v>
      </c>
      <c r="Q278" s="38" t="s">
        <v>17</v>
      </c>
      <c r="R278" s="151"/>
      <c r="S278" s="39" t="s">
        <v>10</v>
      </c>
      <c r="T278" s="39" t="s">
        <v>11</v>
      </c>
      <c r="U278" s="171">
        <v>0.6</v>
      </c>
      <c r="V278" s="153"/>
      <c r="W278" s="153"/>
      <c r="X278" s="153">
        <v>300</v>
      </c>
      <c r="Y278" s="153">
        <v>355</v>
      </c>
      <c r="Z278" s="153">
        <v>480</v>
      </c>
      <c r="AA278" s="40">
        <v>1.0010600000000001</v>
      </c>
      <c r="AB278" s="40">
        <v>2.0021200000000001</v>
      </c>
      <c r="AC278" s="40">
        <v>3.00318</v>
      </c>
      <c r="AD278" s="40">
        <v>5.0053000000000001</v>
      </c>
      <c r="AE278" s="40">
        <v>7.5079500000000001</v>
      </c>
      <c r="AF278" s="40">
        <v>10.0106</v>
      </c>
      <c r="AG278" s="40">
        <v>94.519009568535679</v>
      </c>
      <c r="AH278" s="40">
        <v>95.899927353909121</v>
      </c>
      <c r="AI278" s="40">
        <v>96.162013751958028</v>
      </c>
      <c r="AJ278" s="40">
        <v>96.198800130252479</v>
      </c>
      <c r="AK278" s="40">
        <v>96.032730306812141</v>
      </c>
      <c r="AL278" s="40">
        <v>95.714297404757531</v>
      </c>
      <c r="AM278" s="40">
        <v>96.000008360873181</v>
      </c>
      <c r="AN278" s="40">
        <v>95.414711455032631</v>
      </c>
      <c r="AO278" s="40">
        <v>96.574721944504731</v>
      </c>
      <c r="AP278" s="40">
        <v>96.781649546159471</v>
      </c>
      <c r="AQ278" s="40">
        <v>96.800433167872072</v>
      </c>
      <c r="AR278" s="40">
        <v>96.660999056168905</v>
      </c>
      <c r="AS278" s="40">
        <v>96.399596007593573</v>
      </c>
      <c r="AT278" s="40">
        <v>96.637522766368022</v>
      </c>
      <c r="AU278" s="40">
        <v>94.36181904589003</v>
      </c>
      <c r="AV278" s="40">
        <v>95.971378365346439</v>
      </c>
      <c r="AW278" s="40">
        <v>96.324429710555705</v>
      </c>
      <c r="AX278" s="40">
        <v>96.444995456986462</v>
      </c>
      <c r="AY278" s="40">
        <v>96.091747578754877</v>
      </c>
      <c r="AZ278" s="40">
        <v>96.177655301980025</v>
      </c>
      <c r="BA278" s="40">
        <v>96.122931273175851</v>
      </c>
      <c r="BB278" s="178">
        <v>43511</v>
      </c>
      <c r="BC278" s="178">
        <v>43525</v>
      </c>
    </row>
    <row r="279" spans="1:55" s="44" customFormat="1" ht="45">
      <c r="A279" s="18" t="s">
        <v>130</v>
      </c>
      <c r="B279" s="18" t="s">
        <v>1305</v>
      </c>
      <c r="C279" s="23" t="s">
        <v>10</v>
      </c>
      <c r="D279" s="23" t="s">
        <v>10</v>
      </c>
      <c r="E279" s="23" t="s">
        <v>10</v>
      </c>
      <c r="F279" s="23" t="s">
        <v>11</v>
      </c>
      <c r="G279" s="18" t="s">
        <v>1345</v>
      </c>
      <c r="H279" s="19">
        <v>10.061999999999999</v>
      </c>
      <c r="I279" s="37">
        <v>240</v>
      </c>
      <c r="J279" s="19">
        <v>96.5</v>
      </c>
      <c r="K279" s="21" t="s">
        <v>1216</v>
      </c>
      <c r="L279" s="49" t="s">
        <v>1279</v>
      </c>
      <c r="M279" s="38" t="s">
        <v>1344</v>
      </c>
      <c r="N279" s="174">
        <v>43511</v>
      </c>
      <c r="O279" s="38" t="s">
        <v>1279</v>
      </c>
      <c r="P279" s="38" t="s">
        <v>17</v>
      </c>
      <c r="Q279" s="38" t="s">
        <v>17</v>
      </c>
      <c r="R279" s="151"/>
      <c r="S279" s="39" t="s">
        <v>10</v>
      </c>
      <c r="T279" s="39" t="s">
        <v>11</v>
      </c>
      <c r="U279" s="171">
        <v>0.8</v>
      </c>
      <c r="V279" s="153"/>
      <c r="W279" s="153"/>
      <c r="X279" s="153">
        <v>300</v>
      </c>
      <c r="Y279" s="153">
        <v>370</v>
      </c>
      <c r="Z279" s="153">
        <v>480</v>
      </c>
      <c r="AA279" s="40">
        <v>1.0061600000000002</v>
      </c>
      <c r="AB279" s="40">
        <v>2.0123200000000003</v>
      </c>
      <c r="AC279" s="40">
        <v>3.0184799999999998</v>
      </c>
      <c r="AD279" s="40">
        <v>5.0308000000000002</v>
      </c>
      <c r="AE279" s="40">
        <v>7.5462000000000007</v>
      </c>
      <c r="AF279" s="40">
        <v>10.0616</v>
      </c>
      <c r="AG279" s="40">
        <v>94.009185795922122</v>
      </c>
      <c r="AH279" s="40">
        <v>95.629761429716126</v>
      </c>
      <c r="AI279" s="40">
        <v>96.080273901482812</v>
      </c>
      <c r="AJ279" s="40">
        <v>96.248573788302309</v>
      </c>
      <c r="AK279" s="40">
        <v>96.213773809680077</v>
      </c>
      <c r="AL279" s="40">
        <v>96.033389279538127</v>
      </c>
      <c r="AM279" s="40">
        <v>96.078658450151465</v>
      </c>
      <c r="AN279" s="40">
        <v>95.404905519923133</v>
      </c>
      <c r="AO279" s="40">
        <v>96.763474828819668</v>
      </c>
      <c r="AP279" s="40">
        <v>97.049926747338972</v>
      </c>
      <c r="AQ279" s="40">
        <v>97.12930370787997</v>
      </c>
      <c r="AR279" s="40">
        <v>97.078894920067015</v>
      </c>
      <c r="AS279" s="40">
        <v>96.947601819022367</v>
      </c>
      <c r="AT279" s="40">
        <v>96.996709349160014</v>
      </c>
      <c r="AU279" s="40">
        <v>94.775945022232762</v>
      </c>
      <c r="AV279" s="40">
        <v>96.362545696753386</v>
      </c>
      <c r="AW279" s="40">
        <v>96.719798702026267</v>
      </c>
      <c r="AX279" s="40">
        <v>96.860676846044242</v>
      </c>
      <c r="AY279" s="40">
        <v>96.877356545777872</v>
      </c>
      <c r="AZ279" s="40">
        <v>96.729094148120311</v>
      </c>
      <c r="BA279" s="40">
        <v>96.737736744307725</v>
      </c>
      <c r="BB279" s="178">
        <v>43511</v>
      </c>
      <c r="BC279" s="178">
        <v>43525</v>
      </c>
    </row>
    <row r="280" spans="1:55" s="44" customFormat="1" ht="45">
      <c r="A280" s="18" t="s">
        <v>130</v>
      </c>
      <c r="B280" s="18" t="s">
        <v>1307</v>
      </c>
      <c r="C280" s="23" t="s">
        <v>10</v>
      </c>
      <c r="D280" s="23" t="s">
        <v>10</v>
      </c>
      <c r="E280" s="23" t="s">
        <v>10</v>
      </c>
      <c r="F280" s="23" t="s">
        <v>11</v>
      </c>
      <c r="G280" s="18" t="s">
        <v>1346</v>
      </c>
      <c r="H280" s="19">
        <v>12.340999999999999</v>
      </c>
      <c r="I280" s="37">
        <v>208</v>
      </c>
      <c r="J280" s="19">
        <v>96.5</v>
      </c>
      <c r="K280" s="21" t="s">
        <v>1216</v>
      </c>
      <c r="L280" s="49" t="s">
        <v>1279</v>
      </c>
      <c r="M280" s="38" t="s">
        <v>1344</v>
      </c>
      <c r="N280" s="174">
        <v>43511</v>
      </c>
      <c r="O280" s="38" t="s">
        <v>1279</v>
      </c>
      <c r="P280" s="38" t="s">
        <v>17</v>
      </c>
      <c r="Q280" s="38" t="s">
        <v>17</v>
      </c>
      <c r="R280" s="151"/>
      <c r="S280" s="39" t="s">
        <v>10</v>
      </c>
      <c r="T280" s="39" t="s">
        <v>11</v>
      </c>
      <c r="U280" s="171">
        <v>0.61</v>
      </c>
      <c r="V280" s="153"/>
      <c r="W280" s="153"/>
      <c r="X280" s="153">
        <v>300</v>
      </c>
      <c r="Y280" s="153">
        <v>350</v>
      </c>
      <c r="Z280" s="153">
        <v>480</v>
      </c>
      <c r="AA280" s="40">
        <v>1.2340800000000001</v>
      </c>
      <c r="AB280" s="40">
        <v>2.4681600000000001</v>
      </c>
      <c r="AC280" s="40">
        <v>3.7022399999999998</v>
      </c>
      <c r="AD280" s="40">
        <v>6.1703999999999999</v>
      </c>
      <c r="AE280" s="40">
        <v>9.2555999999999994</v>
      </c>
      <c r="AF280" s="40">
        <v>12.3408</v>
      </c>
      <c r="AG280" s="40">
        <v>95.358678737621432</v>
      </c>
      <c r="AH280" s="40">
        <v>96.184848341697503</v>
      </c>
      <c r="AI280" s="40">
        <v>96.273927559322075</v>
      </c>
      <c r="AJ280" s="40">
        <v>96.181378447078401</v>
      </c>
      <c r="AK280" s="40">
        <v>95.855468172966297</v>
      </c>
      <c r="AL280" s="40">
        <v>95.410697226904546</v>
      </c>
      <c r="AM280" s="40">
        <v>95.948483340612199</v>
      </c>
      <c r="AN280" s="40">
        <v>96.265787667643764</v>
      </c>
      <c r="AO280" s="40">
        <v>96.863886988610275</v>
      </c>
      <c r="AP280" s="40">
        <v>96.903704189756823</v>
      </c>
      <c r="AQ280" s="40">
        <v>96.816181235310211</v>
      </c>
      <c r="AR280" s="40">
        <v>96.526151120335172</v>
      </c>
      <c r="AS280" s="40">
        <v>96.16472401789197</v>
      </c>
      <c r="AT280" s="40">
        <v>96.620764712994472</v>
      </c>
      <c r="AU280" s="40">
        <v>94.730185167876712</v>
      </c>
      <c r="AV280" s="40">
        <v>96.120808838845704</v>
      </c>
      <c r="AW280" s="40">
        <v>96.384756278113855</v>
      </c>
      <c r="AX280" s="40">
        <v>96.445891835655814</v>
      </c>
      <c r="AY280" s="40">
        <v>96.284563999089613</v>
      </c>
      <c r="AZ280" s="40">
        <v>96.000896354491587</v>
      </c>
      <c r="BA280" s="40">
        <v>96.245919624760816</v>
      </c>
      <c r="BB280" s="178">
        <v>43511</v>
      </c>
      <c r="BC280" s="178">
        <v>43525</v>
      </c>
    </row>
    <row r="281" spans="1:55" s="44" customFormat="1" ht="45">
      <c r="A281" s="18" t="s">
        <v>130</v>
      </c>
      <c r="B281" s="18" t="s">
        <v>1306</v>
      </c>
      <c r="C281" s="23" t="s">
        <v>10</v>
      </c>
      <c r="D281" s="23" t="s">
        <v>10</v>
      </c>
      <c r="E281" s="23" t="s">
        <v>10</v>
      </c>
      <c r="F281" s="23" t="s">
        <v>11</v>
      </c>
      <c r="G281" s="18" t="s">
        <v>1347</v>
      </c>
      <c r="H281" s="19">
        <v>12.09</v>
      </c>
      <c r="I281" s="37">
        <v>240</v>
      </c>
      <c r="J281" s="19">
        <v>96.5</v>
      </c>
      <c r="K281" s="21" t="s">
        <v>1216</v>
      </c>
      <c r="L281" s="49" t="s">
        <v>1279</v>
      </c>
      <c r="M281" s="38" t="s">
        <v>1344</v>
      </c>
      <c r="N281" s="174">
        <v>43511</v>
      </c>
      <c r="O281" s="38" t="s">
        <v>1279</v>
      </c>
      <c r="P281" s="38" t="s">
        <v>17</v>
      </c>
      <c r="Q281" s="38" t="s">
        <v>17</v>
      </c>
      <c r="R281" s="151"/>
      <c r="S281" s="39" t="s">
        <v>10</v>
      </c>
      <c r="T281" s="39" t="s">
        <v>11</v>
      </c>
      <c r="U281" s="171">
        <v>0.8</v>
      </c>
      <c r="V281" s="153"/>
      <c r="W281" s="153"/>
      <c r="X281" s="153">
        <v>300</v>
      </c>
      <c r="Y281" s="153">
        <v>370</v>
      </c>
      <c r="Z281" s="153">
        <v>480</v>
      </c>
      <c r="AA281" s="40">
        <v>1.2090200000000002</v>
      </c>
      <c r="AB281" s="40">
        <v>2.4180400000000004</v>
      </c>
      <c r="AC281" s="40">
        <v>3.6270600000000002</v>
      </c>
      <c r="AD281" s="40">
        <v>6.0451000000000006</v>
      </c>
      <c r="AE281" s="40">
        <v>9.0676500000000004</v>
      </c>
      <c r="AF281" s="40">
        <v>12.090200000000001</v>
      </c>
      <c r="AG281" s="40">
        <v>94.368110232506652</v>
      </c>
      <c r="AH281" s="40">
        <v>95.892591116805448</v>
      </c>
      <c r="AI281" s="40">
        <v>96.183609957195344</v>
      </c>
      <c r="AJ281" s="40">
        <v>96.259168851666118</v>
      </c>
      <c r="AK281" s="40">
        <v>96.112813309312941</v>
      </c>
      <c r="AL281" s="40">
        <v>95.818539515129942</v>
      </c>
      <c r="AM281" s="40">
        <v>96.056530648546214</v>
      </c>
      <c r="AN281" s="40">
        <v>95.96878852712085</v>
      </c>
      <c r="AO281" s="40">
        <v>96.944362434826957</v>
      </c>
      <c r="AP281" s="40">
        <v>97.096865939081653</v>
      </c>
      <c r="AQ281" s="40">
        <v>97.112812968596486</v>
      </c>
      <c r="AR281" s="40">
        <v>97.001048386914235</v>
      </c>
      <c r="AS281" s="40">
        <v>96.818624545776956</v>
      </c>
      <c r="AT281" s="40">
        <v>96.982771171274635</v>
      </c>
      <c r="AU281" s="40">
        <v>95.235218242739734</v>
      </c>
      <c r="AV281" s="40">
        <v>96.577017146431658</v>
      </c>
      <c r="AW281" s="40">
        <v>96.799319868460742</v>
      </c>
      <c r="AX281" s="40">
        <v>96.87857337110789</v>
      </c>
      <c r="AY281" s="40">
        <v>96.788909553631157</v>
      </c>
      <c r="AZ281" s="40">
        <v>96.596855655531229</v>
      </c>
      <c r="BA281" s="40">
        <v>96.726643225380201</v>
      </c>
      <c r="BB281" s="178">
        <v>43511</v>
      </c>
      <c r="BC281" s="178">
        <v>43525</v>
      </c>
    </row>
    <row r="282" spans="1:55" s="44" customFormat="1" ht="45">
      <c r="A282" s="18" t="s">
        <v>130</v>
      </c>
      <c r="B282" s="18" t="s">
        <v>1308</v>
      </c>
      <c r="C282" s="23" t="s">
        <v>10</v>
      </c>
      <c r="D282" s="23" t="s">
        <v>10</v>
      </c>
      <c r="E282" s="23" t="s">
        <v>10</v>
      </c>
      <c r="F282" s="23" t="s">
        <v>11</v>
      </c>
      <c r="G282" s="18" t="s">
        <v>1348</v>
      </c>
      <c r="H282" s="19">
        <v>15.196999999999999</v>
      </c>
      <c r="I282" s="37">
        <v>480</v>
      </c>
      <c r="J282" s="19">
        <v>97</v>
      </c>
      <c r="K282" s="21" t="s">
        <v>1216</v>
      </c>
      <c r="L282" s="49" t="s">
        <v>1279</v>
      </c>
      <c r="M282" s="38" t="s">
        <v>1344</v>
      </c>
      <c r="N282" s="174">
        <v>43511</v>
      </c>
      <c r="O282" s="38" t="s">
        <v>1279</v>
      </c>
      <c r="P282" s="38" t="s">
        <v>17</v>
      </c>
      <c r="Q282" s="38" t="s">
        <v>17</v>
      </c>
      <c r="R282" s="151"/>
      <c r="S282" s="39" t="s">
        <v>10</v>
      </c>
      <c r="T282" s="39" t="s">
        <v>11</v>
      </c>
      <c r="U282" s="171">
        <v>1</v>
      </c>
      <c r="V282" s="153"/>
      <c r="W282" s="153"/>
      <c r="X282" s="153">
        <v>350</v>
      </c>
      <c r="Y282" s="153">
        <v>685</v>
      </c>
      <c r="Z282" s="153">
        <v>800</v>
      </c>
      <c r="AA282" s="40">
        <v>1.5196779999999999</v>
      </c>
      <c r="AB282" s="40">
        <v>3.0393559999999997</v>
      </c>
      <c r="AC282" s="40">
        <v>4.5590339999999996</v>
      </c>
      <c r="AD282" s="40">
        <v>7.5983899999999993</v>
      </c>
      <c r="AE282" s="40">
        <v>11.397584999999999</v>
      </c>
      <c r="AF282" s="40">
        <v>15.196779999999999</v>
      </c>
      <c r="AG282" s="40">
        <v>92.041589863870271</v>
      </c>
      <c r="AH282" s="40">
        <v>94.91964593162821</v>
      </c>
      <c r="AI282" s="40">
        <v>95.624455631735273</v>
      </c>
      <c r="AJ282" s="40">
        <v>96.237422914377035</v>
      </c>
      <c r="AK282" s="40">
        <v>96.485431444459593</v>
      </c>
      <c r="AL282" s="40">
        <v>96.387099283281017</v>
      </c>
      <c r="AM282" s="40">
        <v>96.069073008691262</v>
      </c>
      <c r="AN282" s="40">
        <v>93.543995460840279</v>
      </c>
      <c r="AO282" s="40">
        <v>95.998378827776165</v>
      </c>
      <c r="AP282" s="40">
        <v>96.696348505894704</v>
      </c>
      <c r="AQ282" s="40">
        <v>97.240325293365302</v>
      </c>
      <c r="AR282" s="40">
        <v>97.407654085354906</v>
      </c>
      <c r="AS282" s="40">
        <v>97.437857239067384</v>
      </c>
      <c r="AT282" s="40">
        <v>97.063658419327965</v>
      </c>
      <c r="AU282" s="40">
        <v>94.622972516951833</v>
      </c>
      <c r="AV282" s="40">
        <v>96.812694403298863</v>
      </c>
      <c r="AW282" s="40">
        <v>97.365647324576372</v>
      </c>
      <c r="AX282" s="40">
        <v>97.769337729645059</v>
      </c>
      <c r="AY282" s="40">
        <v>97.888645679374235</v>
      </c>
      <c r="AZ282" s="40">
        <v>97.897281491093622</v>
      </c>
      <c r="BA282" s="40">
        <v>97.616838507640665</v>
      </c>
      <c r="BB282" s="178">
        <v>43511</v>
      </c>
      <c r="BC282" s="178">
        <v>43525</v>
      </c>
    </row>
    <row r="283" spans="1:55" s="44" customFormat="1" ht="45">
      <c r="A283" s="18" t="s">
        <v>130</v>
      </c>
      <c r="B283" s="18" t="s">
        <v>1309</v>
      </c>
      <c r="C283" s="23" t="s">
        <v>10</v>
      </c>
      <c r="D283" s="23" t="s">
        <v>10</v>
      </c>
      <c r="E283" s="23" t="s">
        <v>10</v>
      </c>
      <c r="F283" s="23" t="s">
        <v>11</v>
      </c>
      <c r="G283" s="18" t="s">
        <v>1349</v>
      </c>
      <c r="H283" s="19">
        <v>20.227</v>
      </c>
      <c r="I283" s="37">
        <v>480</v>
      </c>
      <c r="J283" s="19">
        <v>97</v>
      </c>
      <c r="K283" s="21" t="s">
        <v>1216</v>
      </c>
      <c r="L283" s="49" t="s">
        <v>1279</v>
      </c>
      <c r="M283" s="38" t="s">
        <v>1344</v>
      </c>
      <c r="N283" s="174">
        <v>43511</v>
      </c>
      <c r="O283" s="38" t="s">
        <v>1279</v>
      </c>
      <c r="P283" s="38" t="s">
        <v>17</v>
      </c>
      <c r="Q283" s="38" t="s">
        <v>17</v>
      </c>
      <c r="R283" s="151"/>
      <c r="S283" s="39" t="s">
        <v>10</v>
      </c>
      <c r="T283" s="39" t="s">
        <v>11</v>
      </c>
      <c r="U283" s="171">
        <v>1</v>
      </c>
      <c r="V283" s="153"/>
      <c r="W283" s="153"/>
      <c r="X283" s="153">
        <v>450</v>
      </c>
      <c r="Y283" s="153">
        <v>710</v>
      </c>
      <c r="Z283" s="153">
        <v>800</v>
      </c>
      <c r="AA283" s="40">
        <v>2.0227139999999997</v>
      </c>
      <c r="AB283" s="40">
        <v>4.0454279999999994</v>
      </c>
      <c r="AC283" s="40">
        <v>6.0681419999999981</v>
      </c>
      <c r="AD283" s="40">
        <v>10.113569999999998</v>
      </c>
      <c r="AE283" s="40">
        <v>15.170354999999997</v>
      </c>
      <c r="AF283" s="40">
        <v>20.227139999999995</v>
      </c>
      <c r="AG283" s="40">
        <v>93.0612623209757</v>
      </c>
      <c r="AH283" s="40">
        <v>95.493857450995776</v>
      </c>
      <c r="AI283" s="40">
        <v>96.142166575436093</v>
      </c>
      <c r="AJ283" s="40">
        <v>96.700901941853445</v>
      </c>
      <c r="AK283" s="40">
        <v>96.784885330722474</v>
      </c>
      <c r="AL283" s="40">
        <v>96.806465087192649</v>
      </c>
      <c r="AM283" s="40">
        <v>96.477705241872926</v>
      </c>
      <c r="AN283" s="40">
        <v>95.096166713692284</v>
      </c>
      <c r="AO283" s="40">
        <v>97.042083445707775</v>
      </c>
      <c r="AP283" s="40">
        <v>97.530716554074772</v>
      </c>
      <c r="AQ283" s="40">
        <v>97.863489532455873</v>
      </c>
      <c r="AR283" s="40">
        <v>97.971466683243179</v>
      </c>
      <c r="AS283" s="40">
        <v>98.00444003699738</v>
      </c>
      <c r="AT283" s="40">
        <v>97.736068973106541</v>
      </c>
      <c r="AU283" s="40">
        <v>94.462463256041829</v>
      </c>
      <c r="AV283" s="40">
        <v>96.687133800520058</v>
      </c>
      <c r="AW283" s="40">
        <v>97.264502866483426</v>
      </c>
      <c r="AX283" s="40">
        <v>97.659357524786984</v>
      </c>
      <c r="AY283" s="40">
        <v>97.731839168170112</v>
      </c>
      <c r="AZ283" s="40">
        <v>97.768076436494425</v>
      </c>
      <c r="BA283" s="40">
        <v>97.479339225405838</v>
      </c>
      <c r="BB283" s="178">
        <v>43511</v>
      </c>
      <c r="BC283" s="178">
        <v>43525</v>
      </c>
    </row>
    <row r="284" spans="1:55" s="44" customFormat="1" ht="45">
      <c r="A284" s="18" t="s">
        <v>130</v>
      </c>
      <c r="B284" s="18" t="s">
        <v>1310</v>
      </c>
      <c r="C284" s="23" t="s">
        <v>10</v>
      </c>
      <c r="D284" s="23" t="s">
        <v>10</v>
      </c>
      <c r="E284" s="23" t="s">
        <v>10</v>
      </c>
      <c r="F284" s="23" t="s">
        <v>11</v>
      </c>
      <c r="G284" s="18" t="s">
        <v>1350</v>
      </c>
      <c r="H284" s="19">
        <v>22.876000000000001</v>
      </c>
      <c r="I284" s="37">
        <v>480</v>
      </c>
      <c r="J284" s="19">
        <v>97.5</v>
      </c>
      <c r="K284" s="21" t="s">
        <v>1216</v>
      </c>
      <c r="L284" s="49" t="s">
        <v>1279</v>
      </c>
      <c r="M284" s="38" t="s">
        <v>1344</v>
      </c>
      <c r="N284" s="174">
        <v>43511</v>
      </c>
      <c r="O284" s="38" t="s">
        <v>1279</v>
      </c>
      <c r="P284" s="38" t="s">
        <v>17</v>
      </c>
      <c r="Q284" s="38" t="s">
        <v>17</v>
      </c>
      <c r="R284" s="151"/>
      <c r="S284" s="39" t="s">
        <v>10</v>
      </c>
      <c r="T284" s="39" t="s">
        <v>11</v>
      </c>
      <c r="U284" s="171">
        <v>1</v>
      </c>
      <c r="V284" s="153"/>
      <c r="W284" s="153"/>
      <c r="X284" s="153">
        <v>500</v>
      </c>
      <c r="Y284" s="153">
        <v>722</v>
      </c>
      <c r="Z284" s="153">
        <v>800</v>
      </c>
      <c r="AA284" s="40">
        <v>2.2875799999999997</v>
      </c>
      <c r="AB284" s="40">
        <v>4.5751599999999994</v>
      </c>
      <c r="AC284" s="40">
        <v>6.8627399999999996</v>
      </c>
      <c r="AD284" s="40">
        <v>11.437899999999999</v>
      </c>
      <c r="AE284" s="40">
        <v>17.156849999999999</v>
      </c>
      <c r="AF284" s="40">
        <v>22.875799999999998</v>
      </c>
      <c r="AG284" s="40">
        <v>94.319153396668113</v>
      </c>
      <c r="AH284" s="40">
        <v>96.163141608609081</v>
      </c>
      <c r="AI284" s="40">
        <v>96.661756345827499</v>
      </c>
      <c r="AJ284" s="40">
        <v>96.951459054201692</v>
      </c>
      <c r="AK284" s="40">
        <v>96.990760221655123</v>
      </c>
      <c r="AL284" s="40">
        <v>96.948409380259022</v>
      </c>
      <c r="AM284" s="40">
        <v>96.792663765669005</v>
      </c>
      <c r="AN284" s="40">
        <v>96.38855934891761</v>
      </c>
      <c r="AO284" s="40">
        <v>97.551760411799364</v>
      </c>
      <c r="AP284" s="40">
        <v>97.806770088065903</v>
      </c>
      <c r="AQ284" s="40">
        <v>97.999596093082118</v>
      </c>
      <c r="AR284" s="40">
        <v>98.020888700727554</v>
      </c>
      <c r="AS284" s="40">
        <v>97.981259840645649</v>
      </c>
      <c r="AT284" s="40">
        <v>97.899991988079719</v>
      </c>
      <c r="AU284" s="40">
        <v>95.944132313041493</v>
      </c>
      <c r="AV284" s="40">
        <v>97.337088217971754</v>
      </c>
      <c r="AW284" s="40">
        <v>97.666559168276663</v>
      </c>
      <c r="AX284" s="40">
        <v>97.839166197501726</v>
      </c>
      <c r="AY284" s="40">
        <v>97.862870517438836</v>
      </c>
      <c r="AZ284" s="40">
        <v>97.806740534534583</v>
      </c>
      <c r="BA284" s="40">
        <v>97.728490106058118</v>
      </c>
      <c r="BB284" s="178">
        <v>43511</v>
      </c>
      <c r="BC284" s="178">
        <v>43525</v>
      </c>
    </row>
    <row r="285" spans="1:55" s="44" customFormat="1" ht="45">
      <c r="A285" s="18" t="s">
        <v>130</v>
      </c>
      <c r="B285" s="18" t="s">
        <v>1311</v>
      </c>
      <c r="C285" s="23" t="s">
        <v>10</v>
      </c>
      <c r="D285" s="23" t="s">
        <v>10</v>
      </c>
      <c r="E285" s="23" t="s">
        <v>10</v>
      </c>
      <c r="F285" s="23" t="s">
        <v>11</v>
      </c>
      <c r="G285" s="18" t="s">
        <v>1351</v>
      </c>
      <c r="H285" s="19">
        <v>24.141999999999999</v>
      </c>
      <c r="I285" s="37">
        <v>480</v>
      </c>
      <c r="J285" s="19">
        <v>97.5</v>
      </c>
      <c r="K285" s="21" t="s">
        <v>1216</v>
      </c>
      <c r="L285" s="49" t="s">
        <v>1279</v>
      </c>
      <c r="M285" s="38" t="s">
        <v>1344</v>
      </c>
      <c r="N285" s="174">
        <v>43511</v>
      </c>
      <c r="O285" s="38" t="s">
        <v>1279</v>
      </c>
      <c r="P285" s="38" t="s">
        <v>17</v>
      </c>
      <c r="Q285" s="38" t="s">
        <v>17</v>
      </c>
      <c r="R285" s="151"/>
      <c r="S285" s="39" t="s">
        <v>10</v>
      </c>
      <c r="T285" s="39" t="s">
        <v>11</v>
      </c>
      <c r="U285" s="171">
        <v>1</v>
      </c>
      <c r="V285" s="153"/>
      <c r="W285" s="153"/>
      <c r="X285" s="153">
        <v>500</v>
      </c>
      <c r="Y285" s="153">
        <v>722</v>
      </c>
      <c r="Z285" s="153">
        <v>800</v>
      </c>
      <c r="AA285" s="40">
        <v>2.41418</v>
      </c>
      <c r="AB285" s="40">
        <v>4.82836</v>
      </c>
      <c r="AC285" s="40">
        <v>7.24254</v>
      </c>
      <c r="AD285" s="40">
        <v>12.0709</v>
      </c>
      <c r="AE285" s="40">
        <v>18.106349999999999</v>
      </c>
      <c r="AF285" s="40">
        <v>24.1418</v>
      </c>
      <c r="AG285" s="40">
        <v>94.298559581044074</v>
      </c>
      <c r="AH285" s="40">
        <v>96.138336449199727</v>
      </c>
      <c r="AI285" s="40">
        <v>96.588896784094771</v>
      </c>
      <c r="AJ285" s="40">
        <v>96.951127656168396</v>
      </c>
      <c r="AK285" s="40">
        <v>96.952936768599201</v>
      </c>
      <c r="AL285" s="40">
        <v>96.954121357451385</v>
      </c>
      <c r="AM285" s="40">
        <v>96.76202618281863</v>
      </c>
      <c r="AN285" s="40">
        <v>96.244961016193955</v>
      </c>
      <c r="AO285" s="40">
        <v>97.476914573977169</v>
      </c>
      <c r="AP285" s="40">
        <v>97.790615499320054</v>
      </c>
      <c r="AQ285" s="40">
        <v>97.957335491967925</v>
      </c>
      <c r="AR285" s="40">
        <v>97.982847302864613</v>
      </c>
      <c r="AS285" s="40">
        <v>97.922998991587718</v>
      </c>
      <c r="AT285" s="40">
        <v>97.856617502675903</v>
      </c>
      <c r="AU285" s="40">
        <v>95.769609949788745</v>
      </c>
      <c r="AV285" s="40">
        <v>97.234429015050907</v>
      </c>
      <c r="AW285" s="40">
        <v>97.616915845498539</v>
      </c>
      <c r="AX285" s="40">
        <v>97.821717266513275</v>
      </c>
      <c r="AY285" s="40">
        <v>97.813565824785215</v>
      </c>
      <c r="AZ285" s="40">
        <v>97.724760972565377</v>
      </c>
      <c r="BA285" s="40">
        <v>97.676524311936149</v>
      </c>
      <c r="BB285" s="178">
        <v>43511</v>
      </c>
      <c r="BC285" s="178">
        <v>43525</v>
      </c>
    </row>
    <row r="286" spans="1:55" s="44" customFormat="1" ht="45">
      <c r="A286" s="140" t="s">
        <v>3</v>
      </c>
      <c r="B286" s="154" t="s">
        <v>1131</v>
      </c>
      <c r="C286" s="26" t="s">
        <v>10</v>
      </c>
      <c r="D286" s="26" t="s">
        <v>10</v>
      </c>
      <c r="E286" s="23" t="s">
        <v>10</v>
      </c>
      <c r="F286" s="23" t="s">
        <v>11</v>
      </c>
      <c r="G286" s="140" t="s">
        <v>1262</v>
      </c>
      <c r="H286" s="149">
        <v>9.9749999999999996</v>
      </c>
      <c r="I286" s="129">
        <v>480</v>
      </c>
      <c r="J286" s="137">
        <v>97.5</v>
      </c>
      <c r="K286" s="21" t="s">
        <v>1219</v>
      </c>
      <c r="L286" s="58" t="s">
        <v>1132</v>
      </c>
      <c r="M286" s="26" t="s">
        <v>1133</v>
      </c>
      <c r="N286" s="174">
        <v>43497</v>
      </c>
      <c r="O286" s="58" t="s">
        <v>1132</v>
      </c>
      <c r="P286" s="23" t="s">
        <v>17</v>
      </c>
      <c r="Q286" s="23" t="s">
        <v>17</v>
      </c>
      <c r="R286" s="152" t="s">
        <v>1283</v>
      </c>
      <c r="S286" s="131" t="s">
        <v>11</v>
      </c>
      <c r="T286" s="131" t="s">
        <v>11</v>
      </c>
      <c r="U286" s="132">
        <v>8.3000000000000007</v>
      </c>
      <c r="V286" s="133"/>
      <c r="W286" s="133"/>
      <c r="X286" s="133">
        <v>450</v>
      </c>
      <c r="Y286" s="133">
        <v>750</v>
      </c>
      <c r="Z286" s="133">
        <v>850</v>
      </c>
      <c r="AA286" s="132">
        <v>0.99750000000000005</v>
      </c>
      <c r="AB286" s="132">
        <v>1.9950000000000001</v>
      </c>
      <c r="AC286" s="132">
        <v>2.9924999999999997</v>
      </c>
      <c r="AD286" s="132">
        <v>4.9874999999999998</v>
      </c>
      <c r="AE286" s="132">
        <v>7.4812499999999993</v>
      </c>
      <c r="AF286" s="132">
        <v>9.9749999999999996</v>
      </c>
      <c r="AG286" s="137">
        <v>94.115714285714276</v>
      </c>
      <c r="AH286" s="137">
        <v>96.777142857142849</v>
      </c>
      <c r="AI286" s="137">
        <v>97.342857142857142</v>
      </c>
      <c r="AJ286" s="137">
        <v>97.727142857142866</v>
      </c>
      <c r="AK286" s="137">
        <v>97.695714285714303</v>
      </c>
      <c r="AL286" s="137">
        <v>97.517142857142858</v>
      </c>
      <c r="AM286" s="137">
        <v>97.4619142857143</v>
      </c>
      <c r="AN286" s="137">
        <v>94.11</v>
      </c>
      <c r="AO286" s="137">
        <v>96.84571428571428</v>
      </c>
      <c r="AP286" s="137">
        <v>97.644285714285701</v>
      </c>
      <c r="AQ286" s="137">
        <v>98.161428571428573</v>
      </c>
      <c r="AR286" s="137">
        <v>98.220000000000013</v>
      </c>
      <c r="AS286" s="137">
        <v>98.139999999999986</v>
      </c>
      <c r="AT286" s="137">
        <v>97.901500000000013</v>
      </c>
      <c r="AU286" s="137">
        <v>93.187142857142859</v>
      </c>
      <c r="AV286" s="137">
        <v>96.460000000000008</v>
      </c>
      <c r="AW286" s="137">
        <v>97.455714285714294</v>
      </c>
      <c r="AX286" s="137">
        <v>98.102857142857147</v>
      </c>
      <c r="AY286" s="137">
        <v>98.238571428571433</v>
      </c>
      <c r="AZ286" s="137">
        <v>98.200000000000017</v>
      </c>
      <c r="BA286" s="137">
        <v>97.823214285714286</v>
      </c>
      <c r="BB286" s="176">
        <v>43405</v>
      </c>
      <c r="BC286" s="176">
        <v>43511</v>
      </c>
    </row>
    <row r="287" spans="1:55" s="44" customFormat="1" ht="45">
      <c r="A287" s="18" t="s">
        <v>1787</v>
      </c>
      <c r="B287" s="18" t="s">
        <v>1809</v>
      </c>
      <c r="C287" s="23" t="s">
        <v>10</v>
      </c>
      <c r="D287" s="23" t="s">
        <v>10</v>
      </c>
      <c r="E287" s="23" t="s">
        <v>10</v>
      </c>
      <c r="F287" s="23" t="s">
        <v>11</v>
      </c>
      <c r="G287" s="18" t="s">
        <v>1788</v>
      </c>
      <c r="H287" s="19">
        <v>1.5507</v>
      </c>
      <c r="I287" s="37">
        <v>240</v>
      </c>
      <c r="J287" s="19">
        <v>96.5</v>
      </c>
      <c r="K287" s="20" t="s">
        <v>1216</v>
      </c>
      <c r="L287" s="49" t="s">
        <v>1793</v>
      </c>
      <c r="M287" s="38" t="s">
        <v>1803</v>
      </c>
      <c r="N287" s="124">
        <v>43753</v>
      </c>
      <c r="O287" s="38" t="s">
        <v>1793</v>
      </c>
      <c r="P287" s="38" t="s">
        <v>17</v>
      </c>
      <c r="Q287" s="38" t="s">
        <v>17</v>
      </c>
      <c r="R287" s="151"/>
      <c r="S287" s="39" t="s">
        <v>11</v>
      </c>
      <c r="T287" s="39" t="s">
        <v>10</v>
      </c>
      <c r="U287" s="153">
        <v>0.03</v>
      </c>
      <c r="V287" s="153"/>
      <c r="W287" s="153"/>
      <c r="X287" s="153">
        <v>36</v>
      </c>
      <c r="Y287" s="153">
        <v>42</v>
      </c>
      <c r="Z287" s="153">
        <v>48</v>
      </c>
      <c r="AA287" s="40">
        <v>0.15506999999999999</v>
      </c>
      <c r="AB287" s="40">
        <v>0.31013999999999997</v>
      </c>
      <c r="AC287" s="40">
        <v>0.46520999999999996</v>
      </c>
      <c r="AD287" s="40">
        <v>0.77534999999999998</v>
      </c>
      <c r="AE287" s="40">
        <v>0.11630249999999999</v>
      </c>
      <c r="AF287" s="40">
        <v>1.5507</v>
      </c>
      <c r="AG287" s="40">
        <v>95.95</v>
      </c>
      <c r="AH287" s="40">
        <v>96.05</v>
      </c>
      <c r="AI287" s="40">
        <v>96.31</v>
      </c>
      <c r="AJ287" s="40">
        <v>96.64</v>
      </c>
      <c r="AK287" s="40">
        <v>96.74</v>
      </c>
      <c r="AL287" s="40">
        <v>95.9</v>
      </c>
      <c r="AM287" s="40">
        <v>96.56</v>
      </c>
      <c r="AN287" s="40">
        <v>95.94</v>
      </c>
      <c r="AO287" s="40">
        <v>95.65</v>
      </c>
      <c r="AP287" s="40">
        <v>96.36</v>
      </c>
      <c r="AQ287" s="40">
        <v>96.3</v>
      </c>
      <c r="AR287" s="40">
        <v>96.72</v>
      </c>
      <c r="AS287" s="40">
        <v>96.43</v>
      </c>
      <c r="AT287" s="40">
        <v>96.49</v>
      </c>
      <c r="AU287" s="40">
        <v>95.14</v>
      </c>
      <c r="AV287" s="40">
        <v>95.87</v>
      </c>
      <c r="AW287" s="40">
        <v>96.45</v>
      </c>
      <c r="AX287" s="40">
        <v>96.17</v>
      </c>
      <c r="AY287" s="40">
        <v>96.67</v>
      </c>
      <c r="AZ287" s="40">
        <v>96.59</v>
      </c>
      <c r="BA287" s="40">
        <v>96.43</v>
      </c>
      <c r="BB287" s="180">
        <v>43753</v>
      </c>
      <c r="BC287" s="180"/>
    </row>
    <row r="288" spans="1:55" s="44" customFormat="1" ht="45">
      <c r="A288" s="18" t="s">
        <v>1787</v>
      </c>
      <c r="B288" s="18" t="s">
        <v>1810</v>
      </c>
      <c r="C288" s="23" t="s">
        <v>10</v>
      </c>
      <c r="D288" s="23" t="s">
        <v>10</v>
      </c>
      <c r="E288" s="23" t="s">
        <v>10</v>
      </c>
      <c r="F288" s="23" t="s">
        <v>11</v>
      </c>
      <c r="G288" s="18" t="s">
        <v>1788</v>
      </c>
      <c r="H288" s="19">
        <v>1.5507</v>
      </c>
      <c r="I288" s="37">
        <v>240</v>
      </c>
      <c r="J288" s="19">
        <v>96.5</v>
      </c>
      <c r="K288" s="20" t="s">
        <v>1216</v>
      </c>
      <c r="L288" s="49" t="s">
        <v>1793</v>
      </c>
      <c r="M288" s="38" t="s">
        <v>1803</v>
      </c>
      <c r="N288" s="124">
        <v>43753</v>
      </c>
      <c r="O288" s="38" t="s">
        <v>1793</v>
      </c>
      <c r="P288" s="38" t="s">
        <v>17</v>
      </c>
      <c r="Q288" s="38" t="s">
        <v>17</v>
      </c>
      <c r="R288" s="151"/>
      <c r="S288" s="39" t="s">
        <v>11</v>
      </c>
      <c r="T288" s="39" t="s">
        <v>10</v>
      </c>
      <c r="U288" s="153">
        <v>0.03</v>
      </c>
      <c r="V288" s="153"/>
      <c r="W288" s="153"/>
      <c r="X288" s="153">
        <v>36</v>
      </c>
      <c r="Y288" s="153">
        <v>42</v>
      </c>
      <c r="Z288" s="153">
        <v>48</v>
      </c>
      <c r="AA288" s="40">
        <v>0.15506999999999999</v>
      </c>
      <c r="AB288" s="40">
        <v>0.31013999999999997</v>
      </c>
      <c r="AC288" s="40">
        <v>0.46520999999999996</v>
      </c>
      <c r="AD288" s="40">
        <v>0.77534999999999998</v>
      </c>
      <c r="AE288" s="40">
        <v>0.11630249999999999</v>
      </c>
      <c r="AF288" s="40">
        <v>1.5507</v>
      </c>
      <c r="AG288" s="40">
        <v>95.95</v>
      </c>
      <c r="AH288" s="40">
        <v>96.05</v>
      </c>
      <c r="AI288" s="40">
        <v>96.31</v>
      </c>
      <c r="AJ288" s="40">
        <v>96.64</v>
      </c>
      <c r="AK288" s="40">
        <v>96.74</v>
      </c>
      <c r="AL288" s="40">
        <v>95.9</v>
      </c>
      <c r="AM288" s="40">
        <v>96.56</v>
      </c>
      <c r="AN288" s="40">
        <v>95.94</v>
      </c>
      <c r="AO288" s="40">
        <v>95.65</v>
      </c>
      <c r="AP288" s="40">
        <v>96.36</v>
      </c>
      <c r="AQ288" s="40">
        <v>96.3</v>
      </c>
      <c r="AR288" s="40">
        <v>96.72</v>
      </c>
      <c r="AS288" s="40">
        <v>96.43</v>
      </c>
      <c r="AT288" s="40">
        <v>96.49</v>
      </c>
      <c r="AU288" s="40">
        <v>95.14</v>
      </c>
      <c r="AV288" s="40">
        <v>95.87</v>
      </c>
      <c r="AW288" s="40">
        <v>96.45</v>
      </c>
      <c r="AX288" s="40">
        <v>96.17</v>
      </c>
      <c r="AY288" s="40">
        <v>96.67</v>
      </c>
      <c r="AZ288" s="40">
        <v>96.59</v>
      </c>
      <c r="BA288" s="40">
        <v>96.43</v>
      </c>
      <c r="BB288" s="180">
        <v>43753</v>
      </c>
      <c r="BC288" s="180"/>
    </row>
    <row r="289" spans="1:55" s="44" customFormat="1" ht="45">
      <c r="A289" s="18" t="s">
        <v>1787</v>
      </c>
      <c r="B289" s="18" t="s">
        <v>1805</v>
      </c>
      <c r="C289" s="23" t="s">
        <v>10</v>
      </c>
      <c r="D289" s="23" t="s">
        <v>10</v>
      </c>
      <c r="E289" s="23" t="s">
        <v>10</v>
      </c>
      <c r="F289" s="23" t="s">
        <v>11</v>
      </c>
      <c r="G289" s="18" t="s">
        <v>1802</v>
      </c>
      <c r="H289" s="19">
        <v>1.0324</v>
      </c>
      <c r="I289" s="37">
        <v>240</v>
      </c>
      <c r="J289" s="19">
        <v>96.5</v>
      </c>
      <c r="K289" s="20" t="s">
        <v>1216</v>
      </c>
      <c r="L289" s="49" t="s">
        <v>1793</v>
      </c>
      <c r="M289" s="38" t="s">
        <v>1803</v>
      </c>
      <c r="N289" s="124">
        <v>43753</v>
      </c>
      <c r="O289" s="38" t="s">
        <v>1793</v>
      </c>
      <c r="P289" s="38" t="s">
        <v>17</v>
      </c>
      <c r="Q289" s="38" t="s">
        <v>17</v>
      </c>
      <c r="R289" s="151"/>
      <c r="S289" s="39" t="s">
        <v>11</v>
      </c>
      <c r="T289" s="39" t="s">
        <v>10</v>
      </c>
      <c r="U289" s="153">
        <v>0.03</v>
      </c>
      <c r="V289" s="153"/>
      <c r="W289" s="153"/>
      <c r="X289" s="153">
        <v>27</v>
      </c>
      <c r="Y289" s="153">
        <v>37</v>
      </c>
      <c r="Z289" s="153">
        <v>48</v>
      </c>
      <c r="AA289" s="40">
        <v>0.10324</v>
      </c>
      <c r="AB289" s="40">
        <v>0.20648</v>
      </c>
      <c r="AC289" s="40">
        <v>0.30972</v>
      </c>
      <c r="AD289" s="40">
        <v>0.51619999999999999</v>
      </c>
      <c r="AE289" s="40">
        <v>0.77429999999999999</v>
      </c>
      <c r="AF289" s="40">
        <v>1.0324</v>
      </c>
      <c r="AG289" s="40">
        <v>95.61</v>
      </c>
      <c r="AH289" s="40">
        <v>96.42</v>
      </c>
      <c r="AI289" s="40">
        <v>96.54</v>
      </c>
      <c r="AJ289" s="40">
        <v>96.45</v>
      </c>
      <c r="AK289" s="40">
        <v>96.72</v>
      </c>
      <c r="AL289" s="40">
        <v>96.4</v>
      </c>
      <c r="AM289" s="40">
        <v>96.56</v>
      </c>
      <c r="AN289" s="40">
        <v>96</v>
      </c>
      <c r="AO289" s="40">
        <v>96.28</v>
      </c>
      <c r="AP289" s="40">
        <v>96.57</v>
      </c>
      <c r="AQ289" s="40">
        <v>96.65</v>
      </c>
      <c r="AR289" s="40">
        <v>96.72</v>
      </c>
      <c r="AS289" s="40">
        <v>96.6</v>
      </c>
      <c r="AT289" s="40">
        <v>96.63</v>
      </c>
      <c r="AU289" s="40">
        <v>95.84</v>
      </c>
      <c r="AV289" s="40">
        <v>96.09</v>
      </c>
      <c r="AW289" s="40">
        <v>96.34</v>
      </c>
      <c r="AX289" s="40">
        <v>96.68</v>
      </c>
      <c r="AY289" s="40">
        <v>96.71</v>
      </c>
      <c r="AZ289" s="40">
        <v>96.61</v>
      </c>
      <c r="BA289" s="40">
        <v>96.59</v>
      </c>
      <c r="BB289" s="180">
        <v>43753</v>
      </c>
      <c r="BC289" s="180"/>
    </row>
    <row r="290" spans="1:55" s="44" customFormat="1" ht="45">
      <c r="A290" s="18" t="s">
        <v>1787</v>
      </c>
      <c r="B290" s="18" t="s">
        <v>1806</v>
      </c>
      <c r="C290" s="23" t="s">
        <v>10</v>
      </c>
      <c r="D290" s="23" t="s">
        <v>10</v>
      </c>
      <c r="E290" s="23" t="s">
        <v>10</v>
      </c>
      <c r="F290" s="23" t="s">
        <v>11</v>
      </c>
      <c r="G290" s="18" t="s">
        <v>1802</v>
      </c>
      <c r="H290" s="19">
        <v>1.0324</v>
      </c>
      <c r="I290" s="37">
        <v>240</v>
      </c>
      <c r="J290" s="19">
        <v>96.5</v>
      </c>
      <c r="K290" s="20" t="s">
        <v>1216</v>
      </c>
      <c r="L290" s="49" t="s">
        <v>1793</v>
      </c>
      <c r="M290" s="38" t="s">
        <v>1803</v>
      </c>
      <c r="N290" s="124">
        <v>43753</v>
      </c>
      <c r="O290" s="38" t="s">
        <v>1793</v>
      </c>
      <c r="P290" s="38" t="s">
        <v>17</v>
      </c>
      <c r="Q290" s="38" t="s">
        <v>17</v>
      </c>
      <c r="R290" s="151"/>
      <c r="S290" s="39" t="s">
        <v>11</v>
      </c>
      <c r="T290" s="39" t="s">
        <v>10</v>
      </c>
      <c r="U290" s="153">
        <v>0.03</v>
      </c>
      <c r="V290" s="153"/>
      <c r="W290" s="153"/>
      <c r="X290" s="153">
        <v>27</v>
      </c>
      <c r="Y290" s="153">
        <v>37</v>
      </c>
      <c r="Z290" s="153">
        <v>48</v>
      </c>
      <c r="AA290" s="40">
        <v>0.10324</v>
      </c>
      <c r="AB290" s="40">
        <v>0.20648</v>
      </c>
      <c r="AC290" s="40">
        <v>0.30972</v>
      </c>
      <c r="AD290" s="40">
        <v>0.51619999999999999</v>
      </c>
      <c r="AE290" s="40">
        <v>0.77429999999999999</v>
      </c>
      <c r="AF290" s="40">
        <v>1.0324</v>
      </c>
      <c r="AG290" s="40">
        <v>95.61</v>
      </c>
      <c r="AH290" s="40">
        <v>96.42</v>
      </c>
      <c r="AI290" s="40">
        <v>96.54</v>
      </c>
      <c r="AJ290" s="40">
        <v>96.45</v>
      </c>
      <c r="AK290" s="40">
        <v>96.72</v>
      </c>
      <c r="AL290" s="40">
        <v>96.4</v>
      </c>
      <c r="AM290" s="40">
        <v>96.56</v>
      </c>
      <c r="AN290" s="40">
        <v>96</v>
      </c>
      <c r="AO290" s="40">
        <v>96.28</v>
      </c>
      <c r="AP290" s="40">
        <v>96.57</v>
      </c>
      <c r="AQ290" s="40">
        <v>96.65</v>
      </c>
      <c r="AR290" s="40">
        <v>96.72</v>
      </c>
      <c r="AS290" s="40">
        <v>96.6</v>
      </c>
      <c r="AT290" s="40">
        <v>96.63</v>
      </c>
      <c r="AU290" s="40">
        <v>95.84</v>
      </c>
      <c r="AV290" s="40">
        <v>96.09</v>
      </c>
      <c r="AW290" s="40">
        <v>96.34</v>
      </c>
      <c r="AX290" s="40">
        <v>96.68</v>
      </c>
      <c r="AY290" s="40">
        <v>96.71</v>
      </c>
      <c r="AZ290" s="40">
        <v>96.61</v>
      </c>
      <c r="BA290" s="40">
        <v>96.59</v>
      </c>
      <c r="BB290" s="180">
        <v>43753</v>
      </c>
      <c r="BC290" s="180"/>
    </row>
    <row r="291" spans="1:55" s="44" customFormat="1" ht="45">
      <c r="A291" s="18" t="s">
        <v>1787</v>
      </c>
      <c r="B291" s="18" t="s">
        <v>1807</v>
      </c>
      <c r="C291" s="23" t="s">
        <v>10</v>
      </c>
      <c r="D291" s="23" t="s">
        <v>10</v>
      </c>
      <c r="E291" s="23" t="s">
        <v>10</v>
      </c>
      <c r="F291" s="23" t="s">
        <v>11</v>
      </c>
      <c r="G291" s="18" t="s">
        <v>1804</v>
      </c>
      <c r="H291" s="19">
        <v>1.2132000000000001</v>
      </c>
      <c r="I291" s="37">
        <v>240</v>
      </c>
      <c r="J291" s="19">
        <v>96.5</v>
      </c>
      <c r="K291" s="20" t="s">
        <v>1216</v>
      </c>
      <c r="L291" s="49" t="s">
        <v>1793</v>
      </c>
      <c r="M291" s="38" t="s">
        <v>1803</v>
      </c>
      <c r="N291" s="124">
        <v>43753</v>
      </c>
      <c r="O291" s="38" t="s">
        <v>1793</v>
      </c>
      <c r="P291" s="38" t="s">
        <v>17</v>
      </c>
      <c r="Q291" s="38" t="s">
        <v>17</v>
      </c>
      <c r="R291" s="151"/>
      <c r="S291" s="39" t="s">
        <v>11</v>
      </c>
      <c r="T291" s="39" t="s">
        <v>10</v>
      </c>
      <c r="U291" s="153">
        <v>1.461E-2</v>
      </c>
      <c r="V291" s="153"/>
      <c r="W291" s="153"/>
      <c r="X291" s="153">
        <v>32</v>
      </c>
      <c r="Y291" s="153">
        <v>40</v>
      </c>
      <c r="Z291" s="153">
        <v>48</v>
      </c>
      <c r="AA291" s="40">
        <v>0.12131800000000002</v>
      </c>
      <c r="AB291" s="40">
        <v>0.24263600000000005</v>
      </c>
      <c r="AC291" s="40">
        <v>0.36395400000000006</v>
      </c>
      <c r="AD291" s="40">
        <v>0.60659000000000007</v>
      </c>
      <c r="AE291" s="40">
        <v>0.90988500000000005</v>
      </c>
      <c r="AF291" s="40">
        <v>1.2131800000000001</v>
      </c>
      <c r="AG291" s="40">
        <v>95.813036805416814</v>
      </c>
      <c r="AH291" s="40">
        <v>96.110484343317935</v>
      </c>
      <c r="AI291" s="40">
        <v>96.254409212530888</v>
      </c>
      <c r="AJ291" s="40">
        <v>96.609551617293192</v>
      </c>
      <c r="AK291" s="40">
        <v>96.279694756286986</v>
      </c>
      <c r="AL291" s="40">
        <v>95.420300881289762</v>
      </c>
      <c r="AM291" s="40">
        <v>96.275833899414437</v>
      </c>
      <c r="AN291" s="40">
        <v>95.849341151120569</v>
      </c>
      <c r="AO291" s="40">
        <v>96.167992170177513</v>
      </c>
      <c r="AP291" s="40">
        <v>96.284334446261013</v>
      </c>
      <c r="AQ291" s="40">
        <v>96.54213984840419</v>
      </c>
      <c r="AR291" s="40">
        <v>96.533102007673079</v>
      </c>
      <c r="AS291" s="40">
        <v>96.043660043725737</v>
      </c>
      <c r="AT291" s="40">
        <v>96.435069822522919</v>
      </c>
      <c r="AU291" s="40">
        <v>95.386916107846801</v>
      </c>
      <c r="AV291" s="40">
        <v>95.959788067095715</v>
      </c>
      <c r="AW291" s="40">
        <v>96.205849806025668</v>
      </c>
      <c r="AX291" s="40">
        <v>96.32102651281582</v>
      </c>
      <c r="AY291" s="40">
        <v>96.552969145473867</v>
      </c>
      <c r="AZ291" s="40">
        <v>96.301315715561984</v>
      </c>
      <c r="BA291" s="40">
        <v>96.373723024962317</v>
      </c>
      <c r="BB291" s="180">
        <v>43753</v>
      </c>
      <c r="BC291" s="180"/>
    </row>
    <row r="292" spans="1:55" s="44" customFormat="1" ht="45">
      <c r="A292" s="18" t="s">
        <v>1787</v>
      </c>
      <c r="B292" s="18" t="s">
        <v>1808</v>
      </c>
      <c r="C292" s="23" t="s">
        <v>10</v>
      </c>
      <c r="D292" s="23" t="s">
        <v>10</v>
      </c>
      <c r="E292" s="23" t="s">
        <v>10</v>
      </c>
      <c r="F292" s="23" t="s">
        <v>11</v>
      </c>
      <c r="G292" s="18" t="s">
        <v>1804</v>
      </c>
      <c r="H292" s="19">
        <v>1.2132000000000001</v>
      </c>
      <c r="I292" s="37">
        <v>240</v>
      </c>
      <c r="J292" s="19">
        <v>96.5</v>
      </c>
      <c r="K292" s="20" t="s">
        <v>1216</v>
      </c>
      <c r="L292" s="49" t="s">
        <v>1793</v>
      </c>
      <c r="M292" s="38" t="s">
        <v>1803</v>
      </c>
      <c r="N292" s="124">
        <v>43753</v>
      </c>
      <c r="O292" s="38" t="s">
        <v>1793</v>
      </c>
      <c r="P292" s="38" t="s">
        <v>17</v>
      </c>
      <c r="Q292" s="38" t="s">
        <v>17</v>
      </c>
      <c r="R292" s="151"/>
      <c r="S292" s="39" t="s">
        <v>11</v>
      </c>
      <c r="T292" s="39" t="s">
        <v>10</v>
      </c>
      <c r="U292" s="153">
        <v>1.461E-2</v>
      </c>
      <c r="V292" s="153"/>
      <c r="W292" s="153"/>
      <c r="X292" s="153">
        <v>32</v>
      </c>
      <c r="Y292" s="153">
        <v>40</v>
      </c>
      <c r="Z292" s="153">
        <v>48</v>
      </c>
      <c r="AA292" s="40">
        <v>0.12131800000000002</v>
      </c>
      <c r="AB292" s="40">
        <v>0.24263600000000005</v>
      </c>
      <c r="AC292" s="40">
        <v>0.36395400000000006</v>
      </c>
      <c r="AD292" s="40">
        <v>0.60659000000000007</v>
      </c>
      <c r="AE292" s="40">
        <v>0.90988500000000005</v>
      </c>
      <c r="AF292" s="40">
        <v>1.2131800000000001</v>
      </c>
      <c r="AG292" s="40">
        <v>95.813036805416814</v>
      </c>
      <c r="AH292" s="40">
        <v>96.110484343317935</v>
      </c>
      <c r="AI292" s="40">
        <v>96.254409212530888</v>
      </c>
      <c r="AJ292" s="40">
        <v>96.609551617293192</v>
      </c>
      <c r="AK292" s="40">
        <v>96.279694756286986</v>
      </c>
      <c r="AL292" s="40">
        <v>95.420300881289762</v>
      </c>
      <c r="AM292" s="40">
        <v>96.275833899414437</v>
      </c>
      <c r="AN292" s="40">
        <v>95.849341151120569</v>
      </c>
      <c r="AO292" s="40">
        <v>96.167992170177513</v>
      </c>
      <c r="AP292" s="40">
        <v>96.284334446261013</v>
      </c>
      <c r="AQ292" s="40">
        <v>96.54213984840419</v>
      </c>
      <c r="AR292" s="40">
        <v>96.533102007673079</v>
      </c>
      <c r="AS292" s="40">
        <v>96.043660043725737</v>
      </c>
      <c r="AT292" s="40">
        <v>96.435069822522919</v>
      </c>
      <c r="AU292" s="40">
        <v>95.386916107846801</v>
      </c>
      <c r="AV292" s="40">
        <v>95.959788067095715</v>
      </c>
      <c r="AW292" s="40">
        <v>96.205849806025668</v>
      </c>
      <c r="AX292" s="40">
        <v>96.32102651281582</v>
      </c>
      <c r="AY292" s="40">
        <v>96.552969145473867</v>
      </c>
      <c r="AZ292" s="40">
        <v>96.301315715561984</v>
      </c>
      <c r="BA292" s="40">
        <v>96.373723024962317</v>
      </c>
      <c r="BB292" s="180">
        <v>43753</v>
      </c>
      <c r="BC292" s="180"/>
    </row>
    <row r="293" spans="1:55" s="44" customFormat="1" ht="45">
      <c r="A293" s="18" t="s">
        <v>1510</v>
      </c>
      <c r="B293" s="18" t="s">
        <v>1568</v>
      </c>
      <c r="C293" s="23" t="s">
        <v>10</v>
      </c>
      <c r="D293" s="23" t="s">
        <v>10</v>
      </c>
      <c r="E293" s="23" t="s">
        <v>10</v>
      </c>
      <c r="F293" s="23" t="s">
        <v>11</v>
      </c>
      <c r="G293" s="18" t="s">
        <v>1511</v>
      </c>
      <c r="H293" s="19">
        <v>25</v>
      </c>
      <c r="I293" s="37">
        <v>480</v>
      </c>
      <c r="J293" s="19">
        <v>98</v>
      </c>
      <c r="K293" s="20" t="s">
        <v>1216</v>
      </c>
      <c r="L293" s="49" t="s">
        <v>1512</v>
      </c>
      <c r="M293" s="38" t="s">
        <v>1513</v>
      </c>
      <c r="N293" s="174">
        <v>43586</v>
      </c>
      <c r="O293" s="38" t="s">
        <v>1512</v>
      </c>
      <c r="P293" s="38" t="s">
        <v>17</v>
      </c>
      <c r="Q293" s="38" t="s">
        <v>17</v>
      </c>
      <c r="R293" s="151"/>
      <c r="S293" s="39" t="s">
        <v>11</v>
      </c>
      <c r="T293" s="39" t="s">
        <v>11</v>
      </c>
      <c r="U293" s="37">
        <v>1</v>
      </c>
      <c r="V293" s="153"/>
      <c r="W293" s="153"/>
      <c r="X293" s="153">
        <v>560</v>
      </c>
      <c r="Y293" s="153">
        <v>730</v>
      </c>
      <c r="Z293" s="153">
        <v>800</v>
      </c>
      <c r="AA293" s="40">
        <v>2.5</v>
      </c>
      <c r="AB293" s="40">
        <v>5</v>
      </c>
      <c r="AC293" s="40">
        <v>7.5</v>
      </c>
      <c r="AD293" s="40">
        <v>12.5</v>
      </c>
      <c r="AE293" s="40">
        <v>18.75</v>
      </c>
      <c r="AF293" s="40">
        <v>25</v>
      </c>
      <c r="AG293" s="40">
        <v>95.7</v>
      </c>
      <c r="AH293" s="40">
        <v>97.1</v>
      </c>
      <c r="AI293" s="40">
        <v>97.6</v>
      </c>
      <c r="AJ293" s="40">
        <v>97.9</v>
      </c>
      <c r="AK293" s="40">
        <v>97.9</v>
      </c>
      <c r="AL293" s="40">
        <v>97.9</v>
      </c>
      <c r="AM293" s="40">
        <v>97.7</v>
      </c>
      <c r="AN293" s="40">
        <v>96.3</v>
      </c>
      <c r="AO293" s="40">
        <v>97.7</v>
      </c>
      <c r="AP293" s="40">
        <v>98.2</v>
      </c>
      <c r="AQ293" s="40">
        <v>98.4</v>
      </c>
      <c r="AR293" s="40">
        <v>98.4</v>
      </c>
      <c r="AS293" s="40">
        <v>98.4</v>
      </c>
      <c r="AT293" s="40">
        <v>98.3</v>
      </c>
      <c r="AU293" s="40">
        <v>95.9</v>
      </c>
      <c r="AV293" s="40">
        <v>97.5</v>
      </c>
      <c r="AW293" s="40">
        <v>98</v>
      </c>
      <c r="AX293" s="40">
        <v>98.3</v>
      </c>
      <c r="AY293" s="40">
        <v>98.3</v>
      </c>
      <c r="AZ293" s="40">
        <v>98.3</v>
      </c>
      <c r="BA293" s="40">
        <v>98.1</v>
      </c>
      <c r="BB293" s="178">
        <v>43586</v>
      </c>
      <c r="BC293" s="178"/>
    </row>
    <row r="294" spans="1:55" s="44" customFormat="1" ht="45">
      <c r="A294" s="18" t="s">
        <v>1510</v>
      </c>
      <c r="B294" s="18" t="s">
        <v>1569</v>
      </c>
      <c r="C294" s="23" t="s">
        <v>10</v>
      </c>
      <c r="D294" s="23" t="s">
        <v>10</v>
      </c>
      <c r="E294" s="23" t="s">
        <v>10</v>
      </c>
      <c r="F294" s="23" t="s">
        <v>11</v>
      </c>
      <c r="G294" s="18" t="s">
        <v>1514</v>
      </c>
      <c r="H294" s="19">
        <v>30</v>
      </c>
      <c r="I294" s="37">
        <v>480</v>
      </c>
      <c r="J294" s="19">
        <v>98</v>
      </c>
      <c r="K294" s="20" t="s">
        <v>1216</v>
      </c>
      <c r="L294" s="49" t="s">
        <v>1512</v>
      </c>
      <c r="M294" s="38" t="s">
        <v>1513</v>
      </c>
      <c r="N294" s="174">
        <v>43586</v>
      </c>
      <c r="O294" s="38" t="s">
        <v>1512</v>
      </c>
      <c r="P294" s="38" t="s">
        <v>17</v>
      </c>
      <c r="Q294" s="38" t="s">
        <v>17</v>
      </c>
      <c r="R294" s="151"/>
      <c r="S294" s="39" t="s">
        <v>11</v>
      </c>
      <c r="T294" s="39" t="s">
        <v>11</v>
      </c>
      <c r="U294" s="37">
        <v>1</v>
      </c>
      <c r="V294" s="153"/>
      <c r="W294" s="153"/>
      <c r="X294" s="153">
        <v>560</v>
      </c>
      <c r="Y294" s="153">
        <v>730</v>
      </c>
      <c r="Z294" s="153">
        <v>800</v>
      </c>
      <c r="AA294" s="40">
        <v>3</v>
      </c>
      <c r="AB294" s="40">
        <v>6</v>
      </c>
      <c r="AC294" s="40">
        <v>9</v>
      </c>
      <c r="AD294" s="40">
        <v>15</v>
      </c>
      <c r="AE294" s="40">
        <v>22.5</v>
      </c>
      <c r="AF294" s="40">
        <v>30</v>
      </c>
      <c r="AG294" s="40">
        <v>96.1</v>
      </c>
      <c r="AH294" s="40">
        <v>97.4</v>
      </c>
      <c r="AI294" s="40">
        <v>97.7</v>
      </c>
      <c r="AJ294" s="40">
        <v>97.9</v>
      </c>
      <c r="AK294" s="40">
        <v>97.9</v>
      </c>
      <c r="AL294" s="40">
        <v>97.8</v>
      </c>
      <c r="AM294" s="40">
        <v>97.8</v>
      </c>
      <c r="AN294" s="40">
        <v>96.6</v>
      </c>
      <c r="AO294" s="40">
        <v>97.9</v>
      </c>
      <c r="AP294" s="40">
        <v>98.3</v>
      </c>
      <c r="AQ294" s="40">
        <v>98.4</v>
      </c>
      <c r="AR294" s="40">
        <v>98.4</v>
      </c>
      <c r="AS294" s="40">
        <v>98.3</v>
      </c>
      <c r="AT294" s="40">
        <v>98.3</v>
      </c>
      <c r="AU294" s="40">
        <v>96.4</v>
      </c>
      <c r="AV294" s="40">
        <v>97.8</v>
      </c>
      <c r="AW294" s="40">
        <v>98.2</v>
      </c>
      <c r="AX294" s="40">
        <v>98.3</v>
      </c>
      <c r="AY294" s="40">
        <v>98.3</v>
      </c>
      <c r="AZ294" s="40">
        <v>98.2</v>
      </c>
      <c r="BA294" s="40">
        <v>98.2</v>
      </c>
      <c r="BB294" s="178">
        <v>43586</v>
      </c>
      <c r="BC294" s="178"/>
    </row>
    <row r="295" spans="1:55" s="44" customFormat="1" ht="45">
      <c r="A295" s="18" t="s">
        <v>575</v>
      </c>
      <c r="B295" s="18" t="s">
        <v>1251</v>
      </c>
      <c r="C295" s="23" t="s">
        <v>10</v>
      </c>
      <c r="D295" s="23" t="s">
        <v>10</v>
      </c>
      <c r="E295" s="23" t="s">
        <v>10</v>
      </c>
      <c r="F295" s="23" t="s">
        <v>11</v>
      </c>
      <c r="G295" s="148" t="s">
        <v>1252</v>
      </c>
      <c r="H295" s="125">
        <v>100</v>
      </c>
      <c r="I295" s="127">
        <v>800</v>
      </c>
      <c r="J295" s="125">
        <v>98.5</v>
      </c>
      <c r="K295" s="21" t="s">
        <v>1216</v>
      </c>
      <c r="L295" s="58" t="s">
        <v>1186</v>
      </c>
      <c r="M295" s="38" t="s">
        <v>1253</v>
      </c>
      <c r="N295" s="174">
        <v>43480</v>
      </c>
      <c r="O295" s="58" t="s">
        <v>1186</v>
      </c>
      <c r="P295" s="23" t="s">
        <v>17</v>
      </c>
      <c r="Q295" s="23" t="s">
        <v>17</v>
      </c>
      <c r="R295" s="151"/>
      <c r="S295" s="23" t="s">
        <v>11</v>
      </c>
      <c r="T295" s="23" t="s">
        <v>11</v>
      </c>
      <c r="U295" s="125">
        <v>2.61</v>
      </c>
      <c r="V295" s="135"/>
      <c r="W295" s="135"/>
      <c r="X295" s="135">
        <v>880</v>
      </c>
      <c r="Y295" s="135">
        <v>1120</v>
      </c>
      <c r="Z295" s="135">
        <v>1200</v>
      </c>
      <c r="AA295" s="126">
        <v>10</v>
      </c>
      <c r="AB295" s="126">
        <v>20</v>
      </c>
      <c r="AC295" s="126">
        <v>30</v>
      </c>
      <c r="AD295" s="126">
        <v>50</v>
      </c>
      <c r="AE295" s="126">
        <v>75</v>
      </c>
      <c r="AF295" s="126">
        <v>100</v>
      </c>
      <c r="AG295" s="126">
        <v>97.297060000000002</v>
      </c>
      <c r="AH295" s="126">
        <v>98.049090000000007</v>
      </c>
      <c r="AI295" s="126">
        <v>98.304159999999996</v>
      </c>
      <c r="AJ295" s="126">
        <v>98.447010000000006</v>
      </c>
      <c r="AK295" s="126">
        <v>98.410420000000002</v>
      </c>
      <c r="AL295" s="126">
        <v>98.31644</v>
      </c>
      <c r="AM295" s="126">
        <v>98.338049999999996</v>
      </c>
      <c r="AN295" s="126">
        <v>97.691339999999997</v>
      </c>
      <c r="AO295" s="126">
        <v>98.412009999999995</v>
      </c>
      <c r="AP295" s="126">
        <v>98.599450000000004</v>
      </c>
      <c r="AQ295" s="126">
        <v>98.692269999999994</v>
      </c>
      <c r="AR295" s="126">
        <v>98.659400000000005</v>
      </c>
      <c r="AS295" s="126">
        <v>98.573899999999995</v>
      </c>
      <c r="AT295" s="126">
        <v>98.603740000000002</v>
      </c>
      <c r="AU295" s="126">
        <v>98.224800000000002</v>
      </c>
      <c r="AV295" s="126">
        <v>98.790670000000006</v>
      </c>
      <c r="AW295" s="126">
        <v>98.936269999999993</v>
      </c>
      <c r="AX295" s="126">
        <v>98.987870000000001</v>
      </c>
      <c r="AY295" s="126">
        <v>98.981089999999995</v>
      </c>
      <c r="AZ295" s="126">
        <v>98.631020000000007</v>
      </c>
      <c r="BA295" s="126">
        <v>98.91986</v>
      </c>
      <c r="BB295" s="174">
        <v>43480</v>
      </c>
      <c r="BC295" s="174"/>
    </row>
    <row r="296" spans="1:55" s="44" customFormat="1" ht="45">
      <c r="A296" s="18" t="s">
        <v>575</v>
      </c>
      <c r="B296" s="18" t="s">
        <v>915</v>
      </c>
      <c r="C296" s="23" t="s">
        <v>10</v>
      </c>
      <c r="D296" s="23" t="s">
        <v>10</v>
      </c>
      <c r="E296" s="23" t="s">
        <v>10</v>
      </c>
      <c r="F296" s="23" t="s">
        <v>11</v>
      </c>
      <c r="G296" s="18" t="s">
        <v>673</v>
      </c>
      <c r="H296" s="19">
        <v>10</v>
      </c>
      <c r="I296" s="37">
        <v>240</v>
      </c>
      <c r="J296" s="19">
        <v>99</v>
      </c>
      <c r="K296" s="21" t="s">
        <v>1219</v>
      </c>
      <c r="L296" s="49" t="s">
        <v>668</v>
      </c>
      <c r="M296" s="38" t="s">
        <v>669</v>
      </c>
      <c r="N296" s="174">
        <v>43388</v>
      </c>
      <c r="O296" s="49" t="s">
        <v>668</v>
      </c>
      <c r="P296" s="23" t="s">
        <v>17</v>
      </c>
      <c r="Q296" s="23" t="s">
        <v>17</v>
      </c>
      <c r="R296" s="151"/>
      <c r="S296" s="39" t="s">
        <v>10</v>
      </c>
      <c r="T296" s="39" t="s">
        <v>11</v>
      </c>
      <c r="U296" s="153">
        <v>1.98</v>
      </c>
      <c r="V296" s="153"/>
      <c r="W296" s="153"/>
      <c r="X296" s="153">
        <v>370</v>
      </c>
      <c r="Y296" s="153">
        <v>395</v>
      </c>
      <c r="Z296" s="153">
        <v>420</v>
      </c>
      <c r="AA296" s="40">
        <v>1</v>
      </c>
      <c r="AB296" s="40">
        <v>2</v>
      </c>
      <c r="AC296" s="40">
        <v>3</v>
      </c>
      <c r="AD296" s="40">
        <v>5</v>
      </c>
      <c r="AE296" s="40">
        <v>7.5</v>
      </c>
      <c r="AF296" s="40">
        <v>10</v>
      </c>
      <c r="AG296" s="40">
        <v>97.640117994100279</v>
      </c>
      <c r="AH296" s="40">
        <v>98.65604000625099</v>
      </c>
      <c r="AI296" s="40">
        <v>98.936592333474479</v>
      </c>
      <c r="AJ296" s="40">
        <v>99.048316251830173</v>
      </c>
      <c r="AK296" s="40">
        <v>99.012992322810646</v>
      </c>
      <c r="AL296" s="40">
        <v>98.903321870737884</v>
      </c>
      <c r="AM296" s="40">
        <v>98.932996237604385</v>
      </c>
      <c r="AN296" s="40">
        <v>97.448478900883245</v>
      </c>
      <c r="AO296" s="40">
        <v>98.548009367681502</v>
      </c>
      <c r="AP296" s="40">
        <v>98.859432799013561</v>
      </c>
      <c r="AQ296" s="40">
        <v>99.004051757940147</v>
      </c>
      <c r="AR296" s="40">
        <v>98.977306347948414</v>
      </c>
      <c r="AS296" s="40">
        <v>98.879178720503461</v>
      </c>
      <c r="AT296" s="40">
        <v>98.881253729906291</v>
      </c>
      <c r="AU296" s="40">
        <v>97.185084705665261</v>
      </c>
      <c r="AV296" s="40">
        <v>98.420657665824891</v>
      </c>
      <c r="AW296" s="40">
        <v>98.767714109673435</v>
      </c>
      <c r="AX296" s="40">
        <v>98.933048437210559</v>
      </c>
      <c r="AY296" s="40">
        <v>98.937777723995637</v>
      </c>
      <c r="AZ296" s="40">
        <v>98.845012252136229</v>
      </c>
      <c r="BA296" s="40">
        <v>98.815774942817384</v>
      </c>
      <c r="BB296" s="174">
        <v>43297</v>
      </c>
      <c r="BC296" s="174">
        <v>43388</v>
      </c>
    </row>
    <row r="297" spans="1:55" s="44" customFormat="1" ht="45">
      <c r="A297" s="18" t="s">
        <v>575</v>
      </c>
      <c r="B297" s="18" t="s">
        <v>916</v>
      </c>
      <c r="C297" s="23" t="s">
        <v>10</v>
      </c>
      <c r="D297" s="23" t="s">
        <v>10</v>
      </c>
      <c r="E297" s="23" t="s">
        <v>10</v>
      </c>
      <c r="F297" s="23" t="s">
        <v>11</v>
      </c>
      <c r="G297" s="18" t="s">
        <v>674</v>
      </c>
      <c r="H297" s="19">
        <v>11.4</v>
      </c>
      <c r="I297" s="37">
        <v>240</v>
      </c>
      <c r="J297" s="19">
        <v>99</v>
      </c>
      <c r="K297" s="21" t="s">
        <v>1219</v>
      </c>
      <c r="L297" s="49" t="s">
        <v>668</v>
      </c>
      <c r="M297" s="38" t="s">
        <v>669</v>
      </c>
      <c r="N297" s="174">
        <v>43388</v>
      </c>
      <c r="O297" s="49" t="s">
        <v>668</v>
      </c>
      <c r="P297" s="23" t="s">
        <v>17</v>
      </c>
      <c r="Q297" s="23" t="s">
        <v>17</v>
      </c>
      <c r="R297" s="151"/>
      <c r="S297" s="39" t="s">
        <v>10</v>
      </c>
      <c r="T297" s="39" t="s">
        <v>11</v>
      </c>
      <c r="U297" s="153">
        <v>1.97</v>
      </c>
      <c r="V297" s="153"/>
      <c r="W297" s="153"/>
      <c r="X297" s="153">
        <v>370</v>
      </c>
      <c r="Y297" s="153">
        <v>395</v>
      </c>
      <c r="Z297" s="153">
        <v>420</v>
      </c>
      <c r="AA297" s="40">
        <v>1.1400000000000001</v>
      </c>
      <c r="AB297" s="40">
        <v>2.2800000000000002</v>
      </c>
      <c r="AC297" s="40">
        <v>3.42</v>
      </c>
      <c r="AD297" s="40">
        <v>5.7</v>
      </c>
      <c r="AE297" s="40">
        <v>8.5500000000000007</v>
      </c>
      <c r="AF297" s="40">
        <v>11.4</v>
      </c>
      <c r="AG297" s="40">
        <v>97.88546255506607</v>
      </c>
      <c r="AH297" s="40">
        <v>98.785528197292905</v>
      </c>
      <c r="AI297" s="40">
        <v>98.973546739857198</v>
      </c>
      <c r="AJ297" s="40">
        <v>99.0470873767634</v>
      </c>
      <c r="AK297" s="40">
        <v>98.983558158460895</v>
      </c>
      <c r="AL297" s="40">
        <v>98.837481621322169</v>
      </c>
      <c r="AM297" s="40">
        <v>98.93456877502085</v>
      </c>
      <c r="AN297" s="40">
        <v>97.715367092422369</v>
      </c>
      <c r="AO297" s="40">
        <v>98.65386046399577</v>
      </c>
      <c r="AP297" s="40">
        <v>98.917325381817932</v>
      </c>
      <c r="AQ297" s="40">
        <v>98.988111710077632</v>
      </c>
      <c r="AR297" s="40">
        <v>98.940718004312004</v>
      </c>
      <c r="AS297" s="40">
        <v>98.801375159949785</v>
      </c>
      <c r="AT297" s="40">
        <v>98.877539512113998</v>
      </c>
      <c r="AU297" s="40">
        <v>97.539543057996497</v>
      </c>
      <c r="AV297" s="40">
        <v>98.582157096361243</v>
      </c>
      <c r="AW297" s="40">
        <v>98.83945344931621</v>
      </c>
      <c r="AX297" s="40">
        <v>98.943617483464806</v>
      </c>
      <c r="AY297" s="40">
        <v>98.912403488229415</v>
      </c>
      <c r="AZ297" s="40">
        <v>98.774883947720909</v>
      </c>
      <c r="BA297" s="40">
        <v>98.83190170873111</v>
      </c>
      <c r="BB297" s="174">
        <v>43297</v>
      </c>
      <c r="BC297" s="174">
        <v>43388</v>
      </c>
    </row>
    <row r="298" spans="1:55" s="44" customFormat="1" ht="45">
      <c r="A298" s="18" t="s">
        <v>575</v>
      </c>
      <c r="B298" s="18" t="s">
        <v>911</v>
      </c>
      <c r="C298" s="23" t="s">
        <v>10</v>
      </c>
      <c r="D298" s="23" t="s">
        <v>10</v>
      </c>
      <c r="E298" s="23" t="s">
        <v>10</v>
      </c>
      <c r="F298" s="23" t="s">
        <v>11</v>
      </c>
      <c r="G298" s="18" t="s">
        <v>667</v>
      </c>
      <c r="H298" s="19">
        <v>3.8</v>
      </c>
      <c r="I298" s="37">
        <v>240</v>
      </c>
      <c r="J298" s="19">
        <v>99</v>
      </c>
      <c r="K298" s="21" t="s">
        <v>1219</v>
      </c>
      <c r="L298" s="49" t="s">
        <v>668</v>
      </c>
      <c r="M298" s="38" t="s">
        <v>669</v>
      </c>
      <c r="N298" s="174">
        <v>43480</v>
      </c>
      <c r="O298" s="49" t="s">
        <v>668</v>
      </c>
      <c r="P298" s="23" t="s">
        <v>17</v>
      </c>
      <c r="Q298" s="23" t="s">
        <v>17</v>
      </c>
      <c r="R298" s="151"/>
      <c r="S298" s="39" t="s">
        <v>10</v>
      </c>
      <c r="T298" s="39" t="s">
        <v>11</v>
      </c>
      <c r="U298" s="153">
        <v>2.1800000000000002</v>
      </c>
      <c r="V298" s="153"/>
      <c r="W298" s="153"/>
      <c r="X298" s="153">
        <v>370</v>
      </c>
      <c r="Y298" s="153">
        <v>395</v>
      </c>
      <c r="Z298" s="153">
        <v>420</v>
      </c>
      <c r="AA298" s="40">
        <v>0.38</v>
      </c>
      <c r="AB298" s="40">
        <v>0.76</v>
      </c>
      <c r="AC298" s="40">
        <v>1.1399999999999999</v>
      </c>
      <c r="AD298" s="40">
        <v>1.9</v>
      </c>
      <c r="AE298" s="40">
        <v>2.8499999999999996</v>
      </c>
      <c r="AF298" s="40">
        <v>3.8</v>
      </c>
      <c r="AG298" s="40">
        <v>96.375031617998374</v>
      </c>
      <c r="AH298" s="40">
        <v>98.233215547703168</v>
      </c>
      <c r="AI298" s="40">
        <v>98.664083176913977</v>
      </c>
      <c r="AJ298" s="40">
        <v>99.00284900284899</v>
      </c>
      <c r="AK298" s="40">
        <v>99.057221096739127</v>
      </c>
      <c r="AL298" s="40">
        <v>99.077590884427551</v>
      </c>
      <c r="AM298" s="40">
        <v>98.851157039426184</v>
      </c>
      <c r="AN298" s="40">
        <v>96.163682864450138</v>
      </c>
      <c r="AO298" s="40">
        <v>98.117647058823522</v>
      </c>
      <c r="AP298" s="40">
        <v>98.478783026421155</v>
      </c>
      <c r="AQ298" s="40">
        <v>98.94691988895012</v>
      </c>
      <c r="AR298" s="40">
        <v>99.023064856235919</v>
      </c>
      <c r="AS298" s="40">
        <v>99.036499547460252</v>
      </c>
      <c r="AT298" s="40">
        <v>98.782786158547296</v>
      </c>
      <c r="AU298" s="40">
        <v>96.070229333969607</v>
      </c>
      <c r="AV298" s="40">
        <v>97.994516255385832</v>
      </c>
      <c r="AW298" s="40">
        <v>98.45627359030081</v>
      </c>
      <c r="AX298" s="40">
        <v>98.864074301006298</v>
      </c>
      <c r="AY298" s="40">
        <v>98.992315168426373</v>
      </c>
      <c r="AZ298" s="40">
        <v>98.996704465070792</v>
      </c>
      <c r="BA298" s="40">
        <v>98.734505682695016</v>
      </c>
      <c r="BB298" s="174">
        <v>43297</v>
      </c>
      <c r="BC298" s="178">
        <v>43480</v>
      </c>
    </row>
    <row r="299" spans="1:55" s="44" customFormat="1" ht="45">
      <c r="A299" s="143" t="s">
        <v>575</v>
      </c>
      <c r="B299" s="18" t="s">
        <v>917</v>
      </c>
      <c r="C299" s="39" t="s">
        <v>10</v>
      </c>
      <c r="D299" s="39" t="s">
        <v>10</v>
      </c>
      <c r="E299" s="23" t="s">
        <v>10</v>
      </c>
      <c r="F299" s="23" t="s">
        <v>11</v>
      </c>
      <c r="G299" s="18" t="s">
        <v>271</v>
      </c>
      <c r="H299" s="125">
        <v>33</v>
      </c>
      <c r="I299" s="127">
        <v>480</v>
      </c>
      <c r="J299" s="136">
        <v>98.5</v>
      </c>
      <c r="K299" s="21" t="s">
        <v>1216</v>
      </c>
      <c r="L299" s="49" t="s">
        <v>442</v>
      </c>
      <c r="M299" s="23" t="s">
        <v>443</v>
      </c>
      <c r="N299" s="174">
        <v>43388</v>
      </c>
      <c r="O299" s="49" t="s">
        <v>442</v>
      </c>
      <c r="P299" s="23" t="s">
        <v>17</v>
      </c>
      <c r="Q299" s="23" t="s">
        <v>17</v>
      </c>
      <c r="R299" s="18"/>
      <c r="S299" s="23" t="s">
        <v>11</v>
      </c>
      <c r="T299" s="23" t="s">
        <v>11</v>
      </c>
      <c r="U299" s="19">
        <v>1.8</v>
      </c>
      <c r="V299" s="153"/>
      <c r="W299" s="153"/>
      <c r="X299" s="153">
        <v>460</v>
      </c>
      <c r="Y299" s="153">
        <v>720</v>
      </c>
      <c r="Z299" s="153">
        <v>850</v>
      </c>
      <c r="AA299" s="40">
        <v>3.3000000000000003</v>
      </c>
      <c r="AB299" s="40">
        <v>6.6000000000000005</v>
      </c>
      <c r="AC299" s="40">
        <v>9.9</v>
      </c>
      <c r="AD299" s="40">
        <v>16.5</v>
      </c>
      <c r="AE299" s="40">
        <v>24.75</v>
      </c>
      <c r="AF299" s="40">
        <v>33</v>
      </c>
      <c r="AG299" s="40">
        <v>95.630469927276991</v>
      </c>
      <c r="AH299" s="40">
        <v>97.310036505268826</v>
      </c>
      <c r="AI299" s="40">
        <v>97.623901610438097</v>
      </c>
      <c r="AJ299" s="40">
        <v>97.83334333356153</v>
      </c>
      <c r="AK299" s="40">
        <v>97.888870456254139</v>
      </c>
      <c r="AL299" s="40">
        <v>97.788128321993113</v>
      </c>
      <c r="AM299" s="40">
        <v>97.721098673569372</v>
      </c>
      <c r="AN299" s="40">
        <v>97.516871811078531</v>
      </c>
      <c r="AO299" s="40">
        <v>98.67409277667268</v>
      </c>
      <c r="AP299" s="40">
        <v>98.8513071683726</v>
      </c>
      <c r="AQ299" s="40">
        <v>98.88408683335021</v>
      </c>
      <c r="AR299" s="40">
        <v>98.874097898809069</v>
      </c>
      <c r="AS299" s="40">
        <v>98.789398500966755</v>
      </c>
      <c r="AT299" s="40">
        <v>98.804936417902184</v>
      </c>
      <c r="AU299" s="40">
        <v>96.914454581398289</v>
      </c>
      <c r="AV299" s="40">
        <v>98.109446935368311</v>
      </c>
      <c r="AW299" s="40">
        <v>98.37996746207223</v>
      </c>
      <c r="AX299" s="40">
        <v>98.457607412231482</v>
      </c>
      <c r="AY299" s="40">
        <v>98.46224478261388</v>
      </c>
      <c r="AZ299" s="40">
        <v>98.383768023280254</v>
      </c>
      <c r="BA299" s="40">
        <v>98.367922317990988</v>
      </c>
      <c r="BB299" s="174">
        <v>43040</v>
      </c>
      <c r="BC299" s="174">
        <v>43388</v>
      </c>
    </row>
    <row r="300" spans="1:55" s="44" customFormat="1" ht="45">
      <c r="A300" s="143" t="s">
        <v>575</v>
      </c>
      <c r="B300" s="18" t="s">
        <v>918</v>
      </c>
      <c r="C300" s="39" t="s">
        <v>10</v>
      </c>
      <c r="D300" s="39" t="s">
        <v>10</v>
      </c>
      <c r="E300" s="23" t="s">
        <v>10</v>
      </c>
      <c r="F300" s="23" t="s">
        <v>11</v>
      </c>
      <c r="G300" s="18" t="s">
        <v>272</v>
      </c>
      <c r="H300" s="125">
        <v>36</v>
      </c>
      <c r="I300" s="127">
        <v>480</v>
      </c>
      <c r="J300" s="136">
        <v>98.5</v>
      </c>
      <c r="K300" s="21" t="s">
        <v>1216</v>
      </c>
      <c r="L300" s="49" t="s">
        <v>442</v>
      </c>
      <c r="M300" s="23" t="s">
        <v>443</v>
      </c>
      <c r="N300" s="174">
        <v>43388</v>
      </c>
      <c r="O300" s="49" t="s">
        <v>442</v>
      </c>
      <c r="P300" s="23" t="s">
        <v>17</v>
      </c>
      <c r="Q300" s="23" t="s">
        <v>17</v>
      </c>
      <c r="R300" s="18"/>
      <c r="S300" s="23" t="s">
        <v>11</v>
      </c>
      <c r="T300" s="23" t="s">
        <v>11</v>
      </c>
      <c r="U300" s="19">
        <v>1.8</v>
      </c>
      <c r="V300" s="153"/>
      <c r="W300" s="153"/>
      <c r="X300" s="153">
        <v>490</v>
      </c>
      <c r="Y300" s="153">
        <v>720</v>
      </c>
      <c r="Z300" s="153">
        <v>850</v>
      </c>
      <c r="AA300" s="40">
        <v>3.6</v>
      </c>
      <c r="AB300" s="40">
        <v>7.2</v>
      </c>
      <c r="AC300" s="40">
        <v>10.799999999999999</v>
      </c>
      <c r="AD300" s="40">
        <v>18</v>
      </c>
      <c r="AE300" s="40">
        <v>27</v>
      </c>
      <c r="AF300" s="40">
        <v>36</v>
      </c>
      <c r="AG300" s="40">
        <v>96.4077311912922</v>
      </c>
      <c r="AH300" s="40">
        <v>97.545820870882707</v>
      </c>
      <c r="AI300" s="40">
        <v>97.813675383505782</v>
      </c>
      <c r="AJ300" s="40">
        <v>97.991157284213202</v>
      </c>
      <c r="AK300" s="40">
        <v>97.987845609331899</v>
      </c>
      <c r="AL300" s="40">
        <v>97.877476167255708</v>
      </c>
      <c r="AM300" s="40">
        <v>97.876816348209985</v>
      </c>
      <c r="AN300" s="40">
        <v>97.973892096751015</v>
      </c>
      <c r="AO300" s="40">
        <v>98.741338944593736</v>
      </c>
      <c r="AP300" s="40">
        <v>98.87343126218461</v>
      </c>
      <c r="AQ300" s="40">
        <v>98.895496173760151</v>
      </c>
      <c r="AR300" s="40">
        <v>98.857816097688669</v>
      </c>
      <c r="AS300" s="40">
        <v>98.762019609059948</v>
      </c>
      <c r="AT300" s="40">
        <v>98.821632091279511</v>
      </c>
      <c r="AU300" s="40">
        <v>97.110091536795707</v>
      </c>
      <c r="AV300" s="40">
        <v>98.215610614555217</v>
      </c>
      <c r="AW300" s="40">
        <v>98.41581608389275</v>
      </c>
      <c r="AX300" s="40">
        <v>98.471283525682495</v>
      </c>
      <c r="AY300" s="40">
        <v>98.444292259053896</v>
      </c>
      <c r="AZ300" s="40">
        <v>98.352426532017674</v>
      </c>
      <c r="BA300" s="40">
        <v>98.377147886559484</v>
      </c>
      <c r="BB300" s="174">
        <v>43040</v>
      </c>
      <c r="BC300" s="174">
        <v>43388</v>
      </c>
    </row>
    <row r="301" spans="1:55" s="44" customFormat="1" ht="45">
      <c r="A301" s="143" t="s">
        <v>575</v>
      </c>
      <c r="B301" s="18" t="s">
        <v>919</v>
      </c>
      <c r="C301" s="39" t="s">
        <v>10</v>
      </c>
      <c r="D301" s="39" t="s">
        <v>10</v>
      </c>
      <c r="E301" s="23" t="s">
        <v>10</v>
      </c>
      <c r="F301" s="23" t="s">
        <v>11</v>
      </c>
      <c r="G301" s="18" t="s">
        <v>552</v>
      </c>
      <c r="H301" s="125">
        <v>40</v>
      </c>
      <c r="I301" s="127">
        <v>480</v>
      </c>
      <c r="J301" s="136">
        <v>98.5</v>
      </c>
      <c r="K301" s="21" t="s">
        <v>1216</v>
      </c>
      <c r="L301" s="49" t="s">
        <v>442</v>
      </c>
      <c r="M301" s="23" t="s">
        <v>443</v>
      </c>
      <c r="N301" s="174">
        <v>43388</v>
      </c>
      <c r="O301" s="49" t="s">
        <v>442</v>
      </c>
      <c r="P301" s="23" t="s">
        <v>17</v>
      </c>
      <c r="Q301" s="23" t="s">
        <v>17</v>
      </c>
      <c r="R301" s="18"/>
      <c r="S301" s="23" t="s">
        <v>11</v>
      </c>
      <c r="T301" s="23" t="s">
        <v>11</v>
      </c>
      <c r="U301" s="19">
        <v>1.8</v>
      </c>
      <c r="V301" s="153"/>
      <c r="W301" s="153"/>
      <c r="X301" s="153">
        <v>530</v>
      </c>
      <c r="Y301" s="153">
        <v>720</v>
      </c>
      <c r="Z301" s="153">
        <v>850</v>
      </c>
      <c r="AA301" s="40">
        <v>4</v>
      </c>
      <c r="AB301" s="40">
        <v>8</v>
      </c>
      <c r="AC301" s="40">
        <v>12</v>
      </c>
      <c r="AD301" s="40">
        <v>20</v>
      </c>
      <c r="AE301" s="40">
        <v>30</v>
      </c>
      <c r="AF301" s="40">
        <v>40</v>
      </c>
      <c r="AG301" s="40">
        <v>96.748549773647738</v>
      </c>
      <c r="AH301" s="40">
        <v>97.728864384062192</v>
      </c>
      <c r="AI301" s="40">
        <v>97.946597114044309</v>
      </c>
      <c r="AJ301" s="40">
        <v>98.102029888936798</v>
      </c>
      <c r="AK301" s="40">
        <v>98.049016661168523</v>
      </c>
      <c r="AL301" s="40">
        <v>97.908674394318737</v>
      </c>
      <c r="AM301" s="40">
        <v>97.972815690646314</v>
      </c>
      <c r="AN301" s="40">
        <v>98.053754251274981</v>
      </c>
      <c r="AO301" s="40">
        <v>98.727271037736912</v>
      </c>
      <c r="AP301" s="40">
        <v>98.778088260806854</v>
      </c>
      <c r="AQ301" s="40">
        <v>98.8628416309691</v>
      </c>
      <c r="AR301" s="40">
        <v>98.790704433083846</v>
      </c>
      <c r="AS301" s="40">
        <v>98.805253458820715</v>
      </c>
      <c r="AT301" s="40">
        <v>98.77241707821365</v>
      </c>
      <c r="AU301" s="40">
        <v>97.266210056885868</v>
      </c>
      <c r="AV301" s="40">
        <v>98.215502763671708</v>
      </c>
      <c r="AW301" s="40">
        <v>98.363828147895191</v>
      </c>
      <c r="AX301" s="40">
        <v>98.457088705010364</v>
      </c>
      <c r="AY301" s="40">
        <v>98.376392189893494</v>
      </c>
      <c r="AZ301" s="40">
        <v>98.416867734446882</v>
      </c>
      <c r="BA301" s="40">
        <v>98.341402793624511</v>
      </c>
      <c r="BB301" s="174">
        <v>43040</v>
      </c>
      <c r="BC301" s="174">
        <v>43388</v>
      </c>
    </row>
    <row r="302" spans="1:55" s="44" customFormat="1" ht="45">
      <c r="A302" s="143" t="s">
        <v>575</v>
      </c>
      <c r="B302" s="18" t="s">
        <v>920</v>
      </c>
      <c r="C302" s="23" t="s">
        <v>10</v>
      </c>
      <c r="D302" s="23" t="s">
        <v>10</v>
      </c>
      <c r="E302" s="23" t="s">
        <v>10</v>
      </c>
      <c r="F302" s="23" t="s">
        <v>11</v>
      </c>
      <c r="G302" s="148" t="s">
        <v>1260</v>
      </c>
      <c r="H302" s="125">
        <v>45.207000000000001</v>
      </c>
      <c r="I302" s="127">
        <v>600</v>
      </c>
      <c r="J302" s="125">
        <v>98.5</v>
      </c>
      <c r="K302" s="21" t="s">
        <v>1216</v>
      </c>
      <c r="L302" s="49" t="s">
        <v>444</v>
      </c>
      <c r="M302" s="23" t="s">
        <v>445</v>
      </c>
      <c r="N302" s="174">
        <v>43388</v>
      </c>
      <c r="O302" s="49" t="s">
        <v>444</v>
      </c>
      <c r="P302" s="23" t="s">
        <v>17</v>
      </c>
      <c r="Q302" s="23" t="s">
        <v>17</v>
      </c>
      <c r="R302" s="151"/>
      <c r="S302" s="23" t="s">
        <v>11</v>
      </c>
      <c r="T302" s="23" t="s">
        <v>11</v>
      </c>
      <c r="U302" s="171">
        <v>1.1100000000000001</v>
      </c>
      <c r="V302" s="135"/>
      <c r="W302" s="135"/>
      <c r="X302" s="135">
        <v>800</v>
      </c>
      <c r="Y302" s="135">
        <v>1000</v>
      </c>
      <c r="Z302" s="135">
        <v>1200</v>
      </c>
      <c r="AA302" s="126">
        <v>97.5</v>
      </c>
      <c r="AB302" s="126">
        <v>98.1</v>
      </c>
      <c r="AC302" s="126">
        <v>98.2</v>
      </c>
      <c r="AD302" s="126">
        <v>98.2</v>
      </c>
      <c r="AE302" s="126">
        <v>98.1</v>
      </c>
      <c r="AF302" s="126">
        <v>97.9</v>
      </c>
      <c r="AG302" s="126">
        <v>98.2</v>
      </c>
      <c r="AH302" s="126">
        <v>98.6</v>
      </c>
      <c r="AI302" s="126">
        <v>98.7</v>
      </c>
      <c r="AJ302" s="126">
        <v>98.6</v>
      </c>
      <c r="AK302" s="126">
        <v>98.5</v>
      </c>
      <c r="AL302" s="126">
        <v>98.4</v>
      </c>
      <c r="AM302" s="126">
        <v>98.5</v>
      </c>
      <c r="AN302" s="126">
        <v>98.2</v>
      </c>
      <c r="AO302" s="126">
        <v>98.6</v>
      </c>
      <c r="AP302" s="126">
        <v>98.7</v>
      </c>
      <c r="AQ302" s="126">
        <v>98.6</v>
      </c>
      <c r="AR302" s="126">
        <v>98.5</v>
      </c>
      <c r="AS302" s="126">
        <v>98.4</v>
      </c>
      <c r="AT302" s="126">
        <v>98.5</v>
      </c>
      <c r="AU302" s="126">
        <v>98.1</v>
      </c>
      <c r="AV302" s="126">
        <v>98.5</v>
      </c>
      <c r="AW302" s="126">
        <v>98.5</v>
      </c>
      <c r="AX302" s="126">
        <v>98.5</v>
      </c>
      <c r="AY302" s="126">
        <v>98.4</v>
      </c>
      <c r="AZ302" s="126">
        <v>98.2</v>
      </c>
      <c r="BA302" s="126">
        <v>98.4</v>
      </c>
      <c r="BB302" s="174">
        <v>43054</v>
      </c>
      <c r="BC302" s="174">
        <v>43388</v>
      </c>
    </row>
    <row r="303" spans="1:55" s="44" customFormat="1" ht="45">
      <c r="A303" s="18" t="s">
        <v>575</v>
      </c>
      <c r="B303" s="18" t="s">
        <v>912</v>
      </c>
      <c r="C303" s="23" t="s">
        <v>10</v>
      </c>
      <c r="D303" s="23" t="s">
        <v>10</v>
      </c>
      <c r="E303" s="23" t="s">
        <v>10</v>
      </c>
      <c r="F303" s="23" t="s">
        <v>11</v>
      </c>
      <c r="G303" s="18" t="s">
        <v>670</v>
      </c>
      <c r="H303" s="19">
        <v>5</v>
      </c>
      <c r="I303" s="37">
        <v>240</v>
      </c>
      <c r="J303" s="19">
        <v>99</v>
      </c>
      <c r="K303" s="21" t="s">
        <v>1219</v>
      </c>
      <c r="L303" s="49" t="s">
        <v>668</v>
      </c>
      <c r="M303" s="38" t="s">
        <v>669</v>
      </c>
      <c r="N303" s="174">
        <v>43480</v>
      </c>
      <c r="O303" s="49" t="s">
        <v>668</v>
      </c>
      <c r="P303" s="23" t="s">
        <v>17</v>
      </c>
      <c r="Q303" s="23" t="s">
        <v>17</v>
      </c>
      <c r="R303" s="151"/>
      <c r="S303" s="39" t="s">
        <v>10</v>
      </c>
      <c r="T303" s="39" t="s">
        <v>11</v>
      </c>
      <c r="U303" s="153">
        <v>2.0699999999999998</v>
      </c>
      <c r="V303" s="153"/>
      <c r="W303" s="153"/>
      <c r="X303" s="153">
        <v>370</v>
      </c>
      <c r="Y303" s="153">
        <v>395</v>
      </c>
      <c r="Z303" s="153">
        <v>420</v>
      </c>
      <c r="AA303" s="40">
        <v>0.5</v>
      </c>
      <c r="AB303" s="40">
        <v>1</v>
      </c>
      <c r="AC303" s="40">
        <v>1.5</v>
      </c>
      <c r="AD303" s="40">
        <v>2.5</v>
      </c>
      <c r="AE303" s="40">
        <v>3.75</v>
      </c>
      <c r="AF303" s="40">
        <v>5</v>
      </c>
      <c r="AG303" s="40">
        <v>97.0703125</v>
      </c>
      <c r="AH303" s="40">
        <v>98.385577252483728</v>
      </c>
      <c r="AI303" s="40">
        <v>98.721071863580988</v>
      </c>
      <c r="AJ303" s="40">
        <v>99.023904040143663</v>
      </c>
      <c r="AK303" s="40">
        <v>99.019874761775114</v>
      </c>
      <c r="AL303" s="40">
        <v>98.870253237065455</v>
      </c>
      <c r="AM303" s="40">
        <v>98.867686120278165</v>
      </c>
      <c r="AN303" s="40">
        <v>96.881091617933734</v>
      </c>
      <c r="AO303" s="40">
        <v>98.381364219367683</v>
      </c>
      <c r="AP303" s="40">
        <v>98.660986001217296</v>
      </c>
      <c r="AQ303" s="40">
        <v>98.931877114350954</v>
      </c>
      <c r="AR303" s="40">
        <v>98.965986394557831</v>
      </c>
      <c r="AS303" s="40">
        <v>98.820257904100984</v>
      </c>
      <c r="AT303" s="40">
        <v>98.802310074166215</v>
      </c>
      <c r="AU303" s="40">
        <v>96.692607003891069</v>
      </c>
      <c r="AV303" s="40">
        <v>98.29290206648696</v>
      </c>
      <c r="AW303" s="40">
        <v>98.592410407244145</v>
      </c>
      <c r="AX303" s="40">
        <v>98.882480173035319</v>
      </c>
      <c r="AY303" s="40">
        <v>98.88622708105666</v>
      </c>
      <c r="AZ303" s="40">
        <v>98.774165460528749</v>
      </c>
      <c r="BA303" s="40">
        <v>98.727168094673175</v>
      </c>
      <c r="BB303" s="174">
        <v>43297</v>
      </c>
      <c r="BC303" s="178">
        <v>43480</v>
      </c>
    </row>
    <row r="304" spans="1:55" s="44" customFormat="1" ht="45">
      <c r="A304" s="18" t="s">
        <v>575</v>
      </c>
      <c r="B304" s="18" t="s">
        <v>913</v>
      </c>
      <c r="C304" s="23" t="s">
        <v>10</v>
      </c>
      <c r="D304" s="23" t="s">
        <v>10</v>
      </c>
      <c r="E304" s="23" t="s">
        <v>10</v>
      </c>
      <c r="F304" s="23" t="s">
        <v>11</v>
      </c>
      <c r="G304" s="18" t="s">
        <v>671</v>
      </c>
      <c r="H304" s="19">
        <v>7.6</v>
      </c>
      <c r="I304" s="37">
        <v>240</v>
      </c>
      <c r="J304" s="19">
        <v>99</v>
      </c>
      <c r="K304" s="21" t="s">
        <v>1219</v>
      </c>
      <c r="L304" s="49" t="s">
        <v>668</v>
      </c>
      <c r="M304" s="38" t="s">
        <v>669</v>
      </c>
      <c r="N304" s="174">
        <v>43480</v>
      </c>
      <c r="O304" s="49" t="s">
        <v>668</v>
      </c>
      <c r="P304" s="23" t="s">
        <v>17</v>
      </c>
      <c r="Q304" s="23" t="s">
        <v>17</v>
      </c>
      <c r="R304" s="151"/>
      <c r="S304" s="39" t="s">
        <v>10</v>
      </c>
      <c r="T304" s="39" t="s">
        <v>11</v>
      </c>
      <c r="U304" s="153">
        <v>2.06</v>
      </c>
      <c r="V304" s="153"/>
      <c r="W304" s="153"/>
      <c r="X304" s="153">
        <v>370</v>
      </c>
      <c r="Y304" s="153">
        <v>395</v>
      </c>
      <c r="Z304" s="153">
        <v>420</v>
      </c>
      <c r="AA304" s="40">
        <v>0.76</v>
      </c>
      <c r="AB304" s="40">
        <v>1.52</v>
      </c>
      <c r="AC304" s="40">
        <v>2.2799999999999998</v>
      </c>
      <c r="AD304" s="40">
        <v>3.8</v>
      </c>
      <c r="AE304" s="40">
        <v>5.6999999999999993</v>
      </c>
      <c r="AF304" s="40">
        <v>7.6</v>
      </c>
      <c r="AG304" s="40">
        <v>98.024645488884758</v>
      </c>
      <c r="AH304" s="40">
        <v>98.810939357907259</v>
      </c>
      <c r="AI304" s="40">
        <v>98.958553015114916</v>
      </c>
      <c r="AJ304" s="40">
        <v>98.997288918291375</v>
      </c>
      <c r="AK304" s="40">
        <v>98.918168971428102</v>
      </c>
      <c r="AL304" s="40">
        <v>98.748951404805581</v>
      </c>
      <c r="AM304" s="40">
        <v>98.890066947202897</v>
      </c>
      <c r="AN304" s="40">
        <v>97.825310999296548</v>
      </c>
      <c r="AO304" s="40">
        <v>98.718718755046822</v>
      </c>
      <c r="AP304" s="40">
        <v>98.916988187844737</v>
      </c>
      <c r="AQ304" s="40">
        <v>98.938211420706281</v>
      </c>
      <c r="AR304" s="40">
        <v>98.867424073203637</v>
      </c>
      <c r="AS304" s="40">
        <v>98.716381417007497</v>
      </c>
      <c r="AT304" s="40">
        <v>98.831565188262189</v>
      </c>
      <c r="AU304" s="40">
        <v>97.692522840201306</v>
      </c>
      <c r="AV304" s="40">
        <v>98.626617125196802</v>
      </c>
      <c r="AW304" s="40">
        <v>98.879194198791538</v>
      </c>
      <c r="AX304" s="40">
        <v>98.911282479655938</v>
      </c>
      <c r="AY304" s="40">
        <v>98.847323368473226</v>
      </c>
      <c r="AZ304" s="40">
        <v>98.676581636712726</v>
      </c>
      <c r="BA304" s="40">
        <v>98.798814861577071</v>
      </c>
      <c r="BB304" s="174">
        <v>43297</v>
      </c>
      <c r="BC304" s="178">
        <v>43480</v>
      </c>
    </row>
    <row r="305" spans="1:55" s="44" customFormat="1" ht="45">
      <c r="A305" s="18" t="s">
        <v>575</v>
      </c>
      <c r="B305" s="18" t="s">
        <v>914</v>
      </c>
      <c r="C305" s="23" t="s">
        <v>10</v>
      </c>
      <c r="D305" s="23" t="s">
        <v>10</v>
      </c>
      <c r="E305" s="23" t="s">
        <v>10</v>
      </c>
      <c r="F305" s="23" t="s">
        <v>11</v>
      </c>
      <c r="G305" s="18" t="s">
        <v>672</v>
      </c>
      <c r="H305" s="19">
        <v>9</v>
      </c>
      <c r="I305" s="37">
        <v>240</v>
      </c>
      <c r="J305" s="19">
        <v>99</v>
      </c>
      <c r="K305" s="21" t="s">
        <v>1219</v>
      </c>
      <c r="L305" s="49" t="s">
        <v>668</v>
      </c>
      <c r="M305" s="38" t="s">
        <v>669</v>
      </c>
      <c r="N305" s="174">
        <v>43388</v>
      </c>
      <c r="O305" s="49" t="s">
        <v>668</v>
      </c>
      <c r="P305" s="23" t="s">
        <v>17</v>
      </c>
      <c r="Q305" s="23" t="s">
        <v>17</v>
      </c>
      <c r="R305" s="151"/>
      <c r="S305" s="39" t="s">
        <v>10</v>
      </c>
      <c r="T305" s="39" t="s">
        <v>11</v>
      </c>
      <c r="U305" s="153">
        <v>1.97</v>
      </c>
      <c r="V305" s="153"/>
      <c r="W305" s="153"/>
      <c r="X305" s="153">
        <v>370</v>
      </c>
      <c r="Y305" s="153">
        <v>395</v>
      </c>
      <c r="Z305" s="153">
        <v>420</v>
      </c>
      <c r="AA305" s="40">
        <v>0.9</v>
      </c>
      <c r="AB305" s="40">
        <v>1.8</v>
      </c>
      <c r="AC305" s="40">
        <v>2.6999999999999997</v>
      </c>
      <c r="AD305" s="40">
        <v>4.5</v>
      </c>
      <c r="AE305" s="40">
        <v>6.75</v>
      </c>
      <c r="AF305" s="40">
        <v>9</v>
      </c>
      <c r="AG305" s="40">
        <v>97.68465700573195</v>
      </c>
      <c r="AH305" s="40">
        <v>98.645469628308931</v>
      </c>
      <c r="AI305" s="40">
        <v>98.919896388250805</v>
      </c>
      <c r="AJ305" s="40">
        <v>99.061754601828056</v>
      </c>
      <c r="AK305" s="40">
        <v>99.0358612580835</v>
      </c>
      <c r="AL305" s="40">
        <v>98.973774230330648</v>
      </c>
      <c r="AM305" s="40">
        <v>98.950710972919509</v>
      </c>
      <c r="AN305" s="40">
        <v>97.533802045824686</v>
      </c>
      <c r="AO305" s="40">
        <v>98.595943837753495</v>
      </c>
      <c r="AP305" s="40">
        <v>98.905234348272316</v>
      </c>
      <c r="AQ305" s="40">
        <v>99.040534134493342</v>
      </c>
      <c r="AR305" s="40">
        <v>99.015955221976697</v>
      </c>
      <c r="AS305" s="40">
        <v>98.932032552204689</v>
      </c>
      <c r="AT305" s="40">
        <v>98.923347459014835</v>
      </c>
      <c r="AU305" s="40">
        <v>97.577316834020593</v>
      </c>
      <c r="AV305" s="40">
        <v>98.598420127281287</v>
      </c>
      <c r="AW305" s="40">
        <v>98.858271916679868</v>
      </c>
      <c r="AX305" s="40">
        <v>99.024050844816443</v>
      </c>
      <c r="AY305" s="40">
        <v>99.009115259059541</v>
      </c>
      <c r="AZ305" s="40">
        <v>98.918270032621734</v>
      </c>
      <c r="BA305" s="40">
        <v>98.911801576070559</v>
      </c>
      <c r="BB305" s="174">
        <v>43297</v>
      </c>
      <c r="BC305" s="174">
        <v>43388</v>
      </c>
    </row>
    <row r="306" spans="1:55" s="44" customFormat="1" ht="60">
      <c r="A306" s="144" t="s">
        <v>1476</v>
      </c>
      <c r="B306" s="140" t="s">
        <v>921</v>
      </c>
      <c r="C306" s="26" t="s">
        <v>10</v>
      </c>
      <c r="D306" s="26" t="s">
        <v>10</v>
      </c>
      <c r="E306" s="23" t="s">
        <v>10</v>
      </c>
      <c r="F306" s="23" t="s">
        <v>11</v>
      </c>
      <c r="G306" s="140" t="s">
        <v>499</v>
      </c>
      <c r="H306" s="132">
        <v>29.99</v>
      </c>
      <c r="I306" s="129">
        <v>480</v>
      </c>
      <c r="J306" s="137">
        <v>95</v>
      </c>
      <c r="K306" s="21" t="s">
        <v>1219</v>
      </c>
      <c r="L306" s="58" t="s">
        <v>1521</v>
      </c>
      <c r="M306" s="38" t="s">
        <v>1522</v>
      </c>
      <c r="N306" s="174">
        <v>43388</v>
      </c>
      <c r="O306" s="23" t="s">
        <v>1523</v>
      </c>
      <c r="P306" s="23" t="s">
        <v>17</v>
      </c>
      <c r="Q306" s="23" t="s">
        <v>17</v>
      </c>
      <c r="R306" s="152"/>
      <c r="S306" s="131" t="s">
        <v>11</v>
      </c>
      <c r="T306" s="131" t="s">
        <v>11</v>
      </c>
      <c r="U306" s="132">
        <v>56.8</v>
      </c>
      <c r="V306" s="133"/>
      <c r="W306" s="133"/>
      <c r="X306" s="133">
        <v>550</v>
      </c>
      <c r="Y306" s="133">
        <v>700</v>
      </c>
      <c r="Z306" s="133">
        <v>850</v>
      </c>
      <c r="AA306" s="134">
        <v>3</v>
      </c>
      <c r="AB306" s="134">
        <v>6</v>
      </c>
      <c r="AC306" s="134">
        <v>9</v>
      </c>
      <c r="AD306" s="134">
        <v>15</v>
      </c>
      <c r="AE306" s="134">
        <v>22.49</v>
      </c>
      <c r="AF306" s="134">
        <v>29.99</v>
      </c>
      <c r="AG306" s="134">
        <v>92.7</v>
      </c>
      <c r="AH306" s="134">
        <v>94.3</v>
      </c>
      <c r="AI306" s="134">
        <v>94.8</v>
      </c>
      <c r="AJ306" s="134">
        <v>95.2</v>
      </c>
      <c r="AK306" s="134">
        <v>95.1</v>
      </c>
      <c r="AL306" s="134">
        <v>94.8</v>
      </c>
      <c r="AM306" s="134">
        <v>94.9</v>
      </c>
      <c r="AN306" s="134">
        <v>92.2</v>
      </c>
      <c r="AO306" s="134">
        <v>94.2</v>
      </c>
      <c r="AP306" s="134">
        <v>94.6</v>
      </c>
      <c r="AQ306" s="134">
        <v>95.3</v>
      </c>
      <c r="AR306" s="134">
        <v>95.4</v>
      </c>
      <c r="AS306" s="134">
        <v>95.5</v>
      </c>
      <c r="AT306" s="134">
        <v>95.1</v>
      </c>
      <c r="AU306" s="134">
        <v>89.6</v>
      </c>
      <c r="AV306" s="134">
        <v>92.8</v>
      </c>
      <c r="AW306" s="134">
        <v>93.3</v>
      </c>
      <c r="AX306" s="134">
        <v>94.8</v>
      </c>
      <c r="AY306" s="134">
        <v>95.2</v>
      </c>
      <c r="AZ306" s="134">
        <v>95.4</v>
      </c>
      <c r="BA306" s="134">
        <v>94.6</v>
      </c>
      <c r="BB306" s="174">
        <v>43132</v>
      </c>
      <c r="BC306" s="174">
        <v>43586</v>
      </c>
    </row>
    <row r="307" spans="1:55" s="44" customFormat="1" ht="60">
      <c r="A307" s="144" t="s">
        <v>1476</v>
      </c>
      <c r="B307" s="140" t="s">
        <v>922</v>
      </c>
      <c r="C307" s="26" t="s">
        <v>10</v>
      </c>
      <c r="D307" s="26" t="s">
        <v>10</v>
      </c>
      <c r="E307" s="23" t="s">
        <v>10</v>
      </c>
      <c r="F307" s="23" t="s">
        <v>11</v>
      </c>
      <c r="G307" s="140" t="s">
        <v>553</v>
      </c>
      <c r="H307" s="132">
        <v>29.99</v>
      </c>
      <c r="I307" s="129">
        <v>480</v>
      </c>
      <c r="J307" s="137">
        <v>95</v>
      </c>
      <c r="K307" s="21" t="s">
        <v>1219</v>
      </c>
      <c r="L307" s="58" t="s">
        <v>1521</v>
      </c>
      <c r="M307" s="38" t="s">
        <v>1522</v>
      </c>
      <c r="N307" s="174">
        <v>43388</v>
      </c>
      <c r="O307" s="23" t="s">
        <v>1523</v>
      </c>
      <c r="P307" s="23" t="s">
        <v>17</v>
      </c>
      <c r="Q307" s="23" t="s">
        <v>17</v>
      </c>
      <c r="R307" s="152"/>
      <c r="S307" s="131" t="s">
        <v>11</v>
      </c>
      <c r="T307" s="131" t="s">
        <v>11</v>
      </c>
      <c r="U307" s="132">
        <v>56.8</v>
      </c>
      <c r="V307" s="133"/>
      <c r="W307" s="133"/>
      <c r="X307" s="133">
        <v>550</v>
      </c>
      <c r="Y307" s="133">
        <v>700</v>
      </c>
      <c r="Z307" s="133">
        <v>850</v>
      </c>
      <c r="AA307" s="134">
        <v>3</v>
      </c>
      <c r="AB307" s="134">
        <v>6</v>
      </c>
      <c r="AC307" s="134">
        <v>9</v>
      </c>
      <c r="AD307" s="134">
        <v>15</v>
      </c>
      <c r="AE307" s="134">
        <v>22.49</v>
      </c>
      <c r="AF307" s="134">
        <v>29.99</v>
      </c>
      <c r="AG307" s="134">
        <v>92.7</v>
      </c>
      <c r="AH307" s="134">
        <v>94.3</v>
      </c>
      <c r="AI307" s="134">
        <v>94.8</v>
      </c>
      <c r="AJ307" s="134">
        <v>95.2</v>
      </c>
      <c r="AK307" s="134">
        <v>95.1</v>
      </c>
      <c r="AL307" s="134">
        <v>94.8</v>
      </c>
      <c r="AM307" s="134">
        <v>94.9</v>
      </c>
      <c r="AN307" s="134">
        <v>92.2</v>
      </c>
      <c r="AO307" s="134">
        <v>94.2</v>
      </c>
      <c r="AP307" s="134">
        <v>94.6</v>
      </c>
      <c r="AQ307" s="134">
        <v>95.3</v>
      </c>
      <c r="AR307" s="134">
        <v>95.4</v>
      </c>
      <c r="AS307" s="134">
        <v>95.5</v>
      </c>
      <c r="AT307" s="134">
        <v>95.1</v>
      </c>
      <c r="AU307" s="134">
        <v>89.6</v>
      </c>
      <c r="AV307" s="134">
        <v>92.8</v>
      </c>
      <c r="AW307" s="134">
        <v>93.3</v>
      </c>
      <c r="AX307" s="134">
        <v>94.8</v>
      </c>
      <c r="AY307" s="134">
        <v>95.2</v>
      </c>
      <c r="AZ307" s="134">
        <v>95.4</v>
      </c>
      <c r="BA307" s="134">
        <v>94.6</v>
      </c>
      <c r="BB307" s="174">
        <v>43132</v>
      </c>
      <c r="BC307" s="174">
        <v>43586</v>
      </c>
    </row>
    <row r="308" spans="1:55" s="44" customFormat="1" ht="60">
      <c r="A308" s="144" t="s">
        <v>1476</v>
      </c>
      <c r="B308" s="140" t="s">
        <v>923</v>
      </c>
      <c r="C308" s="26" t="s">
        <v>10</v>
      </c>
      <c r="D308" s="26" t="s">
        <v>10</v>
      </c>
      <c r="E308" s="23" t="s">
        <v>10</v>
      </c>
      <c r="F308" s="23" t="s">
        <v>11</v>
      </c>
      <c r="G308" s="140" t="s">
        <v>554</v>
      </c>
      <c r="H308" s="132">
        <v>29.99</v>
      </c>
      <c r="I308" s="129">
        <v>480</v>
      </c>
      <c r="J308" s="137">
        <v>95</v>
      </c>
      <c r="K308" s="21" t="s">
        <v>1219</v>
      </c>
      <c r="L308" s="58" t="s">
        <v>1521</v>
      </c>
      <c r="M308" s="38" t="s">
        <v>1522</v>
      </c>
      <c r="N308" s="174">
        <v>43388</v>
      </c>
      <c r="O308" s="23" t="s">
        <v>1523</v>
      </c>
      <c r="P308" s="23" t="s">
        <v>17</v>
      </c>
      <c r="Q308" s="23" t="s">
        <v>17</v>
      </c>
      <c r="R308" s="152"/>
      <c r="S308" s="131" t="s">
        <v>11</v>
      </c>
      <c r="T308" s="131" t="s">
        <v>11</v>
      </c>
      <c r="U308" s="132">
        <v>51.2</v>
      </c>
      <c r="V308" s="133"/>
      <c r="W308" s="133"/>
      <c r="X308" s="133">
        <v>550</v>
      </c>
      <c r="Y308" s="133">
        <v>700</v>
      </c>
      <c r="Z308" s="133">
        <v>850</v>
      </c>
      <c r="AA308" s="134">
        <v>3</v>
      </c>
      <c r="AB308" s="134">
        <v>6</v>
      </c>
      <c r="AC308" s="134">
        <v>9</v>
      </c>
      <c r="AD308" s="134">
        <v>15</v>
      </c>
      <c r="AE308" s="134">
        <v>22.49</v>
      </c>
      <c r="AF308" s="134">
        <v>29.99</v>
      </c>
      <c r="AG308" s="134">
        <v>92.3</v>
      </c>
      <c r="AH308" s="134">
        <v>94.4</v>
      </c>
      <c r="AI308" s="134">
        <v>94.8</v>
      </c>
      <c r="AJ308" s="134">
        <v>95.2</v>
      </c>
      <c r="AK308" s="134">
        <v>95.2</v>
      </c>
      <c r="AL308" s="134">
        <v>94.8</v>
      </c>
      <c r="AM308" s="134">
        <v>95</v>
      </c>
      <c r="AN308" s="134">
        <v>91.3</v>
      </c>
      <c r="AO308" s="134">
        <v>94</v>
      </c>
      <c r="AP308" s="134">
        <v>94.6</v>
      </c>
      <c r="AQ308" s="134">
        <v>95.3</v>
      </c>
      <c r="AR308" s="134">
        <v>95.4</v>
      </c>
      <c r="AS308" s="134">
        <v>95.3</v>
      </c>
      <c r="AT308" s="134">
        <v>95</v>
      </c>
      <c r="AU308" s="134">
        <v>88.7</v>
      </c>
      <c r="AV308" s="134">
        <v>92.1</v>
      </c>
      <c r="AW308" s="134">
        <v>93.4</v>
      </c>
      <c r="AX308" s="134">
        <v>94.7</v>
      </c>
      <c r="AY308" s="134">
        <v>95.1</v>
      </c>
      <c r="AZ308" s="134">
        <v>95.5</v>
      </c>
      <c r="BA308" s="134">
        <v>94.4</v>
      </c>
      <c r="BB308" s="174">
        <v>43132</v>
      </c>
      <c r="BC308" s="174">
        <v>43586</v>
      </c>
    </row>
    <row r="309" spans="1:55" s="44" customFormat="1" ht="45">
      <c r="A309" s="144" t="s">
        <v>1476</v>
      </c>
      <c r="B309" s="140" t="s">
        <v>924</v>
      </c>
      <c r="C309" s="26" t="s">
        <v>10</v>
      </c>
      <c r="D309" s="26" t="s">
        <v>10</v>
      </c>
      <c r="E309" s="23" t="s">
        <v>11</v>
      </c>
      <c r="F309" s="23" t="s">
        <v>11</v>
      </c>
      <c r="G309" s="140" t="s">
        <v>500</v>
      </c>
      <c r="H309" s="132">
        <v>29.99</v>
      </c>
      <c r="I309" s="129">
        <v>480</v>
      </c>
      <c r="J309" s="137">
        <v>95</v>
      </c>
      <c r="K309" s="21" t="s">
        <v>1219</v>
      </c>
      <c r="L309" s="130" t="s">
        <v>498</v>
      </c>
      <c r="M309" s="26" t="s">
        <v>723</v>
      </c>
      <c r="N309" s="174">
        <v>43388</v>
      </c>
      <c r="O309" s="23" t="s">
        <v>17</v>
      </c>
      <c r="P309" s="23" t="s">
        <v>17</v>
      </c>
      <c r="Q309" s="23" t="s">
        <v>17</v>
      </c>
      <c r="R309" s="152"/>
      <c r="S309" s="131" t="s">
        <v>11</v>
      </c>
      <c r="T309" s="131" t="s">
        <v>11</v>
      </c>
      <c r="U309" s="132">
        <v>51.2</v>
      </c>
      <c r="V309" s="133"/>
      <c r="W309" s="133"/>
      <c r="X309" s="133">
        <v>550</v>
      </c>
      <c r="Y309" s="133">
        <v>700</v>
      </c>
      <c r="Z309" s="133">
        <v>850</v>
      </c>
      <c r="AA309" s="134">
        <v>3</v>
      </c>
      <c r="AB309" s="134">
        <v>6</v>
      </c>
      <c r="AC309" s="134">
        <v>9</v>
      </c>
      <c r="AD309" s="134">
        <v>15</v>
      </c>
      <c r="AE309" s="134">
        <v>22.49</v>
      </c>
      <c r="AF309" s="134">
        <v>29.99</v>
      </c>
      <c r="AG309" s="134">
        <v>92.3</v>
      </c>
      <c r="AH309" s="134">
        <v>94.4</v>
      </c>
      <c r="AI309" s="134">
        <v>94.8</v>
      </c>
      <c r="AJ309" s="134">
        <v>95.2</v>
      </c>
      <c r="AK309" s="134">
        <v>95.2</v>
      </c>
      <c r="AL309" s="134">
        <v>94.8</v>
      </c>
      <c r="AM309" s="134">
        <v>95</v>
      </c>
      <c r="AN309" s="134">
        <v>91.3</v>
      </c>
      <c r="AO309" s="134">
        <v>94</v>
      </c>
      <c r="AP309" s="134">
        <v>94.6</v>
      </c>
      <c r="AQ309" s="134">
        <v>95.3</v>
      </c>
      <c r="AR309" s="134">
        <v>95.4</v>
      </c>
      <c r="AS309" s="134">
        <v>95.3</v>
      </c>
      <c r="AT309" s="134">
        <v>95</v>
      </c>
      <c r="AU309" s="134">
        <v>88.7</v>
      </c>
      <c r="AV309" s="134">
        <v>92.1</v>
      </c>
      <c r="AW309" s="134">
        <v>93.4</v>
      </c>
      <c r="AX309" s="134">
        <v>94.7</v>
      </c>
      <c r="AY309" s="134">
        <v>95.1</v>
      </c>
      <c r="AZ309" s="134">
        <v>95.5</v>
      </c>
      <c r="BA309" s="134">
        <v>94.4</v>
      </c>
      <c r="BB309" s="174">
        <v>43132</v>
      </c>
      <c r="BC309" s="174">
        <v>43388</v>
      </c>
    </row>
    <row r="310" spans="1:55" s="44" customFormat="1" ht="90">
      <c r="A310" s="18" t="s">
        <v>1497</v>
      </c>
      <c r="B310" s="18" t="s">
        <v>1570</v>
      </c>
      <c r="C310" s="23" t="s">
        <v>10</v>
      </c>
      <c r="D310" s="23" t="s">
        <v>10</v>
      </c>
      <c r="E310" s="23" t="s">
        <v>10</v>
      </c>
      <c r="F310" s="23" t="s">
        <v>11</v>
      </c>
      <c r="G310" s="18" t="s">
        <v>1509</v>
      </c>
      <c r="H310" s="19">
        <v>1027.752</v>
      </c>
      <c r="I310" s="37">
        <v>410</v>
      </c>
      <c r="J310" s="19">
        <v>97.5</v>
      </c>
      <c r="K310" s="20" t="s">
        <v>1386</v>
      </c>
      <c r="L310" s="49" t="s">
        <v>1489</v>
      </c>
      <c r="M310" s="38" t="s">
        <v>1490</v>
      </c>
      <c r="N310" s="174">
        <v>43586</v>
      </c>
      <c r="O310" s="38" t="s">
        <v>1489</v>
      </c>
      <c r="P310" s="38" t="s">
        <v>17</v>
      </c>
      <c r="Q310" s="38" t="s">
        <v>17</v>
      </c>
      <c r="R310" s="151" t="s">
        <v>1499</v>
      </c>
      <c r="S310" s="39" t="s">
        <v>11</v>
      </c>
      <c r="T310" s="39" t="s">
        <v>11</v>
      </c>
      <c r="U310" s="136">
        <v>2550.2775000000001</v>
      </c>
      <c r="V310" s="153"/>
      <c r="W310" s="153"/>
      <c r="X310" s="153">
        <v>595</v>
      </c>
      <c r="Y310" s="153">
        <v>668</v>
      </c>
      <c r="Z310" s="153">
        <v>800</v>
      </c>
      <c r="AA310" s="40">
        <v>102.7752</v>
      </c>
      <c r="AB310" s="40">
        <v>205.5504</v>
      </c>
      <c r="AC310" s="40">
        <v>308.32559999999995</v>
      </c>
      <c r="AD310" s="40">
        <v>513.87599999999998</v>
      </c>
      <c r="AE310" s="40">
        <v>770.81399999999996</v>
      </c>
      <c r="AF310" s="40">
        <v>1027.752</v>
      </c>
      <c r="AG310" s="40">
        <v>95.862485381251901</v>
      </c>
      <c r="AH310" s="40">
        <v>97.441697492401133</v>
      </c>
      <c r="AI310" s="40">
        <v>97.811332352904088</v>
      </c>
      <c r="AJ310" s="40">
        <v>97.891168179619768</v>
      </c>
      <c r="AK310" s="40">
        <v>97.74411648135623</v>
      </c>
      <c r="AL310" s="40">
        <v>97.382896895342981</v>
      </c>
      <c r="AM310" s="40">
        <v>97.674616069824722</v>
      </c>
      <c r="AN310" s="40">
        <v>95.673585519005911</v>
      </c>
      <c r="AO310" s="40">
        <v>97.378077219658323</v>
      </c>
      <c r="AP310" s="40">
        <v>97.755703475534403</v>
      </c>
      <c r="AQ310" s="40">
        <v>97.860554231371538</v>
      </c>
      <c r="AR310" s="40">
        <v>97.719335061881765</v>
      </c>
      <c r="AS310" s="40">
        <v>97.378124414474883</v>
      </c>
      <c r="AT310" s="40">
        <v>97.637401890916379</v>
      </c>
      <c r="AU310" s="40">
        <v>95.140003898891223</v>
      </c>
      <c r="AV310" s="40">
        <v>97.080090167707112</v>
      </c>
      <c r="AW310" s="40">
        <v>97.524003696301421</v>
      </c>
      <c r="AX310" s="40">
        <v>97.689736564126648</v>
      </c>
      <c r="AY310" s="40">
        <v>97.556122921873055</v>
      </c>
      <c r="AZ310" s="40">
        <v>97.213022129275785</v>
      </c>
      <c r="BA310" s="40">
        <v>97.442726041420286</v>
      </c>
      <c r="BB310" s="178">
        <v>43586</v>
      </c>
      <c r="BC310" s="178"/>
    </row>
    <row r="311" spans="1:55" s="44" customFormat="1" ht="90">
      <c r="A311" s="18" t="s">
        <v>1497</v>
      </c>
      <c r="B311" s="18" t="s">
        <v>1572</v>
      </c>
      <c r="C311" s="23" t="s">
        <v>10</v>
      </c>
      <c r="D311" s="23" t="s">
        <v>10</v>
      </c>
      <c r="E311" s="23" t="s">
        <v>10</v>
      </c>
      <c r="F311" s="23" t="s">
        <v>11</v>
      </c>
      <c r="G311" s="18" t="s">
        <v>1508</v>
      </c>
      <c r="H311" s="19">
        <v>1048.5940000000001</v>
      </c>
      <c r="I311" s="37">
        <v>430</v>
      </c>
      <c r="J311" s="19">
        <v>97.5</v>
      </c>
      <c r="K311" s="20" t="s">
        <v>1386</v>
      </c>
      <c r="L311" s="49" t="s">
        <v>1489</v>
      </c>
      <c r="M311" s="38" t="s">
        <v>1490</v>
      </c>
      <c r="N311" s="174">
        <v>43586</v>
      </c>
      <c r="O311" s="38" t="s">
        <v>1489</v>
      </c>
      <c r="P311" s="38" t="s">
        <v>17</v>
      </c>
      <c r="Q311" s="38" t="s">
        <v>17</v>
      </c>
      <c r="R311" s="151" t="s">
        <v>1499</v>
      </c>
      <c r="S311" s="39" t="s">
        <v>11</v>
      </c>
      <c r="T311" s="39" t="s">
        <v>11</v>
      </c>
      <c r="U311" s="136">
        <v>2550.2775000000001</v>
      </c>
      <c r="V311" s="153"/>
      <c r="W311" s="153"/>
      <c r="X311" s="153">
        <v>624</v>
      </c>
      <c r="Y311" s="153">
        <v>682</v>
      </c>
      <c r="Z311" s="153">
        <v>800</v>
      </c>
      <c r="AA311" s="40">
        <v>104.85940000000001</v>
      </c>
      <c r="AB311" s="40">
        <v>209.71880000000002</v>
      </c>
      <c r="AC311" s="40">
        <v>314.57819999999998</v>
      </c>
      <c r="AD311" s="40">
        <v>524.29700000000003</v>
      </c>
      <c r="AE311" s="40">
        <v>786.44550000000004</v>
      </c>
      <c r="AF311" s="40">
        <v>1048.5940000000001</v>
      </c>
      <c r="AG311" s="40">
        <v>96.004131167883529</v>
      </c>
      <c r="AH311" s="40">
        <v>97.481140832780383</v>
      </c>
      <c r="AI311" s="40">
        <v>97.837312964836116</v>
      </c>
      <c r="AJ311" s="40">
        <v>97.923089297190614</v>
      </c>
      <c r="AK311" s="40">
        <v>97.789347637594915</v>
      </c>
      <c r="AL311" s="40">
        <v>97.413812385648953</v>
      </c>
      <c r="AM311" s="40">
        <v>97.717593463752465</v>
      </c>
      <c r="AN311" s="40">
        <v>95.869210079707514</v>
      </c>
      <c r="AO311" s="40">
        <v>97.430341823072879</v>
      </c>
      <c r="AP311" s="40">
        <v>97.796576602197305</v>
      </c>
      <c r="AQ311" s="40">
        <v>97.903911963788389</v>
      </c>
      <c r="AR311" s="40">
        <v>97.781005512397059</v>
      </c>
      <c r="AS311" s="40">
        <v>97.450615230613408</v>
      </c>
      <c r="AT311" s="40">
        <v>97.698159882102303</v>
      </c>
      <c r="AU311" s="40">
        <v>95.382516161655985</v>
      </c>
      <c r="AV311" s="40">
        <v>97.183226707302126</v>
      </c>
      <c r="AW311" s="40">
        <v>97.593498616554569</v>
      </c>
      <c r="AX311" s="40">
        <v>97.741068874937696</v>
      </c>
      <c r="AY311" s="40">
        <v>97.649566841568571</v>
      </c>
      <c r="AZ311" s="40">
        <v>97.317414469035342</v>
      </c>
      <c r="BA311" s="40">
        <v>97.531447429037911</v>
      </c>
      <c r="BB311" s="178">
        <v>43586</v>
      </c>
      <c r="BC311" s="178"/>
    </row>
    <row r="312" spans="1:55" s="44" customFormat="1" ht="90">
      <c r="A312" s="18" t="s">
        <v>1497</v>
      </c>
      <c r="B312" s="18" t="s">
        <v>1573</v>
      </c>
      <c r="C312" s="23" t="s">
        <v>10</v>
      </c>
      <c r="D312" s="23" t="s">
        <v>10</v>
      </c>
      <c r="E312" s="23" t="s">
        <v>10</v>
      </c>
      <c r="F312" s="23" t="s">
        <v>11</v>
      </c>
      <c r="G312" s="18" t="s">
        <v>1507</v>
      </c>
      <c r="H312" s="19">
        <v>1099.306</v>
      </c>
      <c r="I312" s="37">
        <v>440</v>
      </c>
      <c r="J312" s="19">
        <v>97.5</v>
      </c>
      <c r="K312" s="20" t="s">
        <v>1386</v>
      </c>
      <c r="L312" s="49" t="s">
        <v>1489</v>
      </c>
      <c r="M312" s="38" t="s">
        <v>1490</v>
      </c>
      <c r="N312" s="174">
        <v>43586</v>
      </c>
      <c r="O312" s="38" t="s">
        <v>1489</v>
      </c>
      <c r="P312" s="38" t="s">
        <v>17</v>
      </c>
      <c r="Q312" s="38" t="s">
        <v>17</v>
      </c>
      <c r="R312" s="151" t="s">
        <v>1499</v>
      </c>
      <c r="S312" s="39" t="s">
        <v>11</v>
      </c>
      <c r="T312" s="39" t="s">
        <v>11</v>
      </c>
      <c r="U312" s="136">
        <v>2550.2775000000001</v>
      </c>
      <c r="V312" s="153"/>
      <c r="W312" s="153"/>
      <c r="X312" s="153">
        <v>638</v>
      </c>
      <c r="Y312" s="153">
        <v>689</v>
      </c>
      <c r="Z312" s="153">
        <v>800</v>
      </c>
      <c r="AA312" s="40">
        <v>109.93060000000001</v>
      </c>
      <c r="AB312" s="40">
        <v>219.86120000000003</v>
      </c>
      <c r="AC312" s="40">
        <v>329.79180000000002</v>
      </c>
      <c r="AD312" s="40">
        <v>549.65300000000002</v>
      </c>
      <c r="AE312" s="40">
        <v>824.47950000000003</v>
      </c>
      <c r="AF312" s="40">
        <v>1099.306</v>
      </c>
      <c r="AG312" s="40">
        <v>95.932010276324007</v>
      </c>
      <c r="AH312" s="40">
        <v>97.49265051753207</v>
      </c>
      <c r="AI312" s="40">
        <v>97.867964868192075</v>
      </c>
      <c r="AJ312" s="40">
        <v>97.948666576433268</v>
      </c>
      <c r="AK312" s="40">
        <v>97.8105002896787</v>
      </c>
      <c r="AL312" s="40">
        <v>97.453652066344446</v>
      </c>
      <c r="AM312" s="40">
        <v>97.737536459010528</v>
      </c>
      <c r="AN312" s="40">
        <v>95.83631075130819</v>
      </c>
      <c r="AO312" s="40">
        <v>97.465193905098587</v>
      </c>
      <c r="AP312" s="40">
        <v>97.850931329649029</v>
      </c>
      <c r="AQ312" s="40">
        <v>97.944192380988355</v>
      </c>
      <c r="AR312" s="40">
        <v>97.803900269609201</v>
      </c>
      <c r="AS312" s="40">
        <v>97.467666751246611</v>
      </c>
      <c r="AT312" s="40">
        <v>97.726554765327904</v>
      </c>
      <c r="AU312" s="40">
        <v>95.426130372969482</v>
      </c>
      <c r="AV312" s="40">
        <v>97.239481090374937</v>
      </c>
      <c r="AW312" s="40">
        <v>97.647783531418611</v>
      </c>
      <c r="AX312" s="40">
        <v>97.803695764929572</v>
      </c>
      <c r="AY312" s="40">
        <v>97.683236673332686</v>
      </c>
      <c r="AZ312" s="40">
        <v>97.351408834240246</v>
      </c>
      <c r="BA312" s="40">
        <v>97.575215282421311</v>
      </c>
      <c r="BB312" s="178">
        <v>43586</v>
      </c>
      <c r="BC312" s="178"/>
    </row>
    <row r="313" spans="1:55" s="44" customFormat="1" ht="90">
      <c r="A313" s="18" t="s">
        <v>1497</v>
      </c>
      <c r="B313" s="18" t="s">
        <v>1571</v>
      </c>
      <c r="C313" s="23" t="s">
        <v>10</v>
      </c>
      <c r="D313" s="23" t="s">
        <v>10</v>
      </c>
      <c r="E313" s="23" t="s">
        <v>10</v>
      </c>
      <c r="F313" s="23" t="s">
        <v>11</v>
      </c>
      <c r="G313" s="18" t="s">
        <v>1498</v>
      </c>
      <c r="H313" s="19">
        <v>1042.22</v>
      </c>
      <c r="I313" s="37">
        <v>480</v>
      </c>
      <c r="J313" s="19">
        <v>97.5</v>
      </c>
      <c r="K313" s="20" t="s">
        <v>1386</v>
      </c>
      <c r="L313" s="49" t="s">
        <v>1489</v>
      </c>
      <c r="M313" s="38" t="s">
        <v>1490</v>
      </c>
      <c r="N313" s="174">
        <v>43586</v>
      </c>
      <c r="O313" s="38" t="s">
        <v>1489</v>
      </c>
      <c r="P313" s="38" t="s">
        <v>17</v>
      </c>
      <c r="Q313" s="38" t="s">
        <v>17</v>
      </c>
      <c r="R313" s="151" t="s">
        <v>1499</v>
      </c>
      <c r="S313" s="39" t="s">
        <v>11</v>
      </c>
      <c r="T313" s="39" t="s">
        <v>11</v>
      </c>
      <c r="U313" s="136">
        <v>459.07241666666664</v>
      </c>
      <c r="V313" s="153"/>
      <c r="W313" s="153"/>
      <c r="X313" s="153">
        <v>697</v>
      </c>
      <c r="Y313" s="153">
        <v>949</v>
      </c>
      <c r="Z313" s="153">
        <v>1200</v>
      </c>
      <c r="AA313" s="40">
        <v>104.22200000000001</v>
      </c>
      <c r="AB313" s="40">
        <v>208.44400000000002</v>
      </c>
      <c r="AC313" s="40">
        <v>312.666</v>
      </c>
      <c r="AD313" s="40">
        <v>521.11</v>
      </c>
      <c r="AE313" s="40">
        <v>781.66499999999996</v>
      </c>
      <c r="AF313" s="40">
        <v>1042.22</v>
      </c>
      <c r="AG313" s="40">
        <v>96.903698050438123</v>
      </c>
      <c r="AH313" s="40">
        <v>97.618814750297517</v>
      </c>
      <c r="AI313" s="40">
        <v>97.802986930357335</v>
      </c>
      <c r="AJ313" s="40">
        <v>97.739491462227122</v>
      </c>
      <c r="AK313" s="40">
        <v>97.501507681732335</v>
      </c>
      <c r="AL313" s="40">
        <v>97.117409292811473</v>
      </c>
      <c r="AM313" s="40">
        <v>97.550409834201687</v>
      </c>
      <c r="AN313" s="40">
        <v>96.404674685259025</v>
      </c>
      <c r="AO313" s="40">
        <v>97.431021008596332</v>
      </c>
      <c r="AP313" s="40">
        <v>97.599251152283387</v>
      </c>
      <c r="AQ313" s="40">
        <v>97.471936920226455</v>
      </c>
      <c r="AR313" s="40">
        <v>97.282213741029167</v>
      </c>
      <c r="AS313" s="40">
        <v>96.858978778224767</v>
      </c>
      <c r="AT313" s="40">
        <v>97.31127715101843</v>
      </c>
      <c r="AU313" s="40">
        <v>96.025957796716156</v>
      </c>
      <c r="AV313" s="40">
        <v>97.074663463996743</v>
      </c>
      <c r="AW313" s="40">
        <v>97.397898680593329</v>
      </c>
      <c r="AX313" s="40">
        <v>97.226770294224494</v>
      </c>
      <c r="AY313" s="40">
        <v>96.990291244472502</v>
      </c>
      <c r="AZ313" s="40">
        <v>96.513792986680627</v>
      </c>
      <c r="BA313" s="40">
        <v>97.030685097431302</v>
      </c>
      <c r="BB313" s="178">
        <v>43586</v>
      </c>
      <c r="BC313" s="178"/>
    </row>
    <row r="314" spans="1:55" s="44" customFormat="1" ht="90">
      <c r="A314" s="18" t="s">
        <v>1497</v>
      </c>
      <c r="B314" s="18" t="s">
        <v>1574</v>
      </c>
      <c r="C314" s="23" t="s">
        <v>10</v>
      </c>
      <c r="D314" s="23" t="s">
        <v>10</v>
      </c>
      <c r="E314" s="23" t="s">
        <v>10</v>
      </c>
      <c r="F314" s="23" t="s">
        <v>11</v>
      </c>
      <c r="G314" s="18" t="s">
        <v>1506</v>
      </c>
      <c r="H314" s="19">
        <v>1114.104</v>
      </c>
      <c r="I314" s="37">
        <v>450</v>
      </c>
      <c r="J314" s="19">
        <v>97.5</v>
      </c>
      <c r="K314" s="20" t="s">
        <v>1386</v>
      </c>
      <c r="L314" s="49" t="s">
        <v>1489</v>
      </c>
      <c r="M314" s="38" t="s">
        <v>1490</v>
      </c>
      <c r="N314" s="174">
        <v>43586</v>
      </c>
      <c r="O314" s="38" t="s">
        <v>1489</v>
      </c>
      <c r="P314" s="38" t="s">
        <v>17</v>
      </c>
      <c r="Q314" s="38" t="s">
        <v>17</v>
      </c>
      <c r="R314" s="151" t="s">
        <v>1499</v>
      </c>
      <c r="S314" s="39" t="s">
        <v>11</v>
      </c>
      <c r="T314" s="39" t="s">
        <v>11</v>
      </c>
      <c r="U314" s="136">
        <v>2550.2775000000001</v>
      </c>
      <c r="V314" s="153"/>
      <c r="W314" s="153"/>
      <c r="X314" s="153">
        <v>652</v>
      </c>
      <c r="Y314" s="153">
        <v>696</v>
      </c>
      <c r="Z314" s="153">
        <v>800</v>
      </c>
      <c r="AA314" s="40">
        <v>111.41040000000001</v>
      </c>
      <c r="AB314" s="40">
        <v>222.82080000000002</v>
      </c>
      <c r="AC314" s="40">
        <v>334.2312</v>
      </c>
      <c r="AD314" s="40">
        <v>557.05200000000002</v>
      </c>
      <c r="AE314" s="40">
        <v>835.57799999999997</v>
      </c>
      <c r="AF314" s="40">
        <v>1114.104</v>
      </c>
      <c r="AG314" s="40">
        <v>95.970642143925957</v>
      </c>
      <c r="AH314" s="40">
        <v>97.501616847126058</v>
      </c>
      <c r="AI314" s="40">
        <v>97.868762712731552</v>
      </c>
      <c r="AJ314" s="40">
        <v>97.936366948280323</v>
      </c>
      <c r="AK314" s="40">
        <v>97.810266840204704</v>
      </c>
      <c r="AL314" s="40">
        <v>97.496823165386601</v>
      </c>
      <c r="AM314" s="40">
        <v>97.739077696357825</v>
      </c>
      <c r="AN314" s="40">
        <v>95.900121191315378</v>
      </c>
      <c r="AO314" s="40">
        <v>97.483655278990469</v>
      </c>
      <c r="AP314" s="40">
        <v>97.854994237938826</v>
      </c>
      <c r="AQ314" s="40">
        <v>97.974343165614329</v>
      </c>
      <c r="AR314" s="40">
        <v>97.831573475816199</v>
      </c>
      <c r="AS314" s="40">
        <v>97.520426325602784</v>
      </c>
      <c r="AT314" s="40">
        <v>97.754154243396542</v>
      </c>
      <c r="AU314" s="40">
        <v>95.507328978243521</v>
      </c>
      <c r="AV314" s="40">
        <v>97.260350661207383</v>
      </c>
      <c r="AW314" s="40">
        <v>97.698182169906815</v>
      </c>
      <c r="AX314" s="40">
        <v>97.844321173743367</v>
      </c>
      <c r="AY314" s="40">
        <v>97.717172632052652</v>
      </c>
      <c r="AZ314" s="40">
        <v>97.413248464368081</v>
      </c>
      <c r="BA314" s="40">
        <v>97.615163917271346</v>
      </c>
      <c r="BB314" s="178">
        <v>43586</v>
      </c>
      <c r="BC314" s="178"/>
    </row>
    <row r="315" spans="1:55" s="44" customFormat="1" ht="90">
      <c r="A315" s="18" t="s">
        <v>1497</v>
      </c>
      <c r="B315" s="18" t="s">
        <v>1575</v>
      </c>
      <c r="C315" s="23" t="s">
        <v>10</v>
      </c>
      <c r="D315" s="23" t="s">
        <v>10</v>
      </c>
      <c r="E315" s="23" t="s">
        <v>10</v>
      </c>
      <c r="F315" s="23" t="s">
        <v>11</v>
      </c>
      <c r="G315" s="18" t="s">
        <v>1505</v>
      </c>
      <c r="H315" s="19">
        <v>1128.4760000000001</v>
      </c>
      <c r="I315" s="37">
        <v>460</v>
      </c>
      <c r="J315" s="19">
        <v>97.5</v>
      </c>
      <c r="K315" s="20" t="s">
        <v>1386</v>
      </c>
      <c r="L315" s="49" t="s">
        <v>1489</v>
      </c>
      <c r="M315" s="38" t="s">
        <v>1490</v>
      </c>
      <c r="N315" s="174">
        <v>43586</v>
      </c>
      <c r="O315" s="38" t="s">
        <v>1489</v>
      </c>
      <c r="P315" s="38" t="s">
        <v>17</v>
      </c>
      <c r="Q315" s="38" t="s">
        <v>17</v>
      </c>
      <c r="R315" s="151" t="s">
        <v>1499</v>
      </c>
      <c r="S315" s="39" t="s">
        <v>11</v>
      </c>
      <c r="T315" s="39" t="s">
        <v>11</v>
      </c>
      <c r="U315" s="136">
        <v>2550.2775000000001</v>
      </c>
      <c r="V315" s="153"/>
      <c r="W315" s="153"/>
      <c r="X315" s="153">
        <v>666</v>
      </c>
      <c r="Y315" s="153">
        <v>703</v>
      </c>
      <c r="Z315" s="153">
        <v>800</v>
      </c>
      <c r="AA315" s="40">
        <v>112.84760000000001</v>
      </c>
      <c r="AB315" s="40">
        <v>225.69520000000003</v>
      </c>
      <c r="AC315" s="40">
        <v>338.5428</v>
      </c>
      <c r="AD315" s="40">
        <v>564.23800000000006</v>
      </c>
      <c r="AE315" s="40">
        <v>846.35700000000008</v>
      </c>
      <c r="AF315" s="40">
        <v>1128.4760000000001</v>
      </c>
      <c r="AG315" s="40">
        <v>95.99382220256561</v>
      </c>
      <c r="AH315" s="40">
        <v>97.507971055551451</v>
      </c>
      <c r="AI315" s="40">
        <v>97.861674580167048</v>
      </c>
      <c r="AJ315" s="40">
        <v>97.970563015992951</v>
      </c>
      <c r="AK315" s="40">
        <v>97.844152982532691</v>
      </c>
      <c r="AL315" s="40">
        <v>97.627833420787141</v>
      </c>
      <c r="AM315" s="40">
        <v>97.771163375640441</v>
      </c>
      <c r="AN315" s="40">
        <v>95.888817550203342</v>
      </c>
      <c r="AO315" s="40">
        <v>97.482348805456581</v>
      </c>
      <c r="AP315" s="40">
        <v>97.870894574140294</v>
      </c>
      <c r="AQ315" s="40">
        <v>97.991603253818624</v>
      </c>
      <c r="AR315" s="40">
        <v>97.86706263712847</v>
      </c>
      <c r="AS315" s="40">
        <v>97.559672152450915</v>
      </c>
      <c r="AT315" s="40">
        <v>97.779940979780349</v>
      </c>
      <c r="AU315" s="40">
        <v>95.542870550986734</v>
      </c>
      <c r="AV315" s="40">
        <v>97.320155042788016</v>
      </c>
      <c r="AW315" s="40">
        <v>97.733441007951882</v>
      </c>
      <c r="AX315" s="40">
        <v>97.912252424669219</v>
      </c>
      <c r="AY315" s="40">
        <v>97.763481981035881</v>
      </c>
      <c r="AZ315" s="40">
        <v>97.490549414914128</v>
      </c>
      <c r="BA315" s="40">
        <v>97.666481425008357</v>
      </c>
      <c r="BB315" s="178">
        <v>43586</v>
      </c>
      <c r="BC315" s="178"/>
    </row>
    <row r="316" spans="1:55" s="44" customFormat="1" ht="90">
      <c r="A316" s="18" t="s">
        <v>1497</v>
      </c>
      <c r="B316" s="18" t="s">
        <v>1578</v>
      </c>
      <c r="C316" s="23" t="s">
        <v>10</v>
      </c>
      <c r="D316" s="23" t="s">
        <v>10</v>
      </c>
      <c r="E316" s="23" t="s">
        <v>10</v>
      </c>
      <c r="F316" s="23" t="s">
        <v>11</v>
      </c>
      <c r="G316" s="18" t="s">
        <v>1504</v>
      </c>
      <c r="H316" s="19">
        <v>1367.076</v>
      </c>
      <c r="I316" s="37">
        <v>640</v>
      </c>
      <c r="J316" s="19">
        <v>97.5</v>
      </c>
      <c r="K316" s="20" t="s">
        <v>1386</v>
      </c>
      <c r="L316" s="49" t="s">
        <v>1489</v>
      </c>
      <c r="M316" s="38" t="s">
        <v>1490</v>
      </c>
      <c r="N316" s="174">
        <v>43586</v>
      </c>
      <c r="O316" s="38" t="s">
        <v>1489</v>
      </c>
      <c r="P316" s="38" t="s">
        <v>17</v>
      </c>
      <c r="Q316" s="38" t="s">
        <v>17</v>
      </c>
      <c r="R316" s="151" t="s">
        <v>1499</v>
      </c>
      <c r="S316" s="39" t="s">
        <v>11</v>
      </c>
      <c r="T316" s="39" t="s">
        <v>11</v>
      </c>
      <c r="U316" s="136">
        <v>459.07241666666664</v>
      </c>
      <c r="V316" s="153"/>
      <c r="W316" s="153"/>
      <c r="X316" s="153">
        <v>919</v>
      </c>
      <c r="Y316" s="153">
        <v>1060</v>
      </c>
      <c r="Z316" s="153">
        <v>1200</v>
      </c>
      <c r="AA316" s="40">
        <v>136.70760000000001</v>
      </c>
      <c r="AB316" s="40">
        <v>273.41520000000003</v>
      </c>
      <c r="AC316" s="40">
        <v>410.12279999999998</v>
      </c>
      <c r="AD316" s="40">
        <v>683.53800000000001</v>
      </c>
      <c r="AE316" s="40">
        <v>1025.307</v>
      </c>
      <c r="AF316" s="40">
        <v>1367.076</v>
      </c>
      <c r="AG316" s="40">
        <v>96.249477763929832</v>
      </c>
      <c r="AH316" s="40">
        <v>97.442263685687166</v>
      </c>
      <c r="AI316" s="40">
        <v>97.720428241358945</v>
      </c>
      <c r="AJ316" s="40">
        <v>97.755000523746432</v>
      </c>
      <c r="AK316" s="40">
        <v>97.618394959633193</v>
      </c>
      <c r="AL316" s="40">
        <v>97.312262443393948</v>
      </c>
      <c r="AM316" s="40">
        <v>97.580456244566648</v>
      </c>
      <c r="AN316" s="40">
        <v>95.97723736896917</v>
      </c>
      <c r="AO316" s="40">
        <v>97.314091902113276</v>
      </c>
      <c r="AP316" s="40">
        <v>97.590648097722578</v>
      </c>
      <c r="AQ316" s="40">
        <v>97.669729930664502</v>
      </c>
      <c r="AR316" s="40">
        <v>97.506129753944407</v>
      </c>
      <c r="AS316" s="40">
        <v>97.192912859076884</v>
      </c>
      <c r="AT316" s="40">
        <v>97.464209559575082</v>
      </c>
      <c r="AU316" s="40">
        <v>95.515538943736459</v>
      </c>
      <c r="AV316" s="40">
        <v>97.14010892160556</v>
      </c>
      <c r="AW316" s="40">
        <v>97.406387717096251</v>
      </c>
      <c r="AX316" s="40">
        <v>97.452868370901456</v>
      </c>
      <c r="AY316" s="40">
        <v>97.342606406702743</v>
      </c>
      <c r="AZ316" s="40">
        <v>97.037111326595536</v>
      </c>
      <c r="BA316" s="40">
        <v>97.274932849652814</v>
      </c>
      <c r="BB316" s="178">
        <v>43586</v>
      </c>
      <c r="BC316" s="178"/>
    </row>
    <row r="317" spans="1:55" s="44" customFormat="1" ht="90">
      <c r="A317" s="18" t="s">
        <v>1497</v>
      </c>
      <c r="B317" s="18" t="s">
        <v>1579</v>
      </c>
      <c r="C317" s="23" t="s">
        <v>10</v>
      </c>
      <c r="D317" s="23" t="s">
        <v>10</v>
      </c>
      <c r="E317" s="23" t="s">
        <v>10</v>
      </c>
      <c r="F317" s="23" t="s">
        <v>11</v>
      </c>
      <c r="G317" s="18" t="s">
        <v>1503</v>
      </c>
      <c r="H317" s="19">
        <v>1375.2819999999999</v>
      </c>
      <c r="I317" s="37">
        <v>650</v>
      </c>
      <c r="J317" s="19">
        <v>97.5</v>
      </c>
      <c r="K317" s="20" t="s">
        <v>1386</v>
      </c>
      <c r="L317" s="49" t="s">
        <v>1489</v>
      </c>
      <c r="M317" s="38" t="s">
        <v>1490</v>
      </c>
      <c r="N317" s="174">
        <v>43586</v>
      </c>
      <c r="O317" s="38" t="s">
        <v>1489</v>
      </c>
      <c r="P317" s="38" t="s">
        <v>17</v>
      </c>
      <c r="Q317" s="38" t="s">
        <v>17</v>
      </c>
      <c r="R317" s="151" t="s">
        <v>1499</v>
      </c>
      <c r="S317" s="39" t="s">
        <v>11</v>
      </c>
      <c r="T317" s="39" t="s">
        <v>11</v>
      </c>
      <c r="U317" s="136">
        <v>459.07241666666664</v>
      </c>
      <c r="V317" s="153"/>
      <c r="W317" s="153"/>
      <c r="X317" s="153">
        <v>933</v>
      </c>
      <c r="Y317" s="153">
        <v>1067</v>
      </c>
      <c r="Z317" s="153">
        <v>1200</v>
      </c>
      <c r="AA317" s="40">
        <v>137.5282</v>
      </c>
      <c r="AB317" s="40">
        <v>275.0564</v>
      </c>
      <c r="AC317" s="40">
        <v>412.58459999999997</v>
      </c>
      <c r="AD317" s="40">
        <v>687.64099999999996</v>
      </c>
      <c r="AE317" s="40">
        <v>1031.4614999999999</v>
      </c>
      <c r="AF317" s="40">
        <v>1375.2819999999999</v>
      </c>
      <c r="AG317" s="40">
        <v>96.288130060211245</v>
      </c>
      <c r="AH317" s="40">
        <v>97.505114184155389</v>
      </c>
      <c r="AI317" s="40">
        <v>97.775673492269448</v>
      </c>
      <c r="AJ317" s="40">
        <v>97.818326185609266</v>
      </c>
      <c r="AK317" s="40">
        <v>97.661944150947051</v>
      </c>
      <c r="AL317" s="40">
        <v>97.358128241493759</v>
      </c>
      <c r="AM317" s="40">
        <v>97.630447041743125</v>
      </c>
      <c r="AN317" s="40">
        <v>96.000786646427244</v>
      </c>
      <c r="AO317" s="40">
        <v>97.401582473417079</v>
      </c>
      <c r="AP317" s="40">
        <v>97.663816807220741</v>
      </c>
      <c r="AQ317" s="40">
        <v>97.740457877121727</v>
      </c>
      <c r="AR317" s="40">
        <v>97.573571682822731</v>
      </c>
      <c r="AS317" s="40">
        <v>97.250069712731133</v>
      </c>
      <c r="AT317" s="40">
        <v>97.531761238122598</v>
      </c>
      <c r="AU317" s="40">
        <v>95.667576566877756</v>
      </c>
      <c r="AV317" s="40">
        <v>97.262672977755344</v>
      </c>
      <c r="AW317" s="40">
        <v>97.541939152838466</v>
      </c>
      <c r="AX317" s="40">
        <v>97.557458698480445</v>
      </c>
      <c r="AY317" s="40">
        <v>97.423828212721602</v>
      </c>
      <c r="AZ317" s="40">
        <v>97.085137641245751</v>
      </c>
      <c r="BA317" s="40">
        <v>97.370821571389115</v>
      </c>
      <c r="BB317" s="178">
        <v>43586</v>
      </c>
      <c r="BC317" s="178"/>
    </row>
    <row r="318" spans="1:55" s="44" customFormat="1" ht="90">
      <c r="A318" s="18" t="s">
        <v>1497</v>
      </c>
      <c r="B318" s="18" t="s">
        <v>1580</v>
      </c>
      <c r="C318" s="23" t="s">
        <v>10</v>
      </c>
      <c r="D318" s="23" t="s">
        <v>10</v>
      </c>
      <c r="E318" s="23" t="s">
        <v>10</v>
      </c>
      <c r="F318" s="23" t="s">
        <v>11</v>
      </c>
      <c r="G318" s="18" t="s">
        <v>1502</v>
      </c>
      <c r="H318" s="19">
        <v>1390.614</v>
      </c>
      <c r="I318" s="37">
        <v>660</v>
      </c>
      <c r="J318" s="19">
        <v>97.5</v>
      </c>
      <c r="K318" s="20" t="s">
        <v>1386</v>
      </c>
      <c r="L318" s="49" t="s">
        <v>1489</v>
      </c>
      <c r="M318" s="38" t="s">
        <v>1490</v>
      </c>
      <c r="N318" s="174">
        <v>43586</v>
      </c>
      <c r="O318" s="38" t="s">
        <v>1489</v>
      </c>
      <c r="P318" s="38" t="s">
        <v>17</v>
      </c>
      <c r="Q318" s="38" t="s">
        <v>17</v>
      </c>
      <c r="R318" s="151" t="s">
        <v>1499</v>
      </c>
      <c r="S318" s="39" t="s">
        <v>11</v>
      </c>
      <c r="T318" s="39" t="s">
        <v>11</v>
      </c>
      <c r="U318" s="136">
        <v>459.07241666666664</v>
      </c>
      <c r="V318" s="153"/>
      <c r="W318" s="153"/>
      <c r="X318" s="153">
        <v>948</v>
      </c>
      <c r="Y318" s="153">
        <v>1074</v>
      </c>
      <c r="Z318" s="153">
        <v>1200</v>
      </c>
      <c r="AA318" s="40">
        <v>139.06140000000002</v>
      </c>
      <c r="AB318" s="40">
        <v>278.12280000000004</v>
      </c>
      <c r="AC318" s="40">
        <v>417.18419999999998</v>
      </c>
      <c r="AD318" s="40">
        <v>695.30700000000002</v>
      </c>
      <c r="AE318" s="40">
        <v>1042.9605000000001</v>
      </c>
      <c r="AF318" s="40">
        <v>1390.614</v>
      </c>
      <c r="AG318" s="40">
        <v>96.062235468670153</v>
      </c>
      <c r="AH318" s="40">
        <v>97.403376404219202</v>
      </c>
      <c r="AI318" s="40">
        <v>97.686348745965319</v>
      </c>
      <c r="AJ318" s="40">
        <v>97.753615279858352</v>
      </c>
      <c r="AK318" s="40">
        <v>97.622034950443336</v>
      </c>
      <c r="AL318" s="40">
        <v>97.339232986027454</v>
      </c>
      <c r="AM318" s="40">
        <v>97.569919470280212</v>
      </c>
      <c r="AN318" s="40">
        <v>95.841890787129174</v>
      </c>
      <c r="AO318" s="40">
        <v>97.270665199007212</v>
      </c>
      <c r="AP318" s="40">
        <v>97.550170030702319</v>
      </c>
      <c r="AQ318" s="40">
        <v>97.700887549968797</v>
      </c>
      <c r="AR318" s="40">
        <v>97.538433991441593</v>
      </c>
      <c r="AS318" s="40">
        <v>97.230456630980342</v>
      </c>
      <c r="AT318" s="40">
        <v>97.47730852762632</v>
      </c>
      <c r="AU318" s="40">
        <v>95.364706922046778</v>
      </c>
      <c r="AV318" s="40">
        <v>97.109170250043064</v>
      </c>
      <c r="AW318" s="40">
        <v>97.400495619794086</v>
      </c>
      <c r="AX318" s="40">
        <v>97.525329846750523</v>
      </c>
      <c r="AY318" s="40">
        <v>97.403401392754972</v>
      </c>
      <c r="AZ318" s="40">
        <v>97.086498890356509</v>
      </c>
      <c r="BA318" s="40">
        <v>97.316553214254895</v>
      </c>
      <c r="BB318" s="178">
        <v>43586</v>
      </c>
      <c r="BC318" s="178"/>
    </row>
    <row r="319" spans="1:55" s="44" customFormat="1" ht="90">
      <c r="A319" s="18" t="s">
        <v>1497</v>
      </c>
      <c r="B319" s="18" t="s">
        <v>1576</v>
      </c>
      <c r="C319" s="23" t="s">
        <v>10</v>
      </c>
      <c r="D319" s="23" t="s">
        <v>10</v>
      </c>
      <c r="E319" s="23" t="s">
        <v>10</v>
      </c>
      <c r="F319" s="23" t="s">
        <v>11</v>
      </c>
      <c r="G319" s="18" t="s">
        <v>1501</v>
      </c>
      <c r="H319" s="19">
        <v>1272.412</v>
      </c>
      <c r="I319" s="37">
        <v>670</v>
      </c>
      <c r="J319" s="19">
        <v>97.5</v>
      </c>
      <c r="K319" s="20" t="s">
        <v>1386</v>
      </c>
      <c r="L319" s="49" t="s">
        <v>1489</v>
      </c>
      <c r="M319" s="38" t="s">
        <v>1490</v>
      </c>
      <c r="N319" s="174">
        <v>43586</v>
      </c>
      <c r="O319" s="38" t="s">
        <v>1489</v>
      </c>
      <c r="P319" s="38" t="s">
        <v>17</v>
      </c>
      <c r="Q319" s="38" t="s">
        <v>17</v>
      </c>
      <c r="R319" s="151" t="s">
        <v>1499</v>
      </c>
      <c r="S319" s="39" t="s">
        <v>11</v>
      </c>
      <c r="T319" s="39" t="s">
        <v>11</v>
      </c>
      <c r="U319" s="136">
        <v>459.07241666666664</v>
      </c>
      <c r="V319" s="153"/>
      <c r="W319" s="153"/>
      <c r="X319" s="153">
        <v>962</v>
      </c>
      <c r="Y319" s="153">
        <v>1081</v>
      </c>
      <c r="Z319" s="153">
        <v>1200</v>
      </c>
      <c r="AA319" s="40">
        <v>127.24120000000001</v>
      </c>
      <c r="AB319" s="40">
        <v>254.48240000000001</v>
      </c>
      <c r="AC319" s="40">
        <v>381.72359999999998</v>
      </c>
      <c r="AD319" s="40">
        <v>636.20600000000002</v>
      </c>
      <c r="AE319" s="40">
        <v>954.30899999999997</v>
      </c>
      <c r="AF319" s="40">
        <v>1272.412</v>
      </c>
      <c r="AG319" s="40">
        <v>95.964557738299547</v>
      </c>
      <c r="AH319" s="40">
        <v>97.374808884374247</v>
      </c>
      <c r="AI319" s="40">
        <v>97.690183597413451</v>
      </c>
      <c r="AJ319" s="40">
        <v>97.760353023553648</v>
      </c>
      <c r="AK319" s="40">
        <v>97.628674276890095</v>
      </c>
      <c r="AL319" s="40">
        <v>97.348016627916479</v>
      </c>
      <c r="AM319" s="40">
        <v>97.570417118534152</v>
      </c>
      <c r="AN319" s="40">
        <v>95.731305317544397</v>
      </c>
      <c r="AO319" s="40">
        <v>97.287881016192969</v>
      </c>
      <c r="AP319" s="40">
        <v>97.557286456785931</v>
      </c>
      <c r="AQ319" s="40">
        <v>97.696974511284054</v>
      </c>
      <c r="AR319" s="40">
        <v>97.544160408187125</v>
      </c>
      <c r="AS319" s="40">
        <v>97.222955419255484</v>
      </c>
      <c r="AT319" s="40">
        <v>97.47643807299734</v>
      </c>
      <c r="AU319" s="40">
        <v>95.377827614865865</v>
      </c>
      <c r="AV319" s="40">
        <v>97.136475191779098</v>
      </c>
      <c r="AW319" s="40">
        <v>97.419043572372345</v>
      </c>
      <c r="AX319" s="40">
        <v>97.50595040476847</v>
      </c>
      <c r="AY319" s="40">
        <v>97.402036743097852</v>
      </c>
      <c r="AZ319" s="40">
        <v>97.143998142972393</v>
      </c>
      <c r="BA319" s="40">
        <v>97.318751058860144</v>
      </c>
      <c r="BB319" s="178">
        <v>43586</v>
      </c>
      <c r="BC319" s="178"/>
    </row>
    <row r="320" spans="1:55" s="44" customFormat="1" ht="90">
      <c r="A320" s="18" t="s">
        <v>1497</v>
      </c>
      <c r="B320" s="18" t="s">
        <v>1577</v>
      </c>
      <c r="C320" s="23" t="s">
        <v>10</v>
      </c>
      <c r="D320" s="23" t="s">
        <v>10</v>
      </c>
      <c r="E320" s="23" t="s">
        <v>10</v>
      </c>
      <c r="F320" s="23" t="s">
        <v>11</v>
      </c>
      <c r="G320" s="18" t="s">
        <v>1500</v>
      </c>
      <c r="H320" s="19">
        <v>1300.644</v>
      </c>
      <c r="I320" s="37">
        <v>690</v>
      </c>
      <c r="J320" s="19">
        <v>97.5</v>
      </c>
      <c r="K320" s="20" t="s">
        <v>1386</v>
      </c>
      <c r="L320" s="49" t="s">
        <v>1489</v>
      </c>
      <c r="M320" s="38" t="s">
        <v>1490</v>
      </c>
      <c r="N320" s="174">
        <v>43586</v>
      </c>
      <c r="O320" s="38" t="s">
        <v>1489</v>
      </c>
      <c r="P320" s="38" t="s">
        <v>17</v>
      </c>
      <c r="Q320" s="38" t="s">
        <v>17</v>
      </c>
      <c r="R320" s="151" t="s">
        <v>1499</v>
      </c>
      <c r="S320" s="39" t="s">
        <v>11</v>
      </c>
      <c r="T320" s="39" t="s">
        <v>11</v>
      </c>
      <c r="U320" s="136">
        <v>459.07241666666664</v>
      </c>
      <c r="V320" s="153"/>
      <c r="W320" s="153"/>
      <c r="X320" s="153">
        <v>962</v>
      </c>
      <c r="Y320" s="153">
        <v>1081</v>
      </c>
      <c r="Z320" s="153">
        <v>1200</v>
      </c>
      <c r="AA320" s="40">
        <v>130.06440000000001</v>
      </c>
      <c r="AB320" s="40">
        <v>260.12880000000001</v>
      </c>
      <c r="AC320" s="40">
        <v>390.19319999999999</v>
      </c>
      <c r="AD320" s="40">
        <v>650.322</v>
      </c>
      <c r="AE320" s="40">
        <v>975.48299999999995</v>
      </c>
      <c r="AF320" s="40">
        <v>1300.644</v>
      </c>
      <c r="AG320" s="40">
        <v>96.671689964420295</v>
      </c>
      <c r="AH320" s="40">
        <v>97.66516992006899</v>
      </c>
      <c r="AI320" s="40">
        <v>97.878799533636567</v>
      </c>
      <c r="AJ320" s="40">
        <v>97.902063780379663</v>
      </c>
      <c r="AK320" s="40">
        <v>97.7538343845995</v>
      </c>
      <c r="AL320" s="40">
        <v>97.399010071196059</v>
      </c>
      <c r="AM320" s="40">
        <v>97.734498159893917</v>
      </c>
      <c r="AN320" s="40">
        <v>96.472240657415441</v>
      </c>
      <c r="AO320" s="40">
        <v>97.596088832359982</v>
      </c>
      <c r="AP320" s="40">
        <v>97.804012362449711</v>
      </c>
      <c r="AQ320" s="40">
        <v>97.827986624285316</v>
      </c>
      <c r="AR320" s="40">
        <v>97.677848526433479</v>
      </c>
      <c r="AS320" s="40">
        <v>97.335621108278545</v>
      </c>
      <c r="AT320" s="40">
        <v>97.655093516932169</v>
      </c>
      <c r="AU320" s="40">
        <v>96.333523362786579</v>
      </c>
      <c r="AV320" s="40">
        <v>97.514469835502524</v>
      </c>
      <c r="AW320" s="40">
        <v>97.708216936425416</v>
      </c>
      <c r="AX320" s="40">
        <v>97.734575890986818</v>
      </c>
      <c r="AY320" s="40">
        <v>97.562504003544106</v>
      </c>
      <c r="AZ320" s="40">
        <v>97.257914519181156</v>
      </c>
      <c r="BA320" s="40">
        <v>97.549334243602317</v>
      </c>
      <c r="BB320" s="178">
        <v>43586</v>
      </c>
      <c r="BC320" s="178"/>
    </row>
    <row r="321" spans="1:55" s="44" customFormat="1" ht="60">
      <c r="A321" s="18" t="s">
        <v>1487</v>
      </c>
      <c r="B321" s="18" t="s">
        <v>1584</v>
      </c>
      <c r="C321" s="23" t="s">
        <v>10</v>
      </c>
      <c r="D321" s="23" t="s">
        <v>10</v>
      </c>
      <c r="E321" s="23" t="s">
        <v>10</v>
      </c>
      <c r="F321" s="23" t="s">
        <v>11</v>
      </c>
      <c r="G321" s="18" t="s">
        <v>1494</v>
      </c>
      <c r="H321" s="19">
        <v>1000</v>
      </c>
      <c r="I321" s="37">
        <v>360</v>
      </c>
      <c r="J321" s="19">
        <v>98</v>
      </c>
      <c r="K321" s="20" t="s">
        <v>1386</v>
      </c>
      <c r="L321" s="49" t="s">
        <v>1489</v>
      </c>
      <c r="M321" s="38" t="s">
        <v>1490</v>
      </c>
      <c r="N321" s="174">
        <v>43586</v>
      </c>
      <c r="O321" s="38" t="s">
        <v>1489</v>
      </c>
      <c r="P321" s="38" t="s">
        <v>17</v>
      </c>
      <c r="Q321" s="38" t="s">
        <v>17</v>
      </c>
      <c r="R321" s="151" t="s">
        <v>1491</v>
      </c>
      <c r="S321" s="39" t="s">
        <v>11</v>
      </c>
      <c r="T321" s="39" t="s">
        <v>11</v>
      </c>
      <c r="U321" s="37">
        <v>80</v>
      </c>
      <c r="V321" s="153"/>
      <c r="W321" s="153"/>
      <c r="X321" s="153">
        <v>524</v>
      </c>
      <c r="Y321" s="153">
        <v>632</v>
      </c>
      <c r="Z321" s="153">
        <v>740</v>
      </c>
      <c r="AA321" s="40">
        <v>100</v>
      </c>
      <c r="AB321" s="40">
        <v>200</v>
      </c>
      <c r="AC321" s="40">
        <v>300</v>
      </c>
      <c r="AD321" s="40">
        <v>500</v>
      </c>
      <c r="AE321" s="40">
        <v>750</v>
      </c>
      <c r="AF321" s="40">
        <v>1000</v>
      </c>
      <c r="AG321" s="40">
        <v>97.34</v>
      </c>
      <c r="AH321" s="40">
        <v>98.14</v>
      </c>
      <c r="AI321" s="40">
        <v>98.33</v>
      </c>
      <c r="AJ321" s="40">
        <v>98.21</v>
      </c>
      <c r="AK321" s="40">
        <v>97.83</v>
      </c>
      <c r="AL321" s="40">
        <v>97.31</v>
      </c>
      <c r="AM321" s="40">
        <v>97.94</v>
      </c>
      <c r="AN321" s="40">
        <v>96.84</v>
      </c>
      <c r="AO321" s="40">
        <v>97.92</v>
      </c>
      <c r="AP321" s="40">
        <v>98.13</v>
      </c>
      <c r="AQ321" s="40">
        <v>98.08</v>
      </c>
      <c r="AR321" s="40">
        <v>97.7</v>
      </c>
      <c r="AS321" s="40">
        <v>97.09</v>
      </c>
      <c r="AT321" s="40">
        <v>97.78</v>
      </c>
      <c r="AU321" s="40">
        <v>96.36</v>
      </c>
      <c r="AV321" s="40">
        <v>97.64</v>
      </c>
      <c r="AW321" s="40">
        <v>97.97</v>
      </c>
      <c r="AX321" s="40">
        <v>97.94</v>
      </c>
      <c r="AY321" s="40">
        <v>97.55</v>
      </c>
      <c r="AZ321" s="40">
        <v>96.97</v>
      </c>
      <c r="BA321" s="40">
        <v>97.61</v>
      </c>
      <c r="BB321" s="178">
        <v>43586</v>
      </c>
      <c r="BC321" s="178"/>
    </row>
    <row r="322" spans="1:55" s="44" customFormat="1" ht="60">
      <c r="A322" s="18" t="s">
        <v>1487</v>
      </c>
      <c r="B322" s="18" t="s">
        <v>1585</v>
      </c>
      <c r="C322" s="23" t="s">
        <v>10</v>
      </c>
      <c r="D322" s="23" t="s">
        <v>10</v>
      </c>
      <c r="E322" s="23" t="s">
        <v>10</v>
      </c>
      <c r="F322" s="23" t="s">
        <v>11</v>
      </c>
      <c r="G322" s="18" t="s">
        <v>1495</v>
      </c>
      <c r="H322" s="19">
        <v>1110</v>
      </c>
      <c r="I322" s="37">
        <v>400</v>
      </c>
      <c r="J322" s="19">
        <v>98</v>
      </c>
      <c r="K322" s="20" t="s">
        <v>1386</v>
      </c>
      <c r="L322" s="49" t="s">
        <v>1489</v>
      </c>
      <c r="M322" s="38" t="s">
        <v>1490</v>
      </c>
      <c r="N322" s="174">
        <v>43586</v>
      </c>
      <c r="O322" s="38" t="s">
        <v>1489</v>
      </c>
      <c r="P322" s="38" t="s">
        <v>17</v>
      </c>
      <c r="Q322" s="38" t="s">
        <v>17</v>
      </c>
      <c r="R322" s="151" t="s">
        <v>1491</v>
      </c>
      <c r="S322" s="39" t="s">
        <v>11</v>
      </c>
      <c r="T322" s="39" t="s">
        <v>11</v>
      </c>
      <c r="U322" s="37">
        <v>80</v>
      </c>
      <c r="V322" s="153"/>
      <c r="W322" s="153"/>
      <c r="X322" s="153">
        <v>580</v>
      </c>
      <c r="Y322" s="153">
        <v>660</v>
      </c>
      <c r="Z322" s="153">
        <v>740</v>
      </c>
      <c r="AA322" s="40">
        <v>111</v>
      </c>
      <c r="AB322" s="40">
        <v>222</v>
      </c>
      <c r="AC322" s="40">
        <v>333</v>
      </c>
      <c r="AD322" s="40">
        <v>555</v>
      </c>
      <c r="AE322" s="40">
        <v>832.5</v>
      </c>
      <c r="AF322" s="40">
        <v>1110</v>
      </c>
      <c r="AG322" s="40">
        <v>97.16</v>
      </c>
      <c r="AH322" s="40">
        <v>98.08</v>
      </c>
      <c r="AI322" s="40">
        <v>98.29</v>
      </c>
      <c r="AJ322" s="40">
        <v>98.27</v>
      </c>
      <c r="AK322" s="40">
        <v>97.94</v>
      </c>
      <c r="AL322" s="40">
        <v>97.39</v>
      </c>
      <c r="AM322" s="40">
        <v>98</v>
      </c>
      <c r="AN322" s="40">
        <v>96.8</v>
      </c>
      <c r="AO322" s="40">
        <v>97.93</v>
      </c>
      <c r="AP322" s="40">
        <v>98.19</v>
      </c>
      <c r="AQ322" s="40">
        <v>98.25</v>
      </c>
      <c r="AR322" s="40">
        <v>97.8</v>
      </c>
      <c r="AS322" s="40">
        <v>97.32</v>
      </c>
      <c r="AT322" s="40">
        <v>97.89</v>
      </c>
      <c r="AU322" s="40">
        <v>96.54</v>
      </c>
      <c r="AV322" s="40">
        <v>97.71</v>
      </c>
      <c r="AW322" s="40">
        <v>98.06</v>
      </c>
      <c r="AX322" s="40">
        <v>98.12</v>
      </c>
      <c r="AY322" s="40">
        <v>97.67</v>
      </c>
      <c r="AZ322" s="40">
        <v>97.35</v>
      </c>
      <c r="BA322" s="40">
        <v>97.75</v>
      </c>
      <c r="BB322" s="178">
        <v>43586</v>
      </c>
      <c r="BC322" s="178"/>
    </row>
    <row r="323" spans="1:55" s="44" customFormat="1" ht="60">
      <c r="A323" s="18" t="s">
        <v>1487</v>
      </c>
      <c r="B323" s="18" t="s">
        <v>1586</v>
      </c>
      <c r="C323" s="23" t="s">
        <v>10</v>
      </c>
      <c r="D323" s="23" t="s">
        <v>10</v>
      </c>
      <c r="E323" s="23" t="s">
        <v>10</v>
      </c>
      <c r="F323" s="23" t="s">
        <v>11</v>
      </c>
      <c r="G323" s="18" t="s">
        <v>1496</v>
      </c>
      <c r="H323" s="19">
        <v>1165</v>
      </c>
      <c r="I323" s="37">
        <v>420</v>
      </c>
      <c r="J323" s="19">
        <v>98</v>
      </c>
      <c r="K323" s="20" t="s">
        <v>1386</v>
      </c>
      <c r="L323" s="49" t="s">
        <v>1489</v>
      </c>
      <c r="M323" s="38" t="s">
        <v>1490</v>
      </c>
      <c r="N323" s="174">
        <v>43586</v>
      </c>
      <c r="O323" s="38" t="s">
        <v>1489</v>
      </c>
      <c r="P323" s="38" t="s">
        <v>17</v>
      </c>
      <c r="Q323" s="38" t="s">
        <v>17</v>
      </c>
      <c r="R323" s="151" t="s">
        <v>1491</v>
      </c>
      <c r="S323" s="39" t="s">
        <v>11</v>
      </c>
      <c r="T323" s="39" t="s">
        <v>11</v>
      </c>
      <c r="U323" s="37">
        <v>80</v>
      </c>
      <c r="V323" s="153"/>
      <c r="W323" s="153"/>
      <c r="X323" s="153">
        <v>610</v>
      </c>
      <c r="Y323" s="153">
        <v>675</v>
      </c>
      <c r="Z323" s="153">
        <v>740</v>
      </c>
      <c r="AA323" s="40">
        <v>116.5</v>
      </c>
      <c r="AB323" s="40">
        <v>233</v>
      </c>
      <c r="AC323" s="40">
        <v>349.5</v>
      </c>
      <c r="AD323" s="40">
        <v>582.5</v>
      </c>
      <c r="AE323" s="40">
        <v>873.75</v>
      </c>
      <c r="AF323" s="40">
        <v>1165</v>
      </c>
      <c r="AG323" s="40">
        <v>97.28</v>
      </c>
      <c r="AH323" s="40">
        <v>98.08</v>
      </c>
      <c r="AI323" s="40">
        <v>98.28</v>
      </c>
      <c r="AJ323" s="40">
        <v>98.26</v>
      </c>
      <c r="AK323" s="40">
        <v>98.01</v>
      </c>
      <c r="AL323" s="40">
        <v>97.47</v>
      </c>
      <c r="AM323" s="40">
        <v>98.04</v>
      </c>
      <c r="AN323" s="40">
        <v>96.99</v>
      </c>
      <c r="AO323" s="40">
        <v>97.92</v>
      </c>
      <c r="AP323" s="40">
        <v>98.18</v>
      </c>
      <c r="AQ323" s="40">
        <v>98.24</v>
      </c>
      <c r="AR323" s="40">
        <v>97.91</v>
      </c>
      <c r="AS323" s="40">
        <v>97.53</v>
      </c>
      <c r="AT323" s="40">
        <v>97.95</v>
      </c>
      <c r="AU323" s="40">
        <v>96.74</v>
      </c>
      <c r="AV323" s="40">
        <v>97.75</v>
      </c>
      <c r="AW323" s="40">
        <v>98.03</v>
      </c>
      <c r="AX323" s="40">
        <v>98.15</v>
      </c>
      <c r="AY323" s="40">
        <v>97.85</v>
      </c>
      <c r="AZ323" s="40">
        <v>97.42</v>
      </c>
      <c r="BA323" s="40">
        <v>97.87</v>
      </c>
      <c r="BB323" s="178">
        <v>43586</v>
      </c>
      <c r="BC323" s="178"/>
    </row>
    <row r="324" spans="1:55" s="44" customFormat="1" ht="60">
      <c r="A324" s="18" t="s">
        <v>1487</v>
      </c>
      <c r="B324" s="18" t="s">
        <v>1581</v>
      </c>
      <c r="C324" s="23" t="s">
        <v>10</v>
      </c>
      <c r="D324" s="23" t="s">
        <v>10</v>
      </c>
      <c r="E324" s="23" t="s">
        <v>10</v>
      </c>
      <c r="F324" s="23" t="s">
        <v>11</v>
      </c>
      <c r="G324" s="18" t="s">
        <v>1488</v>
      </c>
      <c r="H324" s="19">
        <v>610</v>
      </c>
      <c r="I324" s="37">
        <v>220</v>
      </c>
      <c r="J324" s="19">
        <v>97.5</v>
      </c>
      <c r="K324" s="20" t="s">
        <v>1386</v>
      </c>
      <c r="L324" s="49" t="s">
        <v>1489</v>
      </c>
      <c r="M324" s="38" t="s">
        <v>1490</v>
      </c>
      <c r="N324" s="174">
        <v>43586</v>
      </c>
      <c r="O324" s="38" t="s">
        <v>1489</v>
      </c>
      <c r="P324" s="38" t="s">
        <v>17</v>
      </c>
      <c r="Q324" s="38" t="s">
        <v>17</v>
      </c>
      <c r="R324" s="151" t="s">
        <v>1491</v>
      </c>
      <c r="S324" s="39" t="s">
        <v>11</v>
      </c>
      <c r="T324" s="39" t="s">
        <v>11</v>
      </c>
      <c r="U324" s="37">
        <v>80</v>
      </c>
      <c r="V324" s="153"/>
      <c r="W324" s="153"/>
      <c r="X324" s="153">
        <v>440</v>
      </c>
      <c r="Y324" s="153">
        <v>590</v>
      </c>
      <c r="Z324" s="153">
        <v>740</v>
      </c>
      <c r="AA324" s="40">
        <v>61</v>
      </c>
      <c r="AB324" s="40">
        <v>122</v>
      </c>
      <c r="AC324" s="40">
        <v>183</v>
      </c>
      <c r="AD324" s="40">
        <v>305</v>
      </c>
      <c r="AE324" s="40">
        <v>457.5</v>
      </c>
      <c r="AF324" s="40">
        <v>610</v>
      </c>
      <c r="AG324" s="40">
        <v>97.11</v>
      </c>
      <c r="AH324" s="40">
        <v>98.06</v>
      </c>
      <c r="AI324" s="40">
        <v>98.25</v>
      </c>
      <c r="AJ324" s="40">
        <v>98.17</v>
      </c>
      <c r="AK324" s="40">
        <v>97.74</v>
      </c>
      <c r="AL324" s="40">
        <v>97.1</v>
      </c>
      <c r="AM324" s="40">
        <v>97.85</v>
      </c>
      <c r="AN324" s="40">
        <v>96.37</v>
      </c>
      <c r="AO324" s="40">
        <v>97.64</v>
      </c>
      <c r="AP324" s="40">
        <v>98.01</v>
      </c>
      <c r="AQ324" s="40">
        <v>97.9</v>
      </c>
      <c r="AR324" s="40">
        <v>97.48</v>
      </c>
      <c r="AS324" s="40">
        <v>96.73</v>
      </c>
      <c r="AT324" s="40">
        <v>97.56</v>
      </c>
      <c r="AU324" s="40">
        <v>95.53</v>
      </c>
      <c r="AV324" s="40">
        <v>97.29</v>
      </c>
      <c r="AW324" s="40">
        <v>97.68</v>
      </c>
      <c r="AX324" s="40">
        <v>97.72</v>
      </c>
      <c r="AY324" s="40">
        <v>97.45</v>
      </c>
      <c r="AZ324" s="40">
        <v>96.53</v>
      </c>
      <c r="BA324" s="40">
        <v>97.41</v>
      </c>
      <c r="BB324" s="178">
        <v>43586</v>
      </c>
      <c r="BC324" s="178"/>
    </row>
    <row r="325" spans="1:55" s="44" customFormat="1" ht="60">
      <c r="A325" s="18" t="s">
        <v>1487</v>
      </c>
      <c r="B325" s="18" t="s">
        <v>1582</v>
      </c>
      <c r="C325" s="23" t="s">
        <v>10</v>
      </c>
      <c r="D325" s="23" t="s">
        <v>10</v>
      </c>
      <c r="E325" s="23" t="s">
        <v>10</v>
      </c>
      <c r="F325" s="23" t="s">
        <v>11</v>
      </c>
      <c r="G325" s="18" t="s">
        <v>1492</v>
      </c>
      <c r="H325" s="19">
        <v>830</v>
      </c>
      <c r="I325" s="37">
        <v>300</v>
      </c>
      <c r="J325" s="19">
        <v>97.5</v>
      </c>
      <c r="K325" s="20" t="s">
        <v>1386</v>
      </c>
      <c r="L325" s="49" t="s">
        <v>1489</v>
      </c>
      <c r="M325" s="38" t="s">
        <v>1490</v>
      </c>
      <c r="N325" s="174">
        <v>43586</v>
      </c>
      <c r="O325" s="38" t="s">
        <v>1489</v>
      </c>
      <c r="P325" s="38" t="s">
        <v>17</v>
      </c>
      <c r="Q325" s="38" t="s">
        <v>17</v>
      </c>
      <c r="R325" s="151" t="s">
        <v>1491</v>
      </c>
      <c r="S325" s="39" t="s">
        <v>11</v>
      </c>
      <c r="T325" s="39" t="s">
        <v>11</v>
      </c>
      <c r="U325" s="37">
        <v>80</v>
      </c>
      <c r="V325" s="153"/>
      <c r="W325" s="153"/>
      <c r="X325" s="153">
        <v>440</v>
      </c>
      <c r="Y325" s="153">
        <v>590</v>
      </c>
      <c r="Z325" s="153">
        <v>740</v>
      </c>
      <c r="AA325" s="40">
        <v>83</v>
      </c>
      <c r="AB325" s="40">
        <v>166</v>
      </c>
      <c r="AC325" s="40">
        <v>249</v>
      </c>
      <c r="AD325" s="40">
        <v>415</v>
      </c>
      <c r="AE325" s="40">
        <v>622.5</v>
      </c>
      <c r="AF325" s="40">
        <v>830</v>
      </c>
      <c r="AG325" s="40">
        <v>97.21</v>
      </c>
      <c r="AH325" s="40">
        <v>98.13</v>
      </c>
      <c r="AI325" s="40">
        <v>98.27</v>
      </c>
      <c r="AJ325" s="40">
        <v>98.16</v>
      </c>
      <c r="AK325" s="40">
        <v>97.74</v>
      </c>
      <c r="AL325" s="40">
        <v>97.18</v>
      </c>
      <c r="AM325" s="40">
        <v>97.86</v>
      </c>
      <c r="AN325" s="40">
        <v>96.5</v>
      </c>
      <c r="AO325" s="40">
        <v>97.77</v>
      </c>
      <c r="AP325" s="40">
        <v>97.96</v>
      </c>
      <c r="AQ325" s="40">
        <v>97.92</v>
      </c>
      <c r="AR325" s="40">
        <v>97.55</v>
      </c>
      <c r="AS325" s="40">
        <v>97.06</v>
      </c>
      <c r="AT325" s="40">
        <v>97.62</v>
      </c>
      <c r="AU325" s="40">
        <v>95.7</v>
      </c>
      <c r="AV325" s="40">
        <v>97.41</v>
      </c>
      <c r="AW325" s="40">
        <v>97.7</v>
      </c>
      <c r="AX325" s="40">
        <v>97.66</v>
      </c>
      <c r="AY325" s="40">
        <v>97.36</v>
      </c>
      <c r="AZ325" s="40">
        <v>96.88</v>
      </c>
      <c r="BA325" s="40">
        <v>97.38</v>
      </c>
      <c r="BB325" s="178">
        <v>43586</v>
      </c>
      <c r="BC325" s="178"/>
    </row>
    <row r="326" spans="1:55" s="44" customFormat="1" ht="60">
      <c r="A326" s="18" t="s">
        <v>1487</v>
      </c>
      <c r="B326" s="18" t="s">
        <v>1583</v>
      </c>
      <c r="C326" s="23" t="s">
        <v>10</v>
      </c>
      <c r="D326" s="23" t="s">
        <v>10</v>
      </c>
      <c r="E326" s="23" t="s">
        <v>10</v>
      </c>
      <c r="F326" s="23" t="s">
        <v>11</v>
      </c>
      <c r="G326" s="18" t="s">
        <v>1493</v>
      </c>
      <c r="H326" s="19">
        <v>915</v>
      </c>
      <c r="I326" s="37">
        <v>330</v>
      </c>
      <c r="J326" s="19">
        <v>97.5</v>
      </c>
      <c r="K326" s="20" t="s">
        <v>1386</v>
      </c>
      <c r="L326" s="49" t="s">
        <v>1489</v>
      </c>
      <c r="M326" s="38" t="s">
        <v>1490</v>
      </c>
      <c r="N326" s="174">
        <v>43586</v>
      </c>
      <c r="O326" s="38" t="s">
        <v>1489</v>
      </c>
      <c r="P326" s="38" t="s">
        <v>17</v>
      </c>
      <c r="Q326" s="38" t="s">
        <v>17</v>
      </c>
      <c r="R326" s="151" t="s">
        <v>1491</v>
      </c>
      <c r="S326" s="39" t="s">
        <v>11</v>
      </c>
      <c r="T326" s="39" t="s">
        <v>11</v>
      </c>
      <c r="U326" s="37">
        <v>80</v>
      </c>
      <c r="V326" s="153"/>
      <c r="W326" s="153"/>
      <c r="X326" s="153">
        <v>485</v>
      </c>
      <c r="Y326" s="153">
        <v>613</v>
      </c>
      <c r="Z326" s="153">
        <v>740</v>
      </c>
      <c r="AA326" s="40">
        <v>91.5</v>
      </c>
      <c r="AB326" s="40">
        <v>183</v>
      </c>
      <c r="AC326" s="40">
        <v>274.5</v>
      </c>
      <c r="AD326" s="40">
        <v>457.5</v>
      </c>
      <c r="AE326" s="40">
        <v>686.25</v>
      </c>
      <c r="AF326" s="40">
        <v>915</v>
      </c>
      <c r="AG326" s="40">
        <v>97.17</v>
      </c>
      <c r="AH326" s="40">
        <v>98.13</v>
      </c>
      <c r="AI326" s="40">
        <v>98.33</v>
      </c>
      <c r="AJ326" s="40">
        <v>98.22</v>
      </c>
      <c r="AK326" s="40">
        <v>97.86</v>
      </c>
      <c r="AL326" s="40">
        <v>97.27</v>
      </c>
      <c r="AM326" s="40">
        <v>97.95</v>
      </c>
      <c r="AN326" s="40">
        <v>96.5</v>
      </c>
      <c r="AO326" s="40">
        <v>97.84</v>
      </c>
      <c r="AP326" s="40">
        <v>98.09</v>
      </c>
      <c r="AQ326" s="40">
        <v>98.05</v>
      </c>
      <c r="AR326" s="40">
        <v>97.69</v>
      </c>
      <c r="AS326" s="40">
        <v>97.15</v>
      </c>
      <c r="AT326" s="40">
        <v>97.75</v>
      </c>
      <c r="AU326" s="40">
        <v>95.82</v>
      </c>
      <c r="AV326" s="40">
        <v>97.49</v>
      </c>
      <c r="AW326" s="40">
        <v>97.82</v>
      </c>
      <c r="AX326" s="40">
        <v>97.81</v>
      </c>
      <c r="AY326" s="40">
        <v>97.51</v>
      </c>
      <c r="AZ326" s="40">
        <v>97.17</v>
      </c>
      <c r="BA326" s="40">
        <v>97.53</v>
      </c>
      <c r="BB326" s="178">
        <v>43586</v>
      </c>
      <c r="BC326" s="178"/>
    </row>
    <row r="327" spans="1:55" s="44" customFormat="1" ht="45">
      <c r="A327" s="139" t="s">
        <v>273</v>
      </c>
      <c r="B327" s="18" t="s">
        <v>925</v>
      </c>
      <c r="C327" s="23" t="s">
        <v>10</v>
      </c>
      <c r="D327" s="23" t="s">
        <v>10</v>
      </c>
      <c r="E327" s="23" t="s">
        <v>10</v>
      </c>
      <c r="F327" s="23" t="s">
        <v>11</v>
      </c>
      <c r="G327" s="139" t="s">
        <v>267</v>
      </c>
      <c r="H327" s="19">
        <v>0.23</v>
      </c>
      <c r="I327" s="19">
        <v>240</v>
      </c>
      <c r="J327" s="136">
        <v>97</v>
      </c>
      <c r="K327" s="21" t="s">
        <v>1219</v>
      </c>
      <c r="L327" s="49" t="s">
        <v>435</v>
      </c>
      <c r="M327" s="21" t="s">
        <v>436</v>
      </c>
      <c r="N327" s="174">
        <v>43388</v>
      </c>
      <c r="O327" s="49" t="s">
        <v>435</v>
      </c>
      <c r="P327" s="23" t="s">
        <v>17</v>
      </c>
      <c r="Q327" s="23" t="s">
        <v>17</v>
      </c>
      <c r="R327" s="18" t="s">
        <v>260</v>
      </c>
      <c r="S327" s="20" t="s">
        <v>11</v>
      </c>
      <c r="T327" s="20" t="s">
        <v>10</v>
      </c>
      <c r="U327" s="19">
        <v>0.03</v>
      </c>
      <c r="V327" s="19"/>
      <c r="W327" s="19"/>
      <c r="X327" s="19">
        <v>27</v>
      </c>
      <c r="Y327" s="19">
        <v>32</v>
      </c>
      <c r="Z327" s="19">
        <v>37</v>
      </c>
      <c r="AA327" s="40">
        <v>2.3E-2</v>
      </c>
      <c r="AB327" s="40">
        <v>4.5999999999999999E-2</v>
      </c>
      <c r="AC327" s="40">
        <v>6.9000000000000006E-2</v>
      </c>
      <c r="AD327" s="40">
        <v>0.115</v>
      </c>
      <c r="AE327" s="40">
        <v>0.17249999999999999</v>
      </c>
      <c r="AF327" s="40">
        <v>0.23</v>
      </c>
      <c r="AG327" s="40">
        <v>94.655230000000003</v>
      </c>
      <c r="AH327" s="40">
        <v>96.037739999999999</v>
      </c>
      <c r="AI327" s="40">
        <v>96.665639999999996</v>
      </c>
      <c r="AJ327" s="40">
        <v>97.423699999999997</v>
      </c>
      <c r="AK327" s="40">
        <v>97.484939999999995</v>
      </c>
      <c r="AL327" s="40">
        <v>97.25591</v>
      </c>
      <c r="AM327" s="40">
        <v>97.176760000000002</v>
      </c>
      <c r="AN327" s="40">
        <v>95.060559999999995</v>
      </c>
      <c r="AO327" s="40">
        <v>96.356809999999996</v>
      </c>
      <c r="AP327" s="40">
        <v>96.706540000000004</v>
      </c>
      <c r="AQ327" s="40">
        <v>97.392669999999995</v>
      </c>
      <c r="AR327" s="40">
        <v>97.586340000000007</v>
      </c>
      <c r="AS327" s="40">
        <v>97.529629999999997</v>
      </c>
      <c r="AT327" s="40">
        <v>97.274749999999997</v>
      </c>
      <c r="AU327" s="40">
        <v>94.744969999999995</v>
      </c>
      <c r="AV327" s="40">
        <v>96.105410000000006</v>
      </c>
      <c r="AW327" s="40">
        <v>96.43141</v>
      </c>
      <c r="AX327" s="40">
        <v>97.196730000000002</v>
      </c>
      <c r="AY327" s="40">
        <v>97.469279999999998</v>
      </c>
      <c r="AZ327" s="40">
        <v>97.483500000000006</v>
      </c>
      <c r="BA327" s="40">
        <v>97.111050000000006</v>
      </c>
      <c r="BB327" s="174">
        <v>43040</v>
      </c>
      <c r="BC327" s="174">
        <v>43388</v>
      </c>
    </row>
    <row r="328" spans="1:55" s="44" customFormat="1" ht="45">
      <c r="A328" s="139" t="s">
        <v>273</v>
      </c>
      <c r="B328" s="18" t="s">
        <v>926</v>
      </c>
      <c r="C328" s="23" t="s">
        <v>10</v>
      </c>
      <c r="D328" s="23" t="s">
        <v>10</v>
      </c>
      <c r="E328" s="23" t="s">
        <v>10</v>
      </c>
      <c r="F328" s="23" t="s">
        <v>11</v>
      </c>
      <c r="G328" s="139" t="s">
        <v>266</v>
      </c>
      <c r="H328" s="19">
        <v>0.23</v>
      </c>
      <c r="I328" s="19">
        <v>240</v>
      </c>
      <c r="J328" s="136">
        <v>97</v>
      </c>
      <c r="K328" s="21" t="s">
        <v>1219</v>
      </c>
      <c r="L328" s="49" t="s">
        <v>435</v>
      </c>
      <c r="M328" s="21" t="s">
        <v>436</v>
      </c>
      <c r="N328" s="174">
        <v>43388</v>
      </c>
      <c r="O328" s="49" t="s">
        <v>435</v>
      </c>
      <c r="P328" s="23" t="s">
        <v>17</v>
      </c>
      <c r="Q328" s="23" t="s">
        <v>17</v>
      </c>
      <c r="R328" s="18" t="s">
        <v>260</v>
      </c>
      <c r="S328" s="20" t="s">
        <v>11</v>
      </c>
      <c r="T328" s="20" t="s">
        <v>10</v>
      </c>
      <c r="U328" s="19">
        <v>0.03</v>
      </c>
      <c r="V328" s="19"/>
      <c r="W328" s="19"/>
      <c r="X328" s="19">
        <v>27</v>
      </c>
      <c r="Y328" s="19">
        <v>32</v>
      </c>
      <c r="Z328" s="19">
        <v>37</v>
      </c>
      <c r="AA328" s="40">
        <v>2.3E-2</v>
      </c>
      <c r="AB328" s="40">
        <v>4.5999999999999999E-2</v>
      </c>
      <c r="AC328" s="40">
        <v>6.9000000000000006E-2</v>
      </c>
      <c r="AD328" s="40">
        <v>0.115</v>
      </c>
      <c r="AE328" s="40">
        <v>0.17249999999999999</v>
      </c>
      <c r="AF328" s="40">
        <v>0.23</v>
      </c>
      <c r="AG328" s="40">
        <v>94.655230000000003</v>
      </c>
      <c r="AH328" s="40">
        <v>96.037739999999999</v>
      </c>
      <c r="AI328" s="40">
        <v>96.665639999999996</v>
      </c>
      <c r="AJ328" s="40">
        <v>97.423699999999997</v>
      </c>
      <c r="AK328" s="40">
        <v>97.484939999999995</v>
      </c>
      <c r="AL328" s="40">
        <v>97.25591</v>
      </c>
      <c r="AM328" s="40">
        <v>97.176760000000002</v>
      </c>
      <c r="AN328" s="40">
        <v>95.060559999999995</v>
      </c>
      <c r="AO328" s="40">
        <v>96.356809999999996</v>
      </c>
      <c r="AP328" s="40">
        <v>96.706540000000004</v>
      </c>
      <c r="AQ328" s="40">
        <v>97.392669999999995</v>
      </c>
      <c r="AR328" s="40">
        <v>97.586340000000007</v>
      </c>
      <c r="AS328" s="40">
        <v>97.529629999999997</v>
      </c>
      <c r="AT328" s="40">
        <v>97.274749999999997</v>
      </c>
      <c r="AU328" s="40">
        <v>94.744969999999995</v>
      </c>
      <c r="AV328" s="40">
        <v>96.105410000000006</v>
      </c>
      <c r="AW328" s="40">
        <v>96.43141</v>
      </c>
      <c r="AX328" s="40">
        <v>97.196730000000002</v>
      </c>
      <c r="AY328" s="40">
        <v>97.469279999999998</v>
      </c>
      <c r="AZ328" s="40">
        <v>97.483500000000006</v>
      </c>
      <c r="BA328" s="40">
        <v>97.111050000000006</v>
      </c>
      <c r="BB328" s="174">
        <v>43040</v>
      </c>
      <c r="BC328" s="174">
        <v>43388</v>
      </c>
    </row>
    <row r="329" spans="1:55" s="44" customFormat="1" ht="45">
      <c r="A329" s="139" t="s">
        <v>273</v>
      </c>
      <c r="B329" s="18" t="s">
        <v>927</v>
      </c>
      <c r="C329" s="23" t="s">
        <v>10</v>
      </c>
      <c r="D329" s="23" t="s">
        <v>10</v>
      </c>
      <c r="E329" s="23" t="s">
        <v>10</v>
      </c>
      <c r="F329" s="23" t="s">
        <v>11</v>
      </c>
      <c r="G329" s="139" t="s">
        <v>265</v>
      </c>
      <c r="H329" s="19">
        <v>0.23</v>
      </c>
      <c r="I329" s="19">
        <v>240</v>
      </c>
      <c r="J329" s="136">
        <v>97</v>
      </c>
      <c r="K329" s="21" t="s">
        <v>1219</v>
      </c>
      <c r="L329" s="49" t="s">
        <v>435</v>
      </c>
      <c r="M329" s="21" t="s">
        <v>436</v>
      </c>
      <c r="N329" s="174">
        <v>43388</v>
      </c>
      <c r="O329" s="49" t="s">
        <v>435</v>
      </c>
      <c r="P329" s="23" t="s">
        <v>17</v>
      </c>
      <c r="Q329" s="23" t="s">
        <v>17</v>
      </c>
      <c r="R329" s="18" t="s">
        <v>260</v>
      </c>
      <c r="S329" s="20" t="s">
        <v>11</v>
      </c>
      <c r="T329" s="20" t="s">
        <v>10</v>
      </c>
      <c r="U329" s="19">
        <v>0.03</v>
      </c>
      <c r="V329" s="19"/>
      <c r="W329" s="19"/>
      <c r="X329" s="19">
        <v>27</v>
      </c>
      <c r="Y329" s="19">
        <v>32</v>
      </c>
      <c r="Z329" s="19">
        <v>37</v>
      </c>
      <c r="AA329" s="40">
        <v>2.3E-2</v>
      </c>
      <c r="AB329" s="40">
        <v>4.5999999999999999E-2</v>
      </c>
      <c r="AC329" s="40">
        <v>6.9000000000000006E-2</v>
      </c>
      <c r="AD329" s="40">
        <v>0.115</v>
      </c>
      <c r="AE329" s="40">
        <v>0.17249999999999999</v>
      </c>
      <c r="AF329" s="40">
        <v>0.23</v>
      </c>
      <c r="AG329" s="40">
        <v>94.655230000000003</v>
      </c>
      <c r="AH329" s="40">
        <v>96.037739999999999</v>
      </c>
      <c r="AI329" s="40">
        <v>96.665639999999996</v>
      </c>
      <c r="AJ329" s="40">
        <v>97.423699999999997</v>
      </c>
      <c r="AK329" s="40">
        <v>97.484939999999995</v>
      </c>
      <c r="AL329" s="40">
        <v>97.25591</v>
      </c>
      <c r="AM329" s="40">
        <v>97.176760000000002</v>
      </c>
      <c r="AN329" s="40">
        <v>95.060559999999995</v>
      </c>
      <c r="AO329" s="40">
        <v>96.356809999999996</v>
      </c>
      <c r="AP329" s="40">
        <v>96.706540000000004</v>
      </c>
      <c r="AQ329" s="40">
        <v>97.392669999999995</v>
      </c>
      <c r="AR329" s="40">
        <v>97.586340000000007</v>
      </c>
      <c r="AS329" s="40">
        <v>97.529629999999997</v>
      </c>
      <c r="AT329" s="40">
        <v>97.274749999999997</v>
      </c>
      <c r="AU329" s="40">
        <v>94.744969999999995</v>
      </c>
      <c r="AV329" s="40">
        <v>96.105410000000006</v>
      </c>
      <c r="AW329" s="40">
        <v>96.43141</v>
      </c>
      <c r="AX329" s="40">
        <v>97.196730000000002</v>
      </c>
      <c r="AY329" s="40">
        <v>97.469279999999998</v>
      </c>
      <c r="AZ329" s="40">
        <v>97.483500000000006</v>
      </c>
      <c r="BA329" s="40">
        <v>97.111050000000006</v>
      </c>
      <c r="BB329" s="174">
        <v>43040</v>
      </c>
      <c r="BC329" s="174">
        <v>43388</v>
      </c>
    </row>
    <row r="330" spans="1:55" s="44" customFormat="1" ht="45">
      <c r="A330" s="139" t="s">
        <v>273</v>
      </c>
      <c r="B330" s="18" t="s">
        <v>928</v>
      </c>
      <c r="C330" s="23" t="s">
        <v>10</v>
      </c>
      <c r="D330" s="23" t="s">
        <v>10</v>
      </c>
      <c r="E330" s="23" t="s">
        <v>10</v>
      </c>
      <c r="F330" s="23" t="s">
        <v>11</v>
      </c>
      <c r="G330" s="139" t="s">
        <v>264</v>
      </c>
      <c r="H330" s="19">
        <v>0.23</v>
      </c>
      <c r="I330" s="19">
        <v>240</v>
      </c>
      <c r="J330" s="136">
        <v>97</v>
      </c>
      <c r="K330" s="21" t="s">
        <v>1219</v>
      </c>
      <c r="L330" s="49" t="s">
        <v>435</v>
      </c>
      <c r="M330" s="21" t="s">
        <v>436</v>
      </c>
      <c r="N330" s="174">
        <v>43388</v>
      </c>
      <c r="O330" s="49" t="s">
        <v>435</v>
      </c>
      <c r="P330" s="23" t="s">
        <v>17</v>
      </c>
      <c r="Q330" s="23" t="s">
        <v>17</v>
      </c>
      <c r="R330" s="18" t="s">
        <v>260</v>
      </c>
      <c r="S330" s="20" t="s">
        <v>11</v>
      </c>
      <c r="T330" s="20" t="s">
        <v>10</v>
      </c>
      <c r="U330" s="19">
        <v>0.03</v>
      </c>
      <c r="V330" s="19"/>
      <c r="W330" s="19"/>
      <c r="X330" s="19">
        <v>27</v>
      </c>
      <c r="Y330" s="19">
        <v>32</v>
      </c>
      <c r="Z330" s="19">
        <v>37</v>
      </c>
      <c r="AA330" s="40">
        <v>2.3E-2</v>
      </c>
      <c r="AB330" s="40">
        <v>4.5999999999999999E-2</v>
      </c>
      <c r="AC330" s="40">
        <v>6.9000000000000006E-2</v>
      </c>
      <c r="AD330" s="40">
        <v>0.115</v>
      </c>
      <c r="AE330" s="40">
        <v>0.17249999999999999</v>
      </c>
      <c r="AF330" s="40">
        <v>0.23</v>
      </c>
      <c r="AG330" s="40">
        <v>94.655230000000003</v>
      </c>
      <c r="AH330" s="40">
        <v>96.037739999999999</v>
      </c>
      <c r="AI330" s="40">
        <v>96.665639999999996</v>
      </c>
      <c r="AJ330" s="40">
        <v>97.423699999999997</v>
      </c>
      <c r="AK330" s="40">
        <v>97.484939999999995</v>
      </c>
      <c r="AL330" s="40">
        <v>97.25591</v>
      </c>
      <c r="AM330" s="40">
        <v>97.176760000000002</v>
      </c>
      <c r="AN330" s="40">
        <v>95.060559999999995</v>
      </c>
      <c r="AO330" s="40">
        <v>96.356809999999996</v>
      </c>
      <c r="AP330" s="40">
        <v>96.706540000000004</v>
      </c>
      <c r="AQ330" s="40">
        <v>97.392669999999995</v>
      </c>
      <c r="AR330" s="40">
        <v>97.586340000000007</v>
      </c>
      <c r="AS330" s="40">
        <v>97.529629999999997</v>
      </c>
      <c r="AT330" s="40">
        <v>97.274749999999997</v>
      </c>
      <c r="AU330" s="40">
        <v>94.744969999999995</v>
      </c>
      <c r="AV330" s="40">
        <v>96.105410000000006</v>
      </c>
      <c r="AW330" s="40">
        <v>96.43141</v>
      </c>
      <c r="AX330" s="40">
        <v>97.196730000000002</v>
      </c>
      <c r="AY330" s="40">
        <v>97.469279999999998</v>
      </c>
      <c r="AZ330" s="40">
        <v>97.483500000000006</v>
      </c>
      <c r="BA330" s="40">
        <v>97.111050000000006</v>
      </c>
      <c r="BB330" s="174">
        <v>43040</v>
      </c>
      <c r="BC330" s="174">
        <v>43388</v>
      </c>
    </row>
    <row r="331" spans="1:55" s="44" customFormat="1" ht="45">
      <c r="A331" s="145" t="s">
        <v>273</v>
      </c>
      <c r="B331" s="145" t="s">
        <v>929</v>
      </c>
      <c r="C331" s="56" t="s">
        <v>10</v>
      </c>
      <c r="D331" s="56" t="s">
        <v>10</v>
      </c>
      <c r="E331" s="23" t="s">
        <v>10</v>
      </c>
      <c r="F331" s="23" t="s">
        <v>11</v>
      </c>
      <c r="G331" s="139" t="s">
        <v>264</v>
      </c>
      <c r="H331" s="19">
        <v>0.23</v>
      </c>
      <c r="I331" s="19">
        <v>240</v>
      </c>
      <c r="J331" s="136">
        <v>97</v>
      </c>
      <c r="K331" s="21" t="s">
        <v>1219</v>
      </c>
      <c r="L331" s="49" t="s">
        <v>435</v>
      </c>
      <c r="M331" s="21" t="s">
        <v>436</v>
      </c>
      <c r="N331" s="174">
        <v>43388</v>
      </c>
      <c r="O331" s="49" t="s">
        <v>435</v>
      </c>
      <c r="P331" s="23" t="s">
        <v>17</v>
      </c>
      <c r="Q331" s="23" t="s">
        <v>17</v>
      </c>
      <c r="R331" s="18" t="s">
        <v>260</v>
      </c>
      <c r="S331" s="20" t="s">
        <v>11</v>
      </c>
      <c r="T331" s="20" t="s">
        <v>10</v>
      </c>
      <c r="U331" s="19">
        <v>0.03</v>
      </c>
      <c r="V331" s="19"/>
      <c r="W331" s="19"/>
      <c r="X331" s="19">
        <v>27</v>
      </c>
      <c r="Y331" s="19">
        <v>32</v>
      </c>
      <c r="Z331" s="19">
        <v>37</v>
      </c>
      <c r="AA331" s="40">
        <v>2.3E-2</v>
      </c>
      <c r="AB331" s="40">
        <v>4.5999999999999999E-2</v>
      </c>
      <c r="AC331" s="40">
        <v>6.9000000000000006E-2</v>
      </c>
      <c r="AD331" s="40">
        <v>0.115</v>
      </c>
      <c r="AE331" s="40">
        <v>0.17249999999999999</v>
      </c>
      <c r="AF331" s="40">
        <v>0.23</v>
      </c>
      <c r="AG331" s="40">
        <v>94.655230000000003</v>
      </c>
      <c r="AH331" s="40">
        <v>96.037739999999999</v>
      </c>
      <c r="AI331" s="40">
        <v>96.665639999999996</v>
      </c>
      <c r="AJ331" s="40">
        <v>97.423699999999997</v>
      </c>
      <c r="AK331" s="40">
        <v>97.484939999999995</v>
      </c>
      <c r="AL331" s="40">
        <v>97.25591</v>
      </c>
      <c r="AM331" s="40">
        <v>97.176760000000002</v>
      </c>
      <c r="AN331" s="40">
        <v>95.060559999999995</v>
      </c>
      <c r="AO331" s="40">
        <v>96.356809999999996</v>
      </c>
      <c r="AP331" s="40">
        <v>96.706540000000004</v>
      </c>
      <c r="AQ331" s="40">
        <v>97.392669999999995</v>
      </c>
      <c r="AR331" s="40">
        <v>97.586340000000007</v>
      </c>
      <c r="AS331" s="40">
        <v>97.529629999999997</v>
      </c>
      <c r="AT331" s="40">
        <v>97.274749999999997</v>
      </c>
      <c r="AU331" s="40">
        <v>94.744969999999995</v>
      </c>
      <c r="AV331" s="40">
        <v>96.105410000000006</v>
      </c>
      <c r="AW331" s="40">
        <v>96.43141</v>
      </c>
      <c r="AX331" s="40">
        <v>97.196730000000002</v>
      </c>
      <c r="AY331" s="40">
        <v>97.469279999999998</v>
      </c>
      <c r="AZ331" s="40">
        <v>97.483500000000006</v>
      </c>
      <c r="BA331" s="40">
        <v>97.111050000000006</v>
      </c>
      <c r="BB331" s="174">
        <v>43040</v>
      </c>
      <c r="BC331" s="174">
        <v>43388</v>
      </c>
    </row>
    <row r="332" spans="1:55" s="44" customFormat="1" ht="45">
      <c r="A332" s="139" t="s">
        <v>273</v>
      </c>
      <c r="B332" s="18" t="s">
        <v>930</v>
      </c>
      <c r="C332" s="23" t="s">
        <v>10</v>
      </c>
      <c r="D332" s="23" t="s">
        <v>10</v>
      </c>
      <c r="E332" s="23" t="s">
        <v>10</v>
      </c>
      <c r="F332" s="23" t="s">
        <v>11</v>
      </c>
      <c r="G332" s="139" t="s">
        <v>263</v>
      </c>
      <c r="H332" s="19">
        <v>0.23</v>
      </c>
      <c r="I332" s="19">
        <v>240</v>
      </c>
      <c r="J332" s="136">
        <v>97</v>
      </c>
      <c r="K332" s="21" t="s">
        <v>1219</v>
      </c>
      <c r="L332" s="49" t="s">
        <v>435</v>
      </c>
      <c r="M332" s="21" t="s">
        <v>436</v>
      </c>
      <c r="N332" s="174">
        <v>43388</v>
      </c>
      <c r="O332" s="49" t="s">
        <v>435</v>
      </c>
      <c r="P332" s="23" t="s">
        <v>17</v>
      </c>
      <c r="Q332" s="23" t="s">
        <v>17</v>
      </c>
      <c r="R332" s="18" t="s">
        <v>260</v>
      </c>
      <c r="S332" s="20" t="s">
        <v>11</v>
      </c>
      <c r="T332" s="20" t="s">
        <v>10</v>
      </c>
      <c r="U332" s="19">
        <v>0.03</v>
      </c>
      <c r="V332" s="19"/>
      <c r="W332" s="19"/>
      <c r="X332" s="19">
        <v>27</v>
      </c>
      <c r="Y332" s="19">
        <v>32</v>
      </c>
      <c r="Z332" s="19">
        <v>37</v>
      </c>
      <c r="AA332" s="40">
        <v>2.3E-2</v>
      </c>
      <c r="AB332" s="40">
        <v>4.5999999999999999E-2</v>
      </c>
      <c r="AC332" s="40">
        <v>6.9000000000000006E-2</v>
      </c>
      <c r="AD332" s="40">
        <v>0.115</v>
      </c>
      <c r="AE332" s="40">
        <v>0.17249999999999999</v>
      </c>
      <c r="AF332" s="40">
        <v>0.23</v>
      </c>
      <c r="AG332" s="40">
        <v>94.655230000000003</v>
      </c>
      <c r="AH332" s="40">
        <v>96.037739999999999</v>
      </c>
      <c r="AI332" s="40">
        <v>96.665639999999996</v>
      </c>
      <c r="AJ332" s="40">
        <v>97.423699999999997</v>
      </c>
      <c r="AK332" s="40">
        <v>97.484939999999995</v>
      </c>
      <c r="AL332" s="40">
        <v>97.25591</v>
      </c>
      <c r="AM332" s="40">
        <v>97.176760000000002</v>
      </c>
      <c r="AN332" s="40">
        <v>95.060559999999995</v>
      </c>
      <c r="AO332" s="40">
        <v>96.356809999999996</v>
      </c>
      <c r="AP332" s="40">
        <v>96.706540000000004</v>
      </c>
      <c r="AQ332" s="40">
        <v>97.392669999999995</v>
      </c>
      <c r="AR332" s="40">
        <v>97.586340000000007</v>
      </c>
      <c r="AS332" s="40">
        <v>97.529629999999997</v>
      </c>
      <c r="AT332" s="40">
        <v>97.274749999999997</v>
      </c>
      <c r="AU332" s="40">
        <v>94.744969999999995</v>
      </c>
      <c r="AV332" s="40">
        <v>96.105410000000006</v>
      </c>
      <c r="AW332" s="40">
        <v>96.43141</v>
      </c>
      <c r="AX332" s="40">
        <v>97.196730000000002</v>
      </c>
      <c r="AY332" s="40">
        <v>97.469279999999998</v>
      </c>
      <c r="AZ332" s="40">
        <v>97.483500000000006</v>
      </c>
      <c r="BA332" s="40">
        <v>97.111050000000006</v>
      </c>
      <c r="BB332" s="174">
        <v>43040</v>
      </c>
      <c r="BC332" s="174">
        <v>43388</v>
      </c>
    </row>
    <row r="333" spans="1:55" s="44" customFormat="1" ht="45">
      <c r="A333" s="145" t="s">
        <v>273</v>
      </c>
      <c r="B333" s="145" t="s">
        <v>931</v>
      </c>
      <c r="C333" s="56" t="s">
        <v>10</v>
      </c>
      <c r="D333" s="56" t="s">
        <v>10</v>
      </c>
      <c r="E333" s="23" t="s">
        <v>10</v>
      </c>
      <c r="F333" s="23" t="s">
        <v>11</v>
      </c>
      <c r="G333" s="139" t="s">
        <v>263</v>
      </c>
      <c r="H333" s="19">
        <v>0.23</v>
      </c>
      <c r="I333" s="19">
        <v>240</v>
      </c>
      <c r="J333" s="136">
        <v>97</v>
      </c>
      <c r="K333" s="21" t="s">
        <v>1219</v>
      </c>
      <c r="L333" s="49" t="s">
        <v>435</v>
      </c>
      <c r="M333" s="21" t="s">
        <v>436</v>
      </c>
      <c r="N333" s="174">
        <v>43388</v>
      </c>
      <c r="O333" s="49" t="s">
        <v>435</v>
      </c>
      <c r="P333" s="23" t="s">
        <v>17</v>
      </c>
      <c r="Q333" s="23" t="s">
        <v>17</v>
      </c>
      <c r="R333" s="18" t="s">
        <v>260</v>
      </c>
      <c r="S333" s="20" t="s">
        <v>11</v>
      </c>
      <c r="T333" s="20" t="s">
        <v>10</v>
      </c>
      <c r="U333" s="19">
        <v>0.03</v>
      </c>
      <c r="V333" s="19"/>
      <c r="W333" s="19"/>
      <c r="X333" s="19">
        <v>27</v>
      </c>
      <c r="Y333" s="19">
        <v>32</v>
      </c>
      <c r="Z333" s="19">
        <v>37</v>
      </c>
      <c r="AA333" s="40">
        <v>2.3E-2</v>
      </c>
      <c r="AB333" s="40">
        <v>4.5999999999999999E-2</v>
      </c>
      <c r="AC333" s="40">
        <v>6.9000000000000006E-2</v>
      </c>
      <c r="AD333" s="40">
        <v>0.115</v>
      </c>
      <c r="AE333" s="40">
        <v>0.17249999999999999</v>
      </c>
      <c r="AF333" s="40">
        <v>0.23</v>
      </c>
      <c r="AG333" s="40">
        <v>94.655230000000003</v>
      </c>
      <c r="AH333" s="40">
        <v>96.037739999999999</v>
      </c>
      <c r="AI333" s="40">
        <v>96.665639999999996</v>
      </c>
      <c r="AJ333" s="40">
        <v>97.423699999999997</v>
      </c>
      <c r="AK333" s="40">
        <v>97.484939999999995</v>
      </c>
      <c r="AL333" s="40">
        <v>97.25591</v>
      </c>
      <c r="AM333" s="40">
        <v>97.176760000000002</v>
      </c>
      <c r="AN333" s="40">
        <v>95.060559999999995</v>
      </c>
      <c r="AO333" s="40">
        <v>96.356809999999996</v>
      </c>
      <c r="AP333" s="40">
        <v>96.706540000000004</v>
      </c>
      <c r="AQ333" s="40">
        <v>97.392669999999995</v>
      </c>
      <c r="AR333" s="40">
        <v>97.586340000000007</v>
      </c>
      <c r="AS333" s="40">
        <v>97.529629999999997</v>
      </c>
      <c r="AT333" s="40">
        <v>97.274749999999997</v>
      </c>
      <c r="AU333" s="40">
        <v>94.744969999999995</v>
      </c>
      <c r="AV333" s="40">
        <v>96.105410000000006</v>
      </c>
      <c r="AW333" s="40">
        <v>96.43141</v>
      </c>
      <c r="AX333" s="40">
        <v>97.196730000000002</v>
      </c>
      <c r="AY333" s="40">
        <v>97.469279999999998</v>
      </c>
      <c r="AZ333" s="40">
        <v>97.483500000000006</v>
      </c>
      <c r="BA333" s="40">
        <v>97.111050000000006</v>
      </c>
      <c r="BB333" s="174">
        <v>43040</v>
      </c>
      <c r="BC333" s="174">
        <v>43388</v>
      </c>
    </row>
    <row r="334" spans="1:55" s="44" customFormat="1" ht="45">
      <c r="A334" s="139" t="s">
        <v>273</v>
      </c>
      <c r="B334" s="18" t="s">
        <v>932</v>
      </c>
      <c r="C334" s="23" t="s">
        <v>10</v>
      </c>
      <c r="D334" s="23" t="s">
        <v>10</v>
      </c>
      <c r="E334" s="23" t="s">
        <v>10</v>
      </c>
      <c r="F334" s="23" t="s">
        <v>11</v>
      </c>
      <c r="G334" s="139" t="s">
        <v>262</v>
      </c>
      <c r="H334" s="19">
        <v>0.23</v>
      </c>
      <c r="I334" s="19">
        <v>240</v>
      </c>
      <c r="J334" s="136">
        <v>97</v>
      </c>
      <c r="K334" s="21" t="s">
        <v>1219</v>
      </c>
      <c r="L334" s="49" t="s">
        <v>435</v>
      </c>
      <c r="M334" s="21" t="s">
        <v>436</v>
      </c>
      <c r="N334" s="174">
        <v>43388</v>
      </c>
      <c r="O334" s="49" t="s">
        <v>435</v>
      </c>
      <c r="P334" s="23" t="s">
        <v>17</v>
      </c>
      <c r="Q334" s="23" t="s">
        <v>17</v>
      </c>
      <c r="R334" s="18" t="s">
        <v>260</v>
      </c>
      <c r="S334" s="20" t="s">
        <v>11</v>
      </c>
      <c r="T334" s="20" t="s">
        <v>10</v>
      </c>
      <c r="U334" s="19">
        <v>0.03</v>
      </c>
      <c r="V334" s="19"/>
      <c r="W334" s="19"/>
      <c r="X334" s="19">
        <v>27</v>
      </c>
      <c r="Y334" s="19">
        <v>32</v>
      </c>
      <c r="Z334" s="19">
        <v>37</v>
      </c>
      <c r="AA334" s="40">
        <v>2.3E-2</v>
      </c>
      <c r="AB334" s="40">
        <v>4.5999999999999999E-2</v>
      </c>
      <c r="AC334" s="40">
        <v>6.9000000000000006E-2</v>
      </c>
      <c r="AD334" s="40">
        <v>0.115</v>
      </c>
      <c r="AE334" s="40">
        <v>0.17249999999999999</v>
      </c>
      <c r="AF334" s="40">
        <v>0.23</v>
      </c>
      <c r="AG334" s="40">
        <v>94.655230000000003</v>
      </c>
      <c r="AH334" s="40">
        <v>96.037739999999999</v>
      </c>
      <c r="AI334" s="40">
        <v>96.665639999999996</v>
      </c>
      <c r="AJ334" s="40">
        <v>97.423699999999997</v>
      </c>
      <c r="AK334" s="40">
        <v>97.484939999999995</v>
      </c>
      <c r="AL334" s="40">
        <v>97.25591</v>
      </c>
      <c r="AM334" s="40">
        <v>97.176760000000002</v>
      </c>
      <c r="AN334" s="40">
        <v>95.060559999999995</v>
      </c>
      <c r="AO334" s="40">
        <v>96.356809999999996</v>
      </c>
      <c r="AP334" s="40">
        <v>96.706540000000004</v>
      </c>
      <c r="AQ334" s="40">
        <v>97.392669999999995</v>
      </c>
      <c r="AR334" s="40">
        <v>97.586340000000007</v>
      </c>
      <c r="AS334" s="40">
        <v>97.529629999999997</v>
      </c>
      <c r="AT334" s="40">
        <v>97.274749999999997</v>
      </c>
      <c r="AU334" s="40">
        <v>94.744969999999995</v>
      </c>
      <c r="AV334" s="40">
        <v>96.105410000000006</v>
      </c>
      <c r="AW334" s="40">
        <v>96.43141</v>
      </c>
      <c r="AX334" s="40">
        <v>97.196730000000002</v>
      </c>
      <c r="AY334" s="40">
        <v>97.469279999999998</v>
      </c>
      <c r="AZ334" s="40">
        <v>97.483500000000006</v>
      </c>
      <c r="BA334" s="40">
        <v>97.111050000000006</v>
      </c>
      <c r="BB334" s="174">
        <v>43040</v>
      </c>
      <c r="BC334" s="174">
        <v>43388</v>
      </c>
    </row>
    <row r="335" spans="1:55" s="44" customFormat="1" ht="45">
      <c r="A335" s="145" t="s">
        <v>273</v>
      </c>
      <c r="B335" s="145" t="s">
        <v>933</v>
      </c>
      <c r="C335" s="56" t="s">
        <v>10</v>
      </c>
      <c r="D335" s="56" t="s">
        <v>10</v>
      </c>
      <c r="E335" s="23" t="s">
        <v>10</v>
      </c>
      <c r="F335" s="23" t="s">
        <v>11</v>
      </c>
      <c r="G335" s="139" t="s">
        <v>262</v>
      </c>
      <c r="H335" s="19">
        <v>0.23</v>
      </c>
      <c r="I335" s="19">
        <v>240</v>
      </c>
      <c r="J335" s="136">
        <v>97</v>
      </c>
      <c r="K335" s="21" t="s">
        <v>1219</v>
      </c>
      <c r="L335" s="49" t="s">
        <v>435</v>
      </c>
      <c r="M335" s="21" t="s">
        <v>436</v>
      </c>
      <c r="N335" s="174">
        <v>43388</v>
      </c>
      <c r="O335" s="49" t="s">
        <v>435</v>
      </c>
      <c r="P335" s="23" t="s">
        <v>17</v>
      </c>
      <c r="Q335" s="23" t="s">
        <v>17</v>
      </c>
      <c r="R335" s="18" t="s">
        <v>260</v>
      </c>
      <c r="S335" s="20" t="s">
        <v>11</v>
      </c>
      <c r="T335" s="20" t="s">
        <v>10</v>
      </c>
      <c r="U335" s="19">
        <v>0.03</v>
      </c>
      <c r="V335" s="19"/>
      <c r="W335" s="19"/>
      <c r="X335" s="19">
        <v>27</v>
      </c>
      <c r="Y335" s="19">
        <v>32</v>
      </c>
      <c r="Z335" s="19">
        <v>37</v>
      </c>
      <c r="AA335" s="40">
        <v>2.3E-2</v>
      </c>
      <c r="AB335" s="40">
        <v>4.5999999999999999E-2</v>
      </c>
      <c r="AC335" s="40">
        <v>6.9000000000000006E-2</v>
      </c>
      <c r="AD335" s="40">
        <v>0.115</v>
      </c>
      <c r="AE335" s="40">
        <v>0.17249999999999999</v>
      </c>
      <c r="AF335" s="40">
        <v>0.23</v>
      </c>
      <c r="AG335" s="40">
        <v>94.655230000000003</v>
      </c>
      <c r="AH335" s="40">
        <v>96.037739999999999</v>
      </c>
      <c r="AI335" s="40">
        <v>96.665639999999996</v>
      </c>
      <c r="AJ335" s="40">
        <v>97.423699999999997</v>
      </c>
      <c r="AK335" s="40">
        <v>97.484939999999995</v>
      </c>
      <c r="AL335" s="40">
        <v>97.25591</v>
      </c>
      <c r="AM335" s="40">
        <v>97.176760000000002</v>
      </c>
      <c r="AN335" s="40">
        <v>95.060559999999995</v>
      </c>
      <c r="AO335" s="40">
        <v>96.356809999999996</v>
      </c>
      <c r="AP335" s="40">
        <v>96.706540000000004</v>
      </c>
      <c r="AQ335" s="40">
        <v>97.392669999999995</v>
      </c>
      <c r="AR335" s="40">
        <v>97.586340000000007</v>
      </c>
      <c r="AS335" s="40">
        <v>97.529629999999997</v>
      </c>
      <c r="AT335" s="40">
        <v>97.274749999999997</v>
      </c>
      <c r="AU335" s="40">
        <v>94.744969999999995</v>
      </c>
      <c r="AV335" s="40">
        <v>96.105410000000006</v>
      </c>
      <c r="AW335" s="40">
        <v>96.43141</v>
      </c>
      <c r="AX335" s="40">
        <v>97.196730000000002</v>
      </c>
      <c r="AY335" s="40">
        <v>97.469279999999998</v>
      </c>
      <c r="AZ335" s="40">
        <v>97.483500000000006</v>
      </c>
      <c r="BA335" s="40">
        <v>97.111050000000006</v>
      </c>
      <c r="BB335" s="174">
        <v>43040</v>
      </c>
      <c r="BC335" s="174">
        <v>43388</v>
      </c>
    </row>
    <row r="336" spans="1:55" s="44" customFormat="1" ht="45">
      <c r="A336" s="139" t="s">
        <v>273</v>
      </c>
      <c r="B336" s="18" t="s">
        <v>934</v>
      </c>
      <c r="C336" s="23" t="s">
        <v>10</v>
      </c>
      <c r="D336" s="23" t="s">
        <v>10</v>
      </c>
      <c r="E336" s="23" t="s">
        <v>10</v>
      </c>
      <c r="F336" s="23" t="s">
        <v>11</v>
      </c>
      <c r="G336" s="139" t="s">
        <v>261</v>
      </c>
      <c r="H336" s="19">
        <v>0.23</v>
      </c>
      <c r="I336" s="19">
        <v>240</v>
      </c>
      <c r="J336" s="136">
        <v>97</v>
      </c>
      <c r="K336" s="21" t="s">
        <v>1219</v>
      </c>
      <c r="L336" s="49" t="s">
        <v>435</v>
      </c>
      <c r="M336" s="21" t="s">
        <v>436</v>
      </c>
      <c r="N336" s="174">
        <v>43388</v>
      </c>
      <c r="O336" s="49" t="s">
        <v>435</v>
      </c>
      <c r="P336" s="23" t="s">
        <v>17</v>
      </c>
      <c r="Q336" s="23" t="s">
        <v>17</v>
      </c>
      <c r="R336" s="18" t="s">
        <v>260</v>
      </c>
      <c r="S336" s="20" t="s">
        <v>11</v>
      </c>
      <c r="T336" s="20" t="s">
        <v>10</v>
      </c>
      <c r="U336" s="19">
        <v>0.03</v>
      </c>
      <c r="V336" s="19"/>
      <c r="W336" s="19"/>
      <c r="X336" s="19">
        <v>27</v>
      </c>
      <c r="Y336" s="19">
        <v>32</v>
      </c>
      <c r="Z336" s="19">
        <v>37</v>
      </c>
      <c r="AA336" s="40">
        <v>2.3E-2</v>
      </c>
      <c r="AB336" s="40">
        <v>4.5999999999999999E-2</v>
      </c>
      <c r="AC336" s="40">
        <v>6.9000000000000006E-2</v>
      </c>
      <c r="AD336" s="40">
        <v>0.115</v>
      </c>
      <c r="AE336" s="40">
        <v>0.17249999999999999</v>
      </c>
      <c r="AF336" s="40">
        <v>0.23</v>
      </c>
      <c r="AG336" s="40">
        <v>94.655230000000003</v>
      </c>
      <c r="AH336" s="40">
        <v>96.037739999999999</v>
      </c>
      <c r="AI336" s="40">
        <v>96.665639999999996</v>
      </c>
      <c r="AJ336" s="40">
        <v>97.423699999999997</v>
      </c>
      <c r="AK336" s="40">
        <v>97.484939999999995</v>
      </c>
      <c r="AL336" s="40">
        <v>97.25591</v>
      </c>
      <c r="AM336" s="40">
        <v>97.176760000000002</v>
      </c>
      <c r="AN336" s="40">
        <v>95.060559999999995</v>
      </c>
      <c r="AO336" s="40">
        <v>96.356809999999996</v>
      </c>
      <c r="AP336" s="40">
        <v>96.706540000000004</v>
      </c>
      <c r="AQ336" s="40">
        <v>97.392669999999995</v>
      </c>
      <c r="AR336" s="40">
        <v>97.586340000000007</v>
      </c>
      <c r="AS336" s="40">
        <v>97.529629999999997</v>
      </c>
      <c r="AT336" s="40">
        <v>97.274749999999997</v>
      </c>
      <c r="AU336" s="40">
        <v>94.744969999999995</v>
      </c>
      <c r="AV336" s="40">
        <v>96.105410000000006</v>
      </c>
      <c r="AW336" s="40">
        <v>96.43141</v>
      </c>
      <c r="AX336" s="40">
        <v>97.196730000000002</v>
      </c>
      <c r="AY336" s="40">
        <v>97.469279999999998</v>
      </c>
      <c r="AZ336" s="40">
        <v>97.483500000000006</v>
      </c>
      <c r="BA336" s="40">
        <v>97.111050000000006</v>
      </c>
      <c r="BB336" s="174">
        <v>43040</v>
      </c>
      <c r="BC336" s="174">
        <v>43388</v>
      </c>
    </row>
    <row r="337" spans="1:55" s="44" customFormat="1" ht="45">
      <c r="A337" s="145" t="s">
        <v>273</v>
      </c>
      <c r="B337" s="145" t="s">
        <v>935</v>
      </c>
      <c r="C337" s="56" t="s">
        <v>10</v>
      </c>
      <c r="D337" s="56" t="s">
        <v>10</v>
      </c>
      <c r="E337" s="23" t="s">
        <v>10</v>
      </c>
      <c r="F337" s="23" t="s">
        <v>11</v>
      </c>
      <c r="G337" s="139" t="s">
        <v>261</v>
      </c>
      <c r="H337" s="19">
        <v>0.23</v>
      </c>
      <c r="I337" s="19">
        <v>240</v>
      </c>
      <c r="J337" s="136">
        <v>97</v>
      </c>
      <c r="K337" s="21" t="s">
        <v>1219</v>
      </c>
      <c r="L337" s="49" t="s">
        <v>435</v>
      </c>
      <c r="M337" s="21" t="s">
        <v>436</v>
      </c>
      <c r="N337" s="174">
        <v>43388</v>
      </c>
      <c r="O337" s="49" t="s">
        <v>435</v>
      </c>
      <c r="P337" s="23" t="s">
        <v>17</v>
      </c>
      <c r="Q337" s="23" t="s">
        <v>17</v>
      </c>
      <c r="R337" s="18" t="s">
        <v>260</v>
      </c>
      <c r="S337" s="20" t="s">
        <v>11</v>
      </c>
      <c r="T337" s="20" t="s">
        <v>10</v>
      </c>
      <c r="U337" s="19">
        <v>0.03</v>
      </c>
      <c r="V337" s="19"/>
      <c r="W337" s="19"/>
      <c r="X337" s="19">
        <v>27</v>
      </c>
      <c r="Y337" s="19">
        <v>32</v>
      </c>
      <c r="Z337" s="19">
        <v>37</v>
      </c>
      <c r="AA337" s="40">
        <v>2.3E-2</v>
      </c>
      <c r="AB337" s="40">
        <v>4.5999999999999999E-2</v>
      </c>
      <c r="AC337" s="40">
        <v>6.9000000000000006E-2</v>
      </c>
      <c r="AD337" s="40">
        <v>0.115</v>
      </c>
      <c r="AE337" s="40">
        <v>0.17249999999999999</v>
      </c>
      <c r="AF337" s="40">
        <v>0.23</v>
      </c>
      <c r="AG337" s="40">
        <v>94.655230000000003</v>
      </c>
      <c r="AH337" s="40">
        <v>96.037739999999999</v>
      </c>
      <c r="AI337" s="40">
        <v>96.665639999999996</v>
      </c>
      <c r="AJ337" s="40">
        <v>97.423699999999997</v>
      </c>
      <c r="AK337" s="40">
        <v>97.484939999999995</v>
      </c>
      <c r="AL337" s="40">
        <v>97.25591</v>
      </c>
      <c r="AM337" s="40">
        <v>97.176760000000002</v>
      </c>
      <c r="AN337" s="40">
        <v>95.060559999999995</v>
      </c>
      <c r="AO337" s="40">
        <v>96.356809999999996</v>
      </c>
      <c r="AP337" s="40">
        <v>96.706540000000004</v>
      </c>
      <c r="AQ337" s="40">
        <v>97.392669999999995</v>
      </c>
      <c r="AR337" s="40">
        <v>97.586340000000007</v>
      </c>
      <c r="AS337" s="40">
        <v>97.529629999999997</v>
      </c>
      <c r="AT337" s="40">
        <v>97.274749999999997</v>
      </c>
      <c r="AU337" s="40">
        <v>94.744969999999995</v>
      </c>
      <c r="AV337" s="40">
        <v>96.105410000000006</v>
      </c>
      <c r="AW337" s="40">
        <v>96.43141</v>
      </c>
      <c r="AX337" s="40">
        <v>97.196730000000002</v>
      </c>
      <c r="AY337" s="40">
        <v>97.469279999999998</v>
      </c>
      <c r="AZ337" s="40">
        <v>97.483500000000006</v>
      </c>
      <c r="BA337" s="40">
        <v>97.111050000000006</v>
      </c>
      <c r="BB337" s="174">
        <v>43040</v>
      </c>
      <c r="BC337" s="174">
        <v>43388</v>
      </c>
    </row>
    <row r="338" spans="1:55" s="44" customFormat="1" ht="45">
      <c r="A338" s="139" t="s">
        <v>273</v>
      </c>
      <c r="B338" s="18" t="s">
        <v>936</v>
      </c>
      <c r="C338" s="23" t="s">
        <v>10</v>
      </c>
      <c r="D338" s="23" t="s">
        <v>10</v>
      </c>
      <c r="E338" s="23" t="s">
        <v>10</v>
      </c>
      <c r="F338" s="23" t="s">
        <v>11</v>
      </c>
      <c r="G338" s="139" t="s">
        <v>259</v>
      </c>
      <c r="H338" s="19">
        <v>0.23</v>
      </c>
      <c r="I338" s="19">
        <v>240</v>
      </c>
      <c r="J338" s="136">
        <v>97</v>
      </c>
      <c r="K338" s="21" t="s">
        <v>1219</v>
      </c>
      <c r="L338" s="49" t="s">
        <v>435</v>
      </c>
      <c r="M338" s="21" t="s">
        <v>436</v>
      </c>
      <c r="N338" s="174">
        <v>43388</v>
      </c>
      <c r="O338" s="49" t="s">
        <v>435</v>
      </c>
      <c r="P338" s="23" t="s">
        <v>17</v>
      </c>
      <c r="Q338" s="23" t="s">
        <v>17</v>
      </c>
      <c r="R338" s="18" t="s">
        <v>260</v>
      </c>
      <c r="S338" s="20" t="s">
        <v>11</v>
      </c>
      <c r="T338" s="20" t="s">
        <v>10</v>
      </c>
      <c r="U338" s="19">
        <v>0.03</v>
      </c>
      <c r="V338" s="19"/>
      <c r="W338" s="19"/>
      <c r="X338" s="19">
        <v>27</v>
      </c>
      <c r="Y338" s="19">
        <v>32</v>
      </c>
      <c r="Z338" s="19">
        <v>37</v>
      </c>
      <c r="AA338" s="40">
        <v>2.3E-2</v>
      </c>
      <c r="AB338" s="40">
        <v>4.5999999999999999E-2</v>
      </c>
      <c r="AC338" s="40">
        <v>6.9000000000000006E-2</v>
      </c>
      <c r="AD338" s="40">
        <v>0.115</v>
      </c>
      <c r="AE338" s="40">
        <v>0.17249999999999999</v>
      </c>
      <c r="AF338" s="40">
        <v>0.23</v>
      </c>
      <c r="AG338" s="40">
        <v>94.655230000000003</v>
      </c>
      <c r="AH338" s="40">
        <v>96.037739999999999</v>
      </c>
      <c r="AI338" s="40">
        <v>96.665639999999996</v>
      </c>
      <c r="AJ338" s="40">
        <v>97.423699999999997</v>
      </c>
      <c r="AK338" s="40">
        <v>97.484939999999995</v>
      </c>
      <c r="AL338" s="40">
        <v>97.25591</v>
      </c>
      <c r="AM338" s="40">
        <v>97.176760000000002</v>
      </c>
      <c r="AN338" s="40">
        <v>95.060559999999995</v>
      </c>
      <c r="AO338" s="40">
        <v>96.356809999999996</v>
      </c>
      <c r="AP338" s="40">
        <v>96.706540000000004</v>
      </c>
      <c r="AQ338" s="40">
        <v>97.392669999999995</v>
      </c>
      <c r="AR338" s="40">
        <v>97.586340000000007</v>
      </c>
      <c r="AS338" s="40">
        <v>97.529629999999997</v>
      </c>
      <c r="AT338" s="40">
        <v>97.274749999999997</v>
      </c>
      <c r="AU338" s="40">
        <v>94.744969999999995</v>
      </c>
      <c r="AV338" s="40">
        <v>96.105410000000006</v>
      </c>
      <c r="AW338" s="40">
        <v>96.43141</v>
      </c>
      <c r="AX338" s="40">
        <v>97.196730000000002</v>
      </c>
      <c r="AY338" s="40">
        <v>97.469279999999998</v>
      </c>
      <c r="AZ338" s="40">
        <v>97.483500000000006</v>
      </c>
      <c r="BA338" s="40">
        <v>97.111050000000006</v>
      </c>
      <c r="BB338" s="174">
        <v>43040</v>
      </c>
      <c r="BC338" s="174">
        <v>43388</v>
      </c>
    </row>
    <row r="339" spans="1:55" s="44" customFormat="1" ht="45">
      <c r="A339" s="145" t="s">
        <v>273</v>
      </c>
      <c r="B339" s="145" t="s">
        <v>937</v>
      </c>
      <c r="C339" s="56" t="s">
        <v>10</v>
      </c>
      <c r="D339" s="56" t="s">
        <v>10</v>
      </c>
      <c r="E339" s="23" t="s">
        <v>10</v>
      </c>
      <c r="F339" s="23" t="s">
        <v>11</v>
      </c>
      <c r="G339" s="139" t="s">
        <v>259</v>
      </c>
      <c r="H339" s="19">
        <v>0.23</v>
      </c>
      <c r="I339" s="19">
        <v>240</v>
      </c>
      <c r="J339" s="136">
        <v>97</v>
      </c>
      <c r="K339" s="21" t="s">
        <v>1219</v>
      </c>
      <c r="L339" s="49" t="s">
        <v>435</v>
      </c>
      <c r="M339" s="21" t="s">
        <v>436</v>
      </c>
      <c r="N339" s="174">
        <v>43388</v>
      </c>
      <c r="O339" s="49" t="s">
        <v>435</v>
      </c>
      <c r="P339" s="23" t="s">
        <v>17</v>
      </c>
      <c r="Q339" s="23" t="s">
        <v>17</v>
      </c>
      <c r="R339" s="18" t="s">
        <v>260</v>
      </c>
      <c r="S339" s="20" t="s">
        <v>11</v>
      </c>
      <c r="T339" s="20" t="s">
        <v>10</v>
      </c>
      <c r="U339" s="19">
        <v>0.03</v>
      </c>
      <c r="V339" s="19"/>
      <c r="W339" s="19"/>
      <c r="X339" s="19">
        <v>27</v>
      </c>
      <c r="Y339" s="19">
        <v>32</v>
      </c>
      <c r="Z339" s="19">
        <v>37</v>
      </c>
      <c r="AA339" s="40">
        <v>2.3E-2</v>
      </c>
      <c r="AB339" s="40">
        <v>4.5999999999999999E-2</v>
      </c>
      <c r="AC339" s="40">
        <v>6.9000000000000006E-2</v>
      </c>
      <c r="AD339" s="40">
        <v>0.115</v>
      </c>
      <c r="AE339" s="40">
        <v>0.17249999999999999</v>
      </c>
      <c r="AF339" s="40">
        <v>0.23</v>
      </c>
      <c r="AG339" s="40">
        <v>94.655230000000003</v>
      </c>
      <c r="AH339" s="40">
        <v>96.037739999999999</v>
      </c>
      <c r="AI339" s="40">
        <v>96.665639999999996</v>
      </c>
      <c r="AJ339" s="40">
        <v>97.423699999999997</v>
      </c>
      <c r="AK339" s="40">
        <v>97.484939999999995</v>
      </c>
      <c r="AL339" s="40">
        <v>97.25591</v>
      </c>
      <c r="AM339" s="40">
        <v>97.176760000000002</v>
      </c>
      <c r="AN339" s="40">
        <v>95.060559999999995</v>
      </c>
      <c r="AO339" s="40">
        <v>96.356809999999996</v>
      </c>
      <c r="AP339" s="40">
        <v>96.706540000000004</v>
      </c>
      <c r="AQ339" s="40">
        <v>97.392669999999995</v>
      </c>
      <c r="AR339" s="40">
        <v>97.586340000000007</v>
      </c>
      <c r="AS339" s="40">
        <v>97.529629999999997</v>
      </c>
      <c r="AT339" s="40">
        <v>97.274749999999997</v>
      </c>
      <c r="AU339" s="40">
        <v>94.744969999999995</v>
      </c>
      <c r="AV339" s="40">
        <v>96.105410000000006</v>
      </c>
      <c r="AW339" s="40">
        <v>96.43141</v>
      </c>
      <c r="AX339" s="40">
        <v>97.196730000000002</v>
      </c>
      <c r="AY339" s="40">
        <v>97.469279999999998</v>
      </c>
      <c r="AZ339" s="40">
        <v>97.483500000000006</v>
      </c>
      <c r="BA339" s="40">
        <v>97.111050000000006</v>
      </c>
      <c r="BB339" s="174">
        <v>43040</v>
      </c>
      <c r="BC339" s="174">
        <v>43388</v>
      </c>
    </row>
    <row r="340" spans="1:55" s="44" customFormat="1" ht="60">
      <c r="A340" s="18" t="s">
        <v>273</v>
      </c>
      <c r="B340" s="18" t="s">
        <v>1703</v>
      </c>
      <c r="C340" s="23" t="s">
        <v>10</v>
      </c>
      <c r="D340" s="23" t="s">
        <v>10</v>
      </c>
      <c r="E340" s="23" t="s">
        <v>10</v>
      </c>
      <c r="F340" s="23" t="s">
        <v>11</v>
      </c>
      <c r="G340" s="18" t="s">
        <v>1690</v>
      </c>
      <c r="H340" s="19">
        <v>0.24</v>
      </c>
      <c r="I340" s="37">
        <v>208</v>
      </c>
      <c r="J340" s="19">
        <v>97</v>
      </c>
      <c r="K340" s="20" t="s">
        <v>1219</v>
      </c>
      <c r="L340" s="49" t="s">
        <v>1678</v>
      </c>
      <c r="M340" s="38" t="s">
        <v>1679</v>
      </c>
      <c r="N340" s="124">
        <v>43661</v>
      </c>
      <c r="O340" s="38" t="s">
        <v>1678</v>
      </c>
      <c r="P340" s="38" t="s">
        <v>17</v>
      </c>
      <c r="Q340" s="38" t="s">
        <v>17</v>
      </c>
      <c r="R340" s="151" t="s">
        <v>27</v>
      </c>
      <c r="S340" s="39" t="s">
        <v>11</v>
      </c>
      <c r="T340" s="39" t="s">
        <v>10</v>
      </c>
      <c r="U340" s="153">
        <v>2.5000000000000001E-2</v>
      </c>
      <c r="V340" s="153"/>
      <c r="W340" s="153"/>
      <c r="X340" s="153">
        <v>27</v>
      </c>
      <c r="Y340" s="153">
        <v>32</v>
      </c>
      <c r="Z340" s="153">
        <v>37</v>
      </c>
      <c r="AA340" s="40">
        <v>2.4E-2</v>
      </c>
      <c r="AB340" s="40">
        <v>4.8000000000000001E-2</v>
      </c>
      <c r="AC340" s="40">
        <v>7.1999999999999995E-2</v>
      </c>
      <c r="AD340" s="40">
        <v>0.12</v>
      </c>
      <c r="AE340" s="40">
        <v>0.18</v>
      </c>
      <c r="AF340" s="40">
        <v>0.24</v>
      </c>
      <c r="AG340" s="40">
        <v>94.204329999999999</v>
      </c>
      <c r="AH340" s="40">
        <v>96.226399999999984</v>
      </c>
      <c r="AI340" s="40">
        <v>97.02145999999999</v>
      </c>
      <c r="AJ340" s="40">
        <v>97.553879999999992</v>
      </c>
      <c r="AK340" s="40">
        <v>97.414230000000003</v>
      </c>
      <c r="AL340" s="40">
        <v>96.959759999999989</v>
      </c>
      <c r="AM340" s="40">
        <v>97.185913100000008</v>
      </c>
      <c r="AN340" s="40">
        <v>93.324760000000012</v>
      </c>
      <c r="AO340" s="40">
        <v>95.734390000000005</v>
      </c>
      <c r="AP340" s="40">
        <v>96.756340000000009</v>
      </c>
      <c r="AQ340" s="40">
        <v>97.463930000000005</v>
      </c>
      <c r="AR340" s="40">
        <v>97.41528000000001</v>
      </c>
      <c r="AS340" s="40">
        <v>97.056359999999998</v>
      </c>
      <c r="AT340" s="40">
        <v>97.080812400000013</v>
      </c>
      <c r="AU340" s="40">
        <v>92.419209999999993</v>
      </c>
      <c r="AV340" s="40">
        <v>95.095890000000026</v>
      </c>
      <c r="AW340" s="40">
        <v>96.538389999999993</v>
      </c>
      <c r="AX340" s="40">
        <v>97.353760000000008</v>
      </c>
      <c r="AY340" s="40">
        <v>97.337369999999993</v>
      </c>
      <c r="AZ340" s="40">
        <v>97.025310000000019</v>
      </c>
      <c r="BA340" s="40">
        <v>96.920530900000003</v>
      </c>
      <c r="BB340" s="180">
        <v>43661</v>
      </c>
      <c r="BC340" s="180"/>
    </row>
    <row r="341" spans="1:55" s="44" customFormat="1" ht="60">
      <c r="A341" s="18" t="s">
        <v>273</v>
      </c>
      <c r="B341" s="18" t="s">
        <v>1704</v>
      </c>
      <c r="C341" s="23" t="s">
        <v>10</v>
      </c>
      <c r="D341" s="23" t="s">
        <v>10</v>
      </c>
      <c r="E341" s="23" t="s">
        <v>10</v>
      </c>
      <c r="F341" s="23" t="s">
        <v>11</v>
      </c>
      <c r="G341" s="18" t="s">
        <v>1696</v>
      </c>
      <c r="H341" s="19">
        <v>0.24</v>
      </c>
      <c r="I341" s="37">
        <v>240</v>
      </c>
      <c r="J341" s="19">
        <v>97</v>
      </c>
      <c r="K341" s="20" t="s">
        <v>1219</v>
      </c>
      <c r="L341" s="49" t="s">
        <v>1678</v>
      </c>
      <c r="M341" s="38" t="s">
        <v>1679</v>
      </c>
      <c r="N341" s="124">
        <v>43661</v>
      </c>
      <c r="O341" s="38" t="s">
        <v>1678</v>
      </c>
      <c r="P341" s="38" t="s">
        <v>17</v>
      </c>
      <c r="Q341" s="38" t="s">
        <v>17</v>
      </c>
      <c r="R341" s="151" t="s">
        <v>27</v>
      </c>
      <c r="S341" s="39" t="s">
        <v>11</v>
      </c>
      <c r="T341" s="39" t="s">
        <v>10</v>
      </c>
      <c r="U341" s="153">
        <v>2.5000000000000001E-2</v>
      </c>
      <c r="V341" s="153"/>
      <c r="W341" s="153"/>
      <c r="X341" s="153">
        <v>27</v>
      </c>
      <c r="Y341" s="153">
        <v>32</v>
      </c>
      <c r="Z341" s="153">
        <v>37</v>
      </c>
      <c r="AA341" s="40">
        <v>2.4E-2</v>
      </c>
      <c r="AB341" s="40">
        <v>4.8000000000000001E-2</v>
      </c>
      <c r="AC341" s="40">
        <v>7.1999999999999995E-2</v>
      </c>
      <c r="AD341" s="40">
        <v>0.12</v>
      </c>
      <c r="AE341" s="40">
        <v>0.18</v>
      </c>
      <c r="AF341" s="40">
        <v>0.24</v>
      </c>
      <c r="AG341" s="40">
        <v>93.945300000000003</v>
      </c>
      <c r="AH341" s="40">
        <v>96.08005</v>
      </c>
      <c r="AI341" s="40">
        <v>96.814459999999983</v>
      </c>
      <c r="AJ341" s="40">
        <v>97.474629999999991</v>
      </c>
      <c r="AK341" s="40">
        <v>97.419160000000005</v>
      </c>
      <c r="AL341" s="40">
        <v>97.02876999999998</v>
      </c>
      <c r="AM341" s="40">
        <v>97.132815300000004</v>
      </c>
      <c r="AN341" s="40">
        <v>92.990709999999993</v>
      </c>
      <c r="AO341" s="40">
        <v>95.658750000000012</v>
      </c>
      <c r="AP341" s="40">
        <v>96.504930000000002</v>
      </c>
      <c r="AQ341" s="40">
        <v>97.55228000000001</v>
      </c>
      <c r="AR341" s="40">
        <v>97.614990000000006</v>
      </c>
      <c r="AS341" s="40">
        <v>97.408739999999995</v>
      </c>
      <c r="AT341" s="40">
        <v>97.175517999999997</v>
      </c>
      <c r="AU341" s="40">
        <v>92.006249999999994</v>
      </c>
      <c r="AV341" s="40">
        <v>95.026440000000008</v>
      </c>
      <c r="AW341" s="40">
        <v>96.230880000000013</v>
      </c>
      <c r="AX341" s="40">
        <v>97.381270000000001</v>
      </c>
      <c r="AY341" s="40">
        <v>97.543800000000005</v>
      </c>
      <c r="AZ341" s="40">
        <v>97.410729999999987</v>
      </c>
      <c r="BA341" s="40">
        <v>96.998094800000004</v>
      </c>
      <c r="BB341" s="180">
        <v>43661</v>
      </c>
      <c r="BC341" s="180"/>
    </row>
    <row r="342" spans="1:55" s="44" customFormat="1" ht="45">
      <c r="A342" s="145" t="s">
        <v>273</v>
      </c>
      <c r="B342" s="145" t="s">
        <v>938</v>
      </c>
      <c r="C342" s="56" t="s">
        <v>10</v>
      </c>
      <c r="D342" s="56" t="s">
        <v>10</v>
      </c>
      <c r="E342" s="23" t="s">
        <v>10</v>
      </c>
      <c r="F342" s="23" t="s">
        <v>11</v>
      </c>
      <c r="G342" s="139" t="s">
        <v>268</v>
      </c>
      <c r="H342" s="19">
        <v>0.23</v>
      </c>
      <c r="I342" s="19">
        <v>240</v>
      </c>
      <c r="J342" s="136">
        <v>97</v>
      </c>
      <c r="K342" s="21" t="s">
        <v>1219</v>
      </c>
      <c r="L342" s="49" t="s">
        <v>435</v>
      </c>
      <c r="M342" s="21" t="s">
        <v>436</v>
      </c>
      <c r="N342" s="174">
        <v>43388</v>
      </c>
      <c r="O342" s="49" t="s">
        <v>435</v>
      </c>
      <c r="P342" s="23" t="s">
        <v>17</v>
      </c>
      <c r="Q342" s="23" t="s">
        <v>17</v>
      </c>
      <c r="R342" s="18" t="s">
        <v>260</v>
      </c>
      <c r="S342" s="20" t="s">
        <v>11</v>
      </c>
      <c r="T342" s="20" t="s">
        <v>10</v>
      </c>
      <c r="U342" s="19">
        <v>0.03</v>
      </c>
      <c r="V342" s="19"/>
      <c r="W342" s="19"/>
      <c r="X342" s="19">
        <v>27</v>
      </c>
      <c r="Y342" s="19">
        <v>32</v>
      </c>
      <c r="Z342" s="19">
        <v>37</v>
      </c>
      <c r="AA342" s="40">
        <v>2.3E-2</v>
      </c>
      <c r="AB342" s="40">
        <v>4.5999999999999999E-2</v>
      </c>
      <c r="AC342" s="40">
        <v>6.9000000000000006E-2</v>
      </c>
      <c r="AD342" s="40">
        <v>0.115</v>
      </c>
      <c r="AE342" s="40">
        <v>0.17249999999999999</v>
      </c>
      <c r="AF342" s="40">
        <v>0.23</v>
      </c>
      <c r="AG342" s="40">
        <v>94.655230000000003</v>
      </c>
      <c r="AH342" s="40">
        <v>96.037739999999999</v>
      </c>
      <c r="AI342" s="40">
        <v>96.665639999999996</v>
      </c>
      <c r="AJ342" s="40">
        <v>97.423699999999997</v>
      </c>
      <c r="AK342" s="40">
        <v>97.484939999999995</v>
      </c>
      <c r="AL342" s="40">
        <v>97.25591</v>
      </c>
      <c r="AM342" s="40">
        <v>97.176760000000002</v>
      </c>
      <c r="AN342" s="40">
        <v>95.060559999999995</v>
      </c>
      <c r="AO342" s="40">
        <v>96.356809999999996</v>
      </c>
      <c r="AP342" s="40">
        <v>96.706540000000004</v>
      </c>
      <c r="AQ342" s="40">
        <v>97.392669999999995</v>
      </c>
      <c r="AR342" s="40">
        <v>97.586340000000007</v>
      </c>
      <c r="AS342" s="40">
        <v>97.529629999999997</v>
      </c>
      <c r="AT342" s="40">
        <v>97.274749999999997</v>
      </c>
      <c r="AU342" s="40">
        <v>94.744969999999995</v>
      </c>
      <c r="AV342" s="40">
        <v>96.105410000000006</v>
      </c>
      <c r="AW342" s="40">
        <v>96.43141</v>
      </c>
      <c r="AX342" s="40">
        <v>97.196730000000002</v>
      </c>
      <c r="AY342" s="40">
        <v>97.469279999999998</v>
      </c>
      <c r="AZ342" s="40">
        <v>97.483500000000006</v>
      </c>
      <c r="BA342" s="40">
        <v>97.111050000000006</v>
      </c>
      <c r="BB342" s="174">
        <v>43040</v>
      </c>
      <c r="BC342" s="174">
        <v>43388</v>
      </c>
    </row>
    <row r="343" spans="1:55" s="44" customFormat="1" ht="60">
      <c r="A343" s="18" t="s">
        <v>273</v>
      </c>
      <c r="B343" s="18" t="s">
        <v>1705</v>
      </c>
      <c r="C343" s="23" t="s">
        <v>10</v>
      </c>
      <c r="D343" s="23" t="s">
        <v>10</v>
      </c>
      <c r="E343" s="23" t="s">
        <v>10</v>
      </c>
      <c r="F343" s="23" t="s">
        <v>11</v>
      </c>
      <c r="G343" s="18" t="s">
        <v>1691</v>
      </c>
      <c r="H343" s="19">
        <v>0.24</v>
      </c>
      <c r="I343" s="37">
        <v>208</v>
      </c>
      <c r="J343" s="19">
        <v>97</v>
      </c>
      <c r="K343" s="20" t="s">
        <v>1219</v>
      </c>
      <c r="L343" s="49" t="s">
        <v>1678</v>
      </c>
      <c r="M343" s="38" t="s">
        <v>1679</v>
      </c>
      <c r="N343" s="124">
        <v>43661</v>
      </c>
      <c r="O343" s="38" t="s">
        <v>1678</v>
      </c>
      <c r="P343" s="38" t="s">
        <v>17</v>
      </c>
      <c r="Q343" s="38" t="s">
        <v>17</v>
      </c>
      <c r="R343" s="151" t="s">
        <v>27</v>
      </c>
      <c r="S343" s="39" t="s">
        <v>11</v>
      </c>
      <c r="T343" s="39" t="s">
        <v>10</v>
      </c>
      <c r="U343" s="153">
        <v>2.5000000000000001E-2</v>
      </c>
      <c r="V343" s="153"/>
      <c r="W343" s="153"/>
      <c r="X343" s="153">
        <v>27</v>
      </c>
      <c r="Y343" s="153">
        <v>32</v>
      </c>
      <c r="Z343" s="153">
        <v>37</v>
      </c>
      <c r="AA343" s="40">
        <v>2.4E-2</v>
      </c>
      <c r="AB343" s="40">
        <v>4.8000000000000001E-2</v>
      </c>
      <c r="AC343" s="40">
        <v>7.1999999999999995E-2</v>
      </c>
      <c r="AD343" s="40">
        <v>0.12</v>
      </c>
      <c r="AE343" s="40">
        <v>0.18</v>
      </c>
      <c r="AF343" s="40">
        <v>0.24</v>
      </c>
      <c r="AG343" s="40">
        <v>94.204329999999999</v>
      </c>
      <c r="AH343" s="40">
        <v>96.226399999999984</v>
      </c>
      <c r="AI343" s="40">
        <v>97.02145999999999</v>
      </c>
      <c r="AJ343" s="40">
        <v>97.553879999999992</v>
      </c>
      <c r="AK343" s="40">
        <v>97.414230000000003</v>
      </c>
      <c r="AL343" s="40">
        <v>96.959759999999989</v>
      </c>
      <c r="AM343" s="40">
        <v>97.185913100000008</v>
      </c>
      <c r="AN343" s="40">
        <v>93.324760000000012</v>
      </c>
      <c r="AO343" s="40">
        <v>95.734390000000005</v>
      </c>
      <c r="AP343" s="40">
        <v>96.756340000000009</v>
      </c>
      <c r="AQ343" s="40">
        <v>97.463930000000005</v>
      </c>
      <c r="AR343" s="40">
        <v>97.41528000000001</v>
      </c>
      <c r="AS343" s="40">
        <v>97.056359999999998</v>
      </c>
      <c r="AT343" s="40">
        <v>97.080812400000013</v>
      </c>
      <c r="AU343" s="40">
        <v>92.419209999999993</v>
      </c>
      <c r="AV343" s="40">
        <v>95.095890000000026</v>
      </c>
      <c r="AW343" s="40">
        <v>96.538389999999993</v>
      </c>
      <c r="AX343" s="40">
        <v>97.353760000000008</v>
      </c>
      <c r="AY343" s="40">
        <v>97.337369999999993</v>
      </c>
      <c r="AZ343" s="40">
        <v>97.025310000000019</v>
      </c>
      <c r="BA343" s="40">
        <v>96.920530900000003</v>
      </c>
      <c r="BB343" s="180">
        <v>43661</v>
      </c>
      <c r="BC343" s="180"/>
    </row>
    <row r="344" spans="1:55" s="44" customFormat="1" ht="60">
      <c r="A344" s="18" t="s">
        <v>273</v>
      </c>
      <c r="B344" s="18" t="s">
        <v>1706</v>
      </c>
      <c r="C344" s="23" t="s">
        <v>10</v>
      </c>
      <c r="D344" s="23" t="s">
        <v>10</v>
      </c>
      <c r="E344" s="23" t="s">
        <v>10</v>
      </c>
      <c r="F344" s="23" t="s">
        <v>11</v>
      </c>
      <c r="G344" s="18" t="s">
        <v>1697</v>
      </c>
      <c r="H344" s="19">
        <v>0.24</v>
      </c>
      <c r="I344" s="37">
        <v>240</v>
      </c>
      <c r="J344" s="19">
        <v>97</v>
      </c>
      <c r="K344" s="20" t="s">
        <v>1219</v>
      </c>
      <c r="L344" s="49" t="s">
        <v>1678</v>
      </c>
      <c r="M344" s="38" t="s">
        <v>1679</v>
      </c>
      <c r="N344" s="124">
        <v>43661</v>
      </c>
      <c r="O344" s="38" t="s">
        <v>1678</v>
      </c>
      <c r="P344" s="38" t="s">
        <v>17</v>
      </c>
      <c r="Q344" s="38" t="s">
        <v>17</v>
      </c>
      <c r="R344" s="151" t="s">
        <v>27</v>
      </c>
      <c r="S344" s="39" t="s">
        <v>11</v>
      </c>
      <c r="T344" s="39" t="s">
        <v>10</v>
      </c>
      <c r="U344" s="153">
        <v>2.5000000000000001E-2</v>
      </c>
      <c r="V344" s="153"/>
      <c r="W344" s="153"/>
      <c r="X344" s="153">
        <v>27</v>
      </c>
      <c r="Y344" s="153">
        <v>32</v>
      </c>
      <c r="Z344" s="153">
        <v>37</v>
      </c>
      <c r="AA344" s="40">
        <v>2.4E-2</v>
      </c>
      <c r="AB344" s="40">
        <v>4.8000000000000001E-2</v>
      </c>
      <c r="AC344" s="40">
        <v>7.1999999999999995E-2</v>
      </c>
      <c r="AD344" s="40">
        <v>0.12</v>
      </c>
      <c r="AE344" s="40">
        <v>0.18</v>
      </c>
      <c r="AF344" s="40">
        <v>0.24</v>
      </c>
      <c r="AG344" s="40">
        <v>93.945300000000003</v>
      </c>
      <c r="AH344" s="40">
        <v>96.08005</v>
      </c>
      <c r="AI344" s="40">
        <v>96.814459999999983</v>
      </c>
      <c r="AJ344" s="40">
        <v>97.474629999999991</v>
      </c>
      <c r="AK344" s="40">
        <v>97.419160000000005</v>
      </c>
      <c r="AL344" s="40">
        <v>97.02876999999998</v>
      </c>
      <c r="AM344" s="40">
        <v>97.132815300000004</v>
      </c>
      <c r="AN344" s="40">
        <v>92.990709999999993</v>
      </c>
      <c r="AO344" s="40">
        <v>95.658750000000012</v>
      </c>
      <c r="AP344" s="40">
        <v>96.504930000000002</v>
      </c>
      <c r="AQ344" s="40">
        <v>97.55228000000001</v>
      </c>
      <c r="AR344" s="40">
        <v>97.614990000000006</v>
      </c>
      <c r="AS344" s="40">
        <v>97.408739999999995</v>
      </c>
      <c r="AT344" s="40">
        <v>97.175517999999997</v>
      </c>
      <c r="AU344" s="40">
        <v>92.006249999999994</v>
      </c>
      <c r="AV344" s="40">
        <v>95.026440000000008</v>
      </c>
      <c r="AW344" s="40">
        <v>96.230880000000013</v>
      </c>
      <c r="AX344" s="40">
        <v>97.381270000000001</v>
      </c>
      <c r="AY344" s="40">
        <v>97.543800000000005</v>
      </c>
      <c r="AZ344" s="40">
        <v>97.410729999999987</v>
      </c>
      <c r="BA344" s="40">
        <v>96.998094800000004</v>
      </c>
      <c r="BB344" s="180">
        <v>43661</v>
      </c>
      <c r="BC344" s="180"/>
    </row>
    <row r="345" spans="1:55" s="44" customFormat="1" ht="60">
      <c r="A345" s="18" t="s">
        <v>273</v>
      </c>
      <c r="B345" s="18" t="s">
        <v>1707</v>
      </c>
      <c r="C345" s="23" t="s">
        <v>10</v>
      </c>
      <c r="D345" s="23" t="s">
        <v>10</v>
      </c>
      <c r="E345" s="23" t="s">
        <v>10</v>
      </c>
      <c r="F345" s="23" t="s">
        <v>11</v>
      </c>
      <c r="G345" s="18" t="s">
        <v>1677</v>
      </c>
      <c r="H345" s="19">
        <v>0.24</v>
      </c>
      <c r="I345" s="37">
        <v>208</v>
      </c>
      <c r="J345" s="19">
        <v>97</v>
      </c>
      <c r="K345" s="20" t="s">
        <v>1219</v>
      </c>
      <c r="L345" s="49" t="s">
        <v>1678</v>
      </c>
      <c r="M345" s="38" t="s">
        <v>1679</v>
      </c>
      <c r="N345" s="124">
        <v>43661</v>
      </c>
      <c r="O345" s="38" t="s">
        <v>1678</v>
      </c>
      <c r="P345" s="38" t="s">
        <v>17</v>
      </c>
      <c r="Q345" s="38" t="s">
        <v>17</v>
      </c>
      <c r="R345" s="151" t="s">
        <v>27</v>
      </c>
      <c r="S345" s="39" t="s">
        <v>11</v>
      </c>
      <c r="T345" s="39" t="s">
        <v>10</v>
      </c>
      <c r="U345" s="153">
        <v>2.5000000000000001E-2</v>
      </c>
      <c r="V345" s="153"/>
      <c r="W345" s="153"/>
      <c r="X345" s="153">
        <v>27</v>
      </c>
      <c r="Y345" s="153">
        <v>32</v>
      </c>
      <c r="Z345" s="153">
        <v>37</v>
      </c>
      <c r="AA345" s="40">
        <v>2.4E-2</v>
      </c>
      <c r="AB345" s="40">
        <v>4.8000000000000001E-2</v>
      </c>
      <c r="AC345" s="40">
        <v>7.1999999999999995E-2</v>
      </c>
      <c r="AD345" s="40">
        <v>0.12</v>
      </c>
      <c r="AE345" s="40">
        <v>0.18</v>
      </c>
      <c r="AF345" s="40">
        <v>0.24</v>
      </c>
      <c r="AG345" s="40">
        <v>94.204329999999999</v>
      </c>
      <c r="AH345" s="40">
        <v>96.226399999999984</v>
      </c>
      <c r="AI345" s="40">
        <v>97.02145999999999</v>
      </c>
      <c r="AJ345" s="40">
        <v>97.553879999999992</v>
      </c>
      <c r="AK345" s="40">
        <v>97.414230000000003</v>
      </c>
      <c r="AL345" s="40">
        <v>96.959759999999989</v>
      </c>
      <c r="AM345" s="40">
        <v>97.185913100000008</v>
      </c>
      <c r="AN345" s="40">
        <v>93.324760000000012</v>
      </c>
      <c r="AO345" s="40">
        <v>95.734390000000005</v>
      </c>
      <c r="AP345" s="40">
        <v>96.756340000000009</v>
      </c>
      <c r="AQ345" s="40">
        <v>97.463930000000005</v>
      </c>
      <c r="AR345" s="40">
        <v>97.41528000000001</v>
      </c>
      <c r="AS345" s="40">
        <v>97.056359999999998</v>
      </c>
      <c r="AT345" s="40">
        <v>97.080812400000013</v>
      </c>
      <c r="AU345" s="40">
        <v>92.419209999999993</v>
      </c>
      <c r="AV345" s="40">
        <v>95.095890000000026</v>
      </c>
      <c r="AW345" s="40">
        <v>96.538389999999993</v>
      </c>
      <c r="AX345" s="40">
        <v>97.353760000000008</v>
      </c>
      <c r="AY345" s="40">
        <v>97.337369999999993</v>
      </c>
      <c r="AZ345" s="40">
        <v>97.025310000000019</v>
      </c>
      <c r="BA345" s="40">
        <v>96.920530900000003</v>
      </c>
      <c r="BB345" s="180">
        <v>43661</v>
      </c>
      <c r="BC345" s="180"/>
    </row>
    <row r="346" spans="1:55" s="44" customFormat="1" ht="60">
      <c r="A346" s="18" t="s">
        <v>273</v>
      </c>
      <c r="B346" s="18" t="s">
        <v>1708</v>
      </c>
      <c r="C346" s="23" t="s">
        <v>10</v>
      </c>
      <c r="D346" s="23" t="s">
        <v>10</v>
      </c>
      <c r="E346" s="23" t="s">
        <v>10</v>
      </c>
      <c r="F346" s="23" t="s">
        <v>11</v>
      </c>
      <c r="G346" s="18" t="s">
        <v>1677</v>
      </c>
      <c r="H346" s="19">
        <v>0.24</v>
      </c>
      <c r="I346" s="37">
        <v>240</v>
      </c>
      <c r="J346" s="19">
        <v>97</v>
      </c>
      <c r="K346" s="20" t="s">
        <v>1219</v>
      </c>
      <c r="L346" s="49" t="s">
        <v>1678</v>
      </c>
      <c r="M346" s="38" t="s">
        <v>1679</v>
      </c>
      <c r="N346" s="124">
        <v>43661</v>
      </c>
      <c r="O346" s="38" t="s">
        <v>1678</v>
      </c>
      <c r="P346" s="38" t="s">
        <v>17</v>
      </c>
      <c r="Q346" s="38" t="s">
        <v>17</v>
      </c>
      <c r="R346" s="151" t="s">
        <v>27</v>
      </c>
      <c r="S346" s="39" t="s">
        <v>11</v>
      </c>
      <c r="T346" s="39" t="s">
        <v>10</v>
      </c>
      <c r="U346" s="153">
        <v>2.5000000000000001E-2</v>
      </c>
      <c r="V346" s="153"/>
      <c r="W346" s="153"/>
      <c r="X346" s="153">
        <v>27</v>
      </c>
      <c r="Y346" s="153">
        <v>32</v>
      </c>
      <c r="Z346" s="153">
        <v>37</v>
      </c>
      <c r="AA346" s="40">
        <v>2.4E-2</v>
      </c>
      <c r="AB346" s="40">
        <v>4.8000000000000001E-2</v>
      </c>
      <c r="AC346" s="40">
        <v>7.1999999999999995E-2</v>
      </c>
      <c r="AD346" s="40">
        <v>0.12</v>
      </c>
      <c r="AE346" s="40">
        <v>0.18</v>
      </c>
      <c r="AF346" s="40">
        <v>0.24</v>
      </c>
      <c r="AG346" s="40">
        <v>93.945300000000003</v>
      </c>
      <c r="AH346" s="40">
        <v>96.08005</v>
      </c>
      <c r="AI346" s="40">
        <v>96.814459999999983</v>
      </c>
      <c r="AJ346" s="40">
        <v>97.474629999999991</v>
      </c>
      <c r="AK346" s="40">
        <v>97.419160000000005</v>
      </c>
      <c r="AL346" s="40">
        <v>97.02876999999998</v>
      </c>
      <c r="AM346" s="40">
        <v>97.132815300000004</v>
      </c>
      <c r="AN346" s="40">
        <v>92.990709999999993</v>
      </c>
      <c r="AO346" s="40">
        <v>95.658750000000012</v>
      </c>
      <c r="AP346" s="40">
        <v>96.504930000000002</v>
      </c>
      <c r="AQ346" s="40">
        <v>97.55228000000001</v>
      </c>
      <c r="AR346" s="40">
        <v>97.614990000000006</v>
      </c>
      <c r="AS346" s="40">
        <v>97.408739999999995</v>
      </c>
      <c r="AT346" s="40">
        <v>97.175517999999997</v>
      </c>
      <c r="AU346" s="40">
        <v>92.006249999999994</v>
      </c>
      <c r="AV346" s="40">
        <v>95.026440000000008</v>
      </c>
      <c r="AW346" s="40">
        <v>96.230880000000013</v>
      </c>
      <c r="AX346" s="40">
        <v>97.381270000000001</v>
      </c>
      <c r="AY346" s="40">
        <v>97.543800000000005</v>
      </c>
      <c r="AZ346" s="40">
        <v>97.410729999999987</v>
      </c>
      <c r="BA346" s="40">
        <v>96.998094800000004</v>
      </c>
      <c r="BB346" s="180">
        <v>43661</v>
      </c>
      <c r="BC346" s="180"/>
    </row>
    <row r="347" spans="1:55" s="44" customFormat="1" ht="60">
      <c r="A347" s="18" t="s">
        <v>273</v>
      </c>
      <c r="B347" s="18" t="s">
        <v>1709</v>
      </c>
      <c r="C347" s="23" t="s">
        <v>10</v>
      </c>
      <c r="D347" s="23" t="s">
        <v>10</v>
      </c>
      <c r="E347" s="23" t="s">
        <v>10</v>
      </c>
      <c r="F347" s="23" t="s">
        <v>11</v>
      </c>
      <c r="G347" s="18" t="s">
        <v>1692</v>
      </c>
      <c r="H347" s="19">
        <v>0.24</v>
      </c>
      <c r="I347" s="37">
        <v>208</v>
      </c>
      <c r="J347" s="19">
        <v>97</v>
      </c>
      <c r="K347" s="20" t="s">
        <v>1219</v>
      </c>
      <c r="L347" s="49" t="s">
        <v>1678</v>
      </c>
      <c r="M347" s="38" t="s">
        <v>1679</v>
      </c>
      <c r="N347" s="124">
        <v>43661</v>
      </c>
      <c r="O347" s="38" t="s">
        <v>1678</v>
      </c>
      <c r="P347" s="38" t="s">
        <v>17</v>
      </c>
      <c r="Q347" s="38" t="s">
        <v>17</v>
      </c>
      <c r="R347" s="151" t="s">
        <v>27</v>
      </c>
      <c r="S347" s="39" t="s">
        <v>11</v>
      </c>
      <c r="T347" s="39" t="s">
        <v>10</v>
      </c>
      <c r="U347" s="153">
        <v>2.5000000000000001E-2</v>
      </c>
      <c r="V347" s="153"/>
      <c r="W347" s="153"/>
      <c r="X347" s="153">
        <v>27</v>
      </c>
      <c r="Y347" s="153">
        <v>32</v>
      </c>
      <c r="Z347" s="153">
        <v>37</v>
      </c>
      <c r="AA347" s="40">
        <v>2.4E-2</v>
      </c>
      <c r="AB347" s="40">
        <v>4.8000000000000001E-2</v>
      </c>
      <c r="AC347" s="40">
        <v>7.1999999999999995E-2</v>
      </c>
      <c r="AD347" s="40">
        <v>0.12</v>
      </c>
      <c r="AE347" s="40">
        <v>0.18</v>
      </c>
      <c r="AF347" s="40">
        <v>0.24</v>
      </c>
      <c r="AG347" s="40">
        <v>94.204329999999999</v>
      </c>
      <c r="AH347" s="40">
        <v>96.226399999999984</v>
      </c>
      <c r="AI347" s="40">
        <v>97.02145999999999</v>
      </c>
      <c r="AJ347" s="40">
        <v>97.553879999999992</v>
      </c>
      <c r="AK347" s="40">
        <v>97.414230000000003</v>
      </c>
      <c r="AL347" s="40">
        <v>96.959759999999989</v>
      </c>
      <c r="AM347" s="40">
        <v>97.185913100000008</v>
      </c>
      <c r="AN347" s="40">
        <v>93.324760000000012</v>
      </c>
      <c r="AO347" s="40">
        <v>95.734390000000005</v>
      </c>
      <c r="AP347" s="40">
        <v>96.756340000000009</v>
      </c>
      <c r="AQ347" s="40">
        <v>97.463930000000005</v>
      </c>
      <c r="AR347" s="40">
        <v>97.41528000000001</v>
      </c>
      <c r="AS347" s="40">
        <v>97.056359999999998</v>
      </c>
      <c r="AT347" s="40">
        <v>97.080812400000013</v>
      </c>
      <c r="AU347" s="40">
        <v>92.419209999999993</v>
      </c>
      <c r="AV347" s="40">
        <v>95.095890000000026</v>
      </c>
      <c r="AW347" s="40">
        <v>96.538389999999993</v>
      </c>
      <c r="AX347" s="40">
        <v>97.353760000000008</v>
      </c>
      <c r="AY347" s="40">
        <v>97.337369999999993</v>
      </c>
      <c r="AZ347" s="40">
        <v>97.025310000000019</v>
      </c>
      <c r="BA347" s="40">
        <v>96.920530900000003</v>
      </c>
      <c r="BB347" s="180">
        <v>43661</v>
      </c>
      <c r="BC347" s="180"/>
    </row>
    <row r="348" spans="1:55" s="44" customFormat="1" ht="60">
      <c r="A348" s="18" t="s">
        <v>273</v>
      </c>
      <c r="B348" s="18" t="s">
        <v>1710</v>
      </c>
      <c r="C348" s="23" t="s">
        <v>10</v>
      </c>
      <c r="D348" s="23" t="s">
        <v>10</v>
      </c>
      <c r="E348" s="23" t="s">
        <v>10</v>
      </c>
      <c r="F348" s="23" t="s">
        <v>11</v>
      </c>
      <c r="G348" s="18" t="s">
        <v>1698</v>
      </c>
      <c r="H348" s="19">
        <v>0.24</v>
      </c>
      <c r="I348" s="37">
        <v>240</v>
      </c>
      <c r="J348" s="19">
        <v>97</v>
      </c>
      <c r="K348" s="20" t="s">
        <v>1219</v>
      </c>
      <c r="L348" s="49" t="s">
        <v>1678</v>
      </c>
      <c r="M348" s="38" t="s">
        <v>1679</v>
      </c>
      <c r="N348" s="124">
        <v>43661</v>
      </c>
      <c r="O348" s="38" t="s">
        <v>1678</v>
      </c>
      <c r="P348" s="38" t="s">
        <v>17</v>
      </c>
      <c r="Q348" s="38" t="s">
        <v>17</v>
      </c>
      <c r="R348" s="151" t="s">
        <v>27</v>
      </c>
      <c r="S348" s="39" t="s">
        <v>11</v>
      </c>
      <c r="T348" s="39" t="s">
        <v>10</v>
      </c>
      <c r="U348" s="153">
        <v>2.5000000000000001E-2</v>
      </c>
      <c r="V348" s="153"/>
      <c r="W348" s="153"/>
      <c r="X348" s="153">
        <v>27</v>
      </c>
      <c r="Y348" s="153">
        <v>32</v>
      </c>
      <c r="Z348" s="153">
        <v>37</v>
      </c>
      <c r="AA348" s="40">
        <v>2.4E-2</v>
      </c>
      <c r="AB348" s="40">
        <v>4.8000000000000001E-2</v>
      </c>
      <c r="AC348" s="40">
        <v>7.1999999999999995E-2</v>
      </c>
      <c r="AD348" s="40">
        <v>0.12</v>
      </c>
      <c r="AE348" s="40">
        <v>0.18</v>
      </c>
      <c r="AF348" s="40">
        <v>0.24</v>
      </c>
      <c r="AG348" s="40">
        <v>93.945300000000003</v>
      </c>
      <c r="AH348" s="40">
        <v>96.08005</v>
      </c>
      <c r="AI348" s="40">
        <v>96.814459999999983</v>
      </c>
      <c r="AJ348" s="40">
        <v>97.474629999999991</v>
      </c>
      <c r="AK348" s="40">
        <v>97.419160000000005</v>
      </c>
      <c r="AL348" s="40">
        <v>97.02876999999998</v>
      </c>
      <c r="AM348" s="40">
        <v>97.132815300000004</v>
      </c>
      <c r="AN348" s="40">
        <v>92.990709999999993</v>
      </c>
      <c r="AO348" s="40">
        <v>95.658750000000012</v>
      </c>
      <c r="AP348" s="40">
        <v>96.504930000000002</v>
      </c>
      <c r="AQ348" s="40">
        <v>97.55228000000001</v>
      </c>
      <c r="AR348" s="40">
        <v>97.614990000000006</v>
      </c>
      <c r="AS348" s="40">
        <v>97.408739999999995</v>
      </c>
      <c r="AT348" s="40">
        <v>97.175517999999997</v>
      </c>
      <c r="AU348" s="40">
        <v>92.006249999999994</v>
      </c>
      <c r="AV348" s="40">
        <v>95.026440000000008</v>
      </c>
      <c r="AW348" s="40">
        <v>96.230880000000013</v>
      </c>
      <c r="AX348" s="40">
        <v>97.381270000000001</v>
      </c>
      <c r="AY348" s="40">
        <v>97.543800000000005</v>
      </c>
      <c r="AZ348" s="40">
        <v>97.410729999999987</v>
      </c>
      <c r="BA348" s="40">
        <v>96.998094800000004</v>
      </c>
      <c r="BB348" s="180">
        <v>43661</v>
      </c>
      <c r="BC348" s="180"/>
    </row>
    <row r="349" spans="1:55" s="44" customFormat="1" ht="60">
      <c r="A349" s="18" t="s">
        <v>273</v>
      </c>
      <c r="B349" s="18" t="s">
        <v>1711</v>
      </c>
      <c r="C349" s="23" t="s">
        <v>10</v>
      </c>
      <c r="D349" s="23" t="s">
        <v>10</v>
      </c>
      <c r="E349" s="23" t="s">
        <v>10</v>
      </c>
      <c r="F349" s="23" t="s">
        <v>11</v>
      </c>
      <c r="G349" s="18" t="s">
        <v>1680</v>
      </c>
      <c r="H349" s="19">
        <v>0.24</v>
      </c>
      <c r="I349" s="37">
        <v>208</v>
      </c>
      <c r="J349" s="19">
        <v>97</v>
      </c>
      <c r="K349" s="20" t="s">
        <v>1219</v>
      </c>
      <c r="L349" s="49" t="s">
        <v>1678</v>
      </c>
      <c r="M349" s="38" t="s">
        <v>1679</v>
      </c>
      <c r="N349" s="124">
        <v>43661</v>
      </c>
      <c r="O349" s="38" t="s">
        <v>1678</v>
      </c>
      <c r="P349" s="38" t="s">
        <v>17</v>
      </c>
      <c r="Q349" s="38" t="s">
        <v>17</v>
      </c>
      <c r="R349" s="151" t="s">
        <v>27</v>
      </c>
      <c r="S349" s="39" t="s">
        <v>11</v>
      </c>
      <c r="T349" s="39" t="s">
        <v>10</v>
      </c>
      <c r="U349" s="153">
        <v>2.5000000000000001E-2</v>
      </c>
      <c r="V349" s="153"/>
      <c r="W349" s="153"/>
      <c r="X349" s="153">
        <v>27</v>
      </c>
      <c r="Y349" s="153">
        <v>32</v>
      </c>
      <c r="Z349" s="153">
        <v>37</v>
      </c>
      <c r="AA349" s="40">
        <v>2.4E-2</v>
      </c>
      <c r="AB349" s="40">
        <v>4.8000000000000001E-2</v>
      </c>
      <c r="AC349" s="40">
        <v>7.1999999999999995E-2</v>
      </c>
      <c r="AD349" s="40">
        <v>0.12</v>
      </c>
      <c r="AE349" s="40">
        <v>0.18</v>
      </c>
      <c r="AF349" s="40">
        <v>0.24</v>
      </c>
      <c r="AG349" s="40">
        <v>94.204329999999999</v>
      </c>
      <c r="AH349" s="40">
        <v>96.226399999999984</v>
      </c>
      <c r="AI349" s="40">
        <v>97.02145999999999</v>
      </c>
      <c r="AJ349" s="40">
        <v>97.553879999999992</v>
      </c>
      <c r="AK349" s="40">
        <v>97.414230000000003</v>
      </c>
      <c r="AL349" s="40">
        <v>96.959759999999989</v>
      </c>
      <c r="AM349" s="40">
        <v>97.185913100000008</v>
      </c>
      <c r="AN349" s="40">
        <v>93.324760000000012</v>
      </c>
      <c r="AO349" s="40">
        <v>95.734390000000005</v>
      </c>
      <c r="AP349" s="40">
        <v>96.756340000000009</v>
      </c>
      <c r="AQ349" s="40">
        <v>97.463930000000005</v>
      </c>
      <c r="AR349" s="40">
        <v>97.41528000000001</v>
      </c>
      <c r="AS349" s="40">
        <v>97.056359999999998</v>
      </c>
      <c r="AT349" s="40">
        <v>97.080812400000013</v>
      </c>
      <c r="AU349" s="40">
        <v>92.419209999999993</v>
      </c>
      <c r="AV349" s="40">
        <v>95.095890000000026</v>
      </c>
      <c r="AW349" s="40">
        <v>96.538389999999993</v>
      </c>
      <c r="AX349" s="40">
        <v>97.353760000000008</v>
      </c>
      <c r="AY349" s="40">
        <v>97.337369999999993</v>
      </c>
      <c r="AZ349" s="40">
        <v>97.025310000000019</v>
      </c>
      <c r="BA349" s="40">
        <v>96.920530900000003</v>
      </c>
      <c r="BB349" s="180">
        <v>43661</v>
      </c>
      <c r="BC349" s="180"/>
    </row>
    <row r="350" spans="1:55" s="44" customFormat="1" ht="60">
      <c r="A350" s="18" t="s">
        <v>273</v>
      </c>
      <c r="B350" s="18" t="s">
        <v>1712</v>
      </c>
      <c r="C350" s="23" t="s">
        <v>10</v>
      </c>
      <c r="D350" s="23" t="s">
        <v>10</v>
      </c>
      <c r="E350" s="23" t="s">
        <v>10</v>
      </c>
      <c r="F350" s="23" t="s">
        <v>11</v>
      </c>
      <c r="G350" s="18" t="s">
        <v>1685</v>
      </c>
      <c r="H350" s="19">
        <v>0.24</v>
      </c>
      <c r="I350" s="37">
        <v>240</v>
      </c>
      <c r="J350" s="19">
        <v>97</v>
      </c>
      <c r="K350" s="20" t="s">
        <v>1219</v>
      </c>
      <c r="L350" s="49" t="s">
        <v>1678</v>
      </c>
      <c r="M350" s="38" t="s">
        <v>1679</v>
      </c>
      <c r="N350" s="124">
        <v>43661</v>
      </c>
      <c r="O350" s="38" t="s">
        <v>1678</v>
      </c>
      <c r="P350" s="38" t="s">
        <v>17</v>
      </c>
      <c r="Q350" s="38" t="s">
        <v>17</v>
      </c>
      <c r="R350" s="151" t="s">
        <v>27</v>
      </c>
      <c r="S350" s="39" t="s">
        <v>11</v>
      </c>
      <c r="T350" s="39" t="s">
        <v>10</v>
      </c>
      <c r="U350" s="153">
        <v>2.5000000000000001E-2</v>
      </c>
      <c r="V350" s="153"/>
      <c r="W350" s="153"/>
      <c r="X350" s="153">
        <v>27</v>
      </c>
      <c r="Y350" s="153">
        <v>32</v>
      </c>
      <c r="Z350" s="153">
        <v>37</v>
      </c>
      <c r="AA350" s="40">
        <v>2.4E-2</v>
      </c>
      <c r="AB350" s="40">
        <v>4.8000000000000001E-2</v>
      </c>
      <c r="AC350" s="40">
        <v>7.1999999999999995E-2</v>
      </c>
      <c r="AD350" s="40">
        <v>0.12</v>
      </c>
      <c r="AE350" s="40">
        <v>0.18</v>
      </c>
      <c r="AF350" s="40">
        <v>0.24</v>
      </c>
      <c r="AG350" s="40">
        <v>93.945300000000003</v>
      </c>
      <c r="AH350" s="40">
        <v>96.08005</v>
      </c>
      <c r="AI350" s="40">
        <v>96.814459999999983</v>
      </c>
      <c r="AJ350" s="40">
        <v>97.474629999999991</v>
      </c>
      <c r="AK350" s="40">
        <v>97.419160000000005</v>
      </c>
      <c r="AL350" s="40">
        <v>97.02876999999998</v>
      </c>
      <c r="AM350" s="40">
        <v>97.132815300000004</v>
      </c>
      <c r="AN350" s="40">
        <v>92.990709999999993</v>
      </c>
      <c r="AO350" s="40">
        <v>95.658750000000012</v>
      </c>
      <c r="AP350" s="40">
        <v>96.504930000000002</v>
      </c>
      <c r="AQ350" s="40">
        <v>97.55228000000001</v>
      </c>
      <c r="AR350" s="40">
        <v>97.614990000000006</v>
      </c>
      <c r="AS350" s="40">
        <v>97.408739999999995</v>
      </c>
      <c r="AT350" s="40">
        <v>97.175517999999997</v>
      </c>
      <c r="AU350" s="40">
        <v>92.006249999999994</v>
      </c>
      <c r="AV350" s="40">
        <v>95.026440000000008</v>
      </c>
      <c r="AW350" s="40">
        <v>96.230880000000013</v>
      </c>
      <c r="AX350" s="40">
        <v>97.381270000000001</v>
      </c>
      <c r="AY350" s="40">
        <v>97.543800000000005</v>
      </c>
      <c r="AZ350" s="40">
        <v>97.410729999999987</v>
      </c>
      <c r="BA350" s="40">
        <v>96.998094800000004</v>
      </c>
      <c r="BB350" s="180">
        <v>43661</v>
      </c>
      <c r="BC350" s="180"/>
    </row>
    <row r="351" spans="1:55" s="44" customFormat="1" ht="60">
      <c r="A351" s="18" t="s">
        <v>273</v>
      </c>
      <c r="B351" s="18" t="s">
        <v>1713</v>
      </c>
      <c r="C351" s="23" t="s">
        <v>10</v>
      </c>
      <c r="D351" s="23" t="s">
        <v>10</v>
      </c>
      <c r="E351" s="23" t="s">
        <v>10</v>
      </c>
      <c r="F351" s="23" t="s">
        <v>11</v>
      </c>
      <c r="G351" s="18" t="s">
        <v>1693</v>
      </c>
      <c r="H351" s="19">
        <v>0.24</v>
      </c>
      <c r="I351" s="37">
        <v>208</v>
      </c>
      <c r="J351" s="19">
        <v>97</v>
      </c>
      <c r="K351" s="20" t="s">
        <v>1219</v>
      </c>
      <c r="L351" s="49" t="s">
        <v>1678</v>
      </c>
      <c r="M351" s="38" t="s">
        <v>1679</v>
      </c>
      <c r="N351" s="124">
        <v>43661</v>
      </c>
      <c r="O351" s="38" t="s">
        <v>1678</v>
      </c>
      <c r="P351" s="38" t="s">
        <v>17</v>
      </c>
      <c r="Q351" s="38" t="s">
        <v>17</v>
      </c>
      <c r="R351" s="151" t="s">
        <v>27</v>
      </c>
      <c r="S351" s="39" t="s">
        <v>11</v>
      </c>
      <c r="T351" s="39" t="s">
        <v>10</v>
      </c>
      <c r="U351" s="153">
        <v>2.5000000000000001E-2</v>
      </c>
      <c r="V351" s="153"/>
      <c r="W351" s="153"/>
      <c r="X351" s="153">
        <v>27</v>
      </c>
      <c r="Y351" s="153">
        <v>32</v>
      </c>
      <c r="Z351" s="153">
        <v>37</v>
      </c>
      <c r="AA351" s="40">
        <v>2.4E-2</v>
      </c>
      <c r="AB351" s="40">
        <v>4.8000000000000001E-2</v>
      </c>
      <c r="AC351" s="40">
        <v>7.1999999999999995E-2</v>
      </c>
      <c r="AD351" s="40">
        <v>0.12</v>
      </c>
      <c r="AE351" s="40">
        <v>0.18</v>
      </c>
      <c r="AF351" s="40">
        <v>0.24</v>
      </c>
      <c r="AG351" s="40">
        <v>94.204329999999999</v>
      </c>
      <c r="AH351" s="40">
        <v>96.226399999999984</v>
      </c>
      <c r="AI351" s="40">
        <v>97.02145999999999</v>
      </c>
      <c r="AJ351" s="40">
        <v>97.553879999999992</v>
      </c>
      <c r="AK351" s="40">
        <v>97.414230000000003</v>
      </c>
      <c r="AL351" s="40">
        <v>96.959759999999989</v>
      </c>
      <c r="AM351" s="40">
        <v>97.185913100000008</v>
      </c>
      <c r="AN351" s="40">
        <v>93.324760000000012</v>
      </c>
      <c r="AO351" s="40">
        <v>95.734390000000005</v>
      </c>
      <c r="AP351" s="40">
        <v>96.756340000000009</v>
      </c>
      <c r="AQ351" s="40">
        <v>97.463930000000005</v>
      </c>
      <c r="AR351" s="40">
        <v>97.41528000000001</v>
      </c>
      <c r="AS351" s="40">
        <v>97.056359999999998</v>
      </c>
      <c r="AT351" s="40">
        <v>97.080812400000013</v>
      </c>
      <c r="AU351" s="40">
        <v>92.419209999999993</v>
      </c>
      <c r="AV351" s="40">
        <v>95.095890000000026</v>
      </c>
      <c r="AW351" s="40">
        <v>96.538389999999993</v>
      </c>
      <c r="AX351" s="40">
        <v>97.353760000000008</v>
      </c>
      <c r="AY351" s="40">
        <v>97.337369999999993</v>
      </c>
      <c r="AZ351" s="40">
        <v>97.025310000000019</v>
      </c>
      <c r="BA351" s="40">
        <v>96.920530900000003</v>
      </c>
      <c r="BB351" s="180">
        <v>43661</v>
      </c>
      <c r="BC351" s="180"/>
    </row>
    <row r="352" spans="1:55" s="44" customFormat="1" ht="60">
      <c r="A352" s="18" t="s">
        <v>273</v>
      </c>
      <c r="B352" s="18" t="s">
        <v>1714</v>
      </c>
      <c r="C352" s="23" t="s">
        <v>10</v>
      </c>
      <c r="D352" s="23" t="s">
        <v>10</v>
      </c>
      <c r="E352" s="23" t="s">
        <v>10</v>
      </c>
      <c r="F352" s="23" t="s">
        <v>11</v>
      </c>
      <c r="G352" s="18" t="s">
        <v>1699</v>
      </c>
      <c r="H352" s="19">
        <v>0.24</v>
      </c>
      <c r="I352" s="37">
        <v>240</v>
      </c>
      <c r="J352" s="19">
        <v>97</v>
      </c>
      <c r="K352" s="20" t="s">
        <v>1219</v>
      </c>
      <c r="L352" s="49" t="s">
        <v>1678</v>
      </c>
      <c r="M352" s="38" t="s">
        <v>1679</v>
      </c>
      <c r="N352" s="124">
        <v>43661</v>
      </c>
      <c r="O352" s="38" t="s">
        <v>1678</v>
      </c>
      <c r="P352" s="38" t="s">
        <v>17</v>
      </c>
      <c r="Q352" s="38" t="s">
        <v>17</v>
      </c>
      <c r="R352" s="151" t="s">
        <v>27</v>
      </c>
      <c r="S352" s="39" t="s">
        <v>11</v>
      </c>
      <c r="T352" s="39" t="s">
        <v>10</v>
      </c>
      <c r="U352" s="153">
        <v>2.5000000000000001E-2</v>
      </c>
      <c r="V352" s="153"/>
      <c r="W352" s="153"/>
      <c r="X352" s="153">
        <v>27</v>
      </c>
      <c r="Y352" s="153">
        <v>32</v>
      </c>
      <c r="Z352" s="153">
        <v>37</v>
      </c>
      <c r="AA352" s="40">
        <v>2.4E-2</v>
      </c>
      <c r="AB352" s="40">
        <v>4.8000000000000001E-2</v>
      </c>
      <c r="AC352" s="40">
        <v>7.1999999999999995E-2</v>
      </c>
      <c r="AD352" s="40">
        <v>0.12</v>
      </c>
      <c r="AE352" s="40">
        <v>0.18</v>
      </c>
      <c r="AF352" s="40">
        <v>0.24</v>
      </c>
      <c r="AG352" s="40">
        <v>93.945300000000003</v>
      </c>
      <c r="AH352" s="40">
        <v>96.08005</v>
      </c>
      <c r="AI352" s="40">
        <v>96.814459999999983</v>
      </c>
      <c r="AJ352" s="40">
        <v>97.474629999999991</v>
      </c>
      <c r="AK352" s="40">
        <v>97.419160000000005</v>
      </c>
      <c r="AL352" s="40">
        <v>97.02876999999998</v>
      </c>
      <c r="AM352" s="40">
        <v>97.132815300000004</v>
      </c>
      <c r="AN352" s="40">
        <v>92.990709999999993</v>
      </c>
      <c r="AO352" s="40">
        <v>95.658750000000012</v>
      </c>
      <c r="AP352" s="40">
        <v>96.504930000000002</v>
      </c>
      <c r="AQ352" s="40">
        <v>97.55228000000001</v>
      </c>
      <c r="AR352" s="40">
        <v>97.614990000000006</v>
      </c>
      <c r="AS352" s="40">
        <v>97.408739999999995</v>
      </c>
      <c r="AT352" s="40">
        <v>97.175517999999997</v>
      </c>
      <c r="AU352" s="40">
        <v>92.006249999999994</v>
      </c>
      <c r="AV352" s="40">
        <v>95.026440000000008</v>
      </c>
      <c r="AW352" s="40">
        <v>96.230880000000013</v>
      </c>
      <c r="AX352" s="40">
        <v>97.381270000000001</v>
      </c>
      <c r="AY352" s="40">
        <v>97.543800000000005</v>
      </c>
      <c r="AZ352" s="40">
        <v>97.410729999999987</v>
      </c>
      <c r="BA352" s="40">
        <v>96.998094800000004</v>
      </c>
      <c r="BB352" s="180">
        <v>43661</v>
      </c>
      <c r="BC352" s="180"/>
    </row>
    <row r="353" spans="1:55" s="44" customFormat="1" ht="60">
      <c r="A353" s="18" t="s">
        <v>273</v>
      </c>
      <c r="B353" s="18" t="s">
        <v>1715</v>
      </c>
      <c r="C353" s="23" t="s">
        <v>10</v>
      </c>
      <c r="D353" s="23" t="s">
        <v>10</v>
      </c>
      <c r="E353" s="23" t="s">
        <v>10</v>
      </c>
      <c r="F353" s="23" t="s">
        <v>11</v>
      </c>
      <c r="G353" s="18" t="s">
        <v>1681</v>
      </c>
      <c r="H353" s="19">
        <v>0.24</v>
      </c>
      <c r="I353" s="37">
        <v>208</v>
      </c>
      <c r="J353" s="19">
        <v>97</v>
      </c>
      <c r="K353" s="20" t="s">
        <v>1219</v>
      </c>
      <c r="L353" s="49" t="s">
        <v>1678</v>
      </c>
      <c r="M353" s="38" t="s">
        <v>1679</v>
      </c>
      <c r="N353" s="124">
        <v>43661</v>
      </c>
      <c r="O353" s="38" t="s">
        <v>1678</v>
      </c>
      <c r="P353" s="38" t="s">
        <v>17</v>
      </c>
      <c r="Q353" s="38" t="s">
        <v>17</v>
      </c>
      <c r="R353" s="151" t="s">
        <v>27</v>
      </c>
      <c r="S353" s="39" t="s">
        <v>11</v>
      </c>
      <c r="T353" s="39" t="s">
        <v>10</v>
      </c>
      <c r="U353" s="153">
        <v>2.5000000000000001E-2</v>
      </c>
      <c r="V353" s="153"/>
      <c r="W353" s="153"/>
      <c r="X353" s="153">
        <v>27</v>
      </c>
      <c r="Y353" s="153">
        <v>32</v>
      </c>
      <c r="Z353" s="153">
        <v>37</v>
      </c>
      <c r="AA353" s="40">
        <v>2.4E-2</v>
      </c>
      <c r="AB353" s="40">
        <v>4.8000000000000001E-2</v>
      </c>
      <c r="AC353" s="40">
        <v>7.1999999999999995E-2</v>
      </c>
      <c r="AD353" s="40">
        <v>0.12</v>
      </c>
      <c r="AE353" s="40">
        <v>0.18</v>
      </c>
      <c r="AF353" s="40">
        <v>0.24</v>
      </c>
      <c r="AG353" s="40">
        <v>94.204329999999999</v>
      </c>
      <c r="AH353" s="40">
        <v>96.226399999999984</v>
      </c>
      <c r="AI353" s="40">
        <v>97.02145999999999</v>
      </c>
      <c r="AJ353" s="40">
        <v>97.553879999999992</v>
      </c>
      <c r="AK353" s="40">
        <v>97.414230000000003</v>
      </c>
      <c r="AL353" s="40">
        <v>96.959759999999989</v>
      </c>
      <c r="AM353" s="40">
        <v>97.185913100000008</v>
      </c>
      <c r="AN353" s="40">
        <v>93.324760000000012</v>
      </c>
      <c r="AO353" s="40">
        <v>95.734390000000005</v>
      </c>
      <c r="AP353" s="40">
        <v>96.756340000000009</v>
      </c>
      <c r="AQ353" s="40">
        <v>97.463930000000005</v>
      </c>
      <c r="AR353" s="40">
        <v>97.41528000000001</v>
      </c>
      <c r="AS353" s="40">
        <v>97.056359999999998</v>
      </c>
      <c r="AT353" s="40">
        <v>97.080812400000013</v>
      </c>
      <c r="AU353" s="40">
        <v>92.419209999999993</v>
      </c>
      <c r="AV353" s="40">
        <v>95.095890000000026</v>
      </c>
      <c r="AW353" s="40">
        <v>96.538389999999993</v>
      </c>
      <c r="AX353" s="40">
        <v>97.353760000000008</v>
      </c>
      <c r="AY353" s="40">
        <v>97.337369999999993</v>
      </c>
      <c r="AZ353" s="40">
        <v>97.025310000000019</v>
      </c>
      <c r="BA353" s="40">
        <v>96.920530900000003</v>
      </c>
      <c r="BB353" s="180">
        <v>43661</v>
      </c>
      <c r="BC353" s="180"/>
    </row>
    <row r="354" spans="1:55" s="44" customFormat="1" ht="60">
      <c r="A354" s="18" t="s">
        <v>273</v>
      </c>
      <c r="B354" s="18" t="s">
        <v>1716</v>
      </c>
      <c r="C354" s="23" t="s">
        <v>10</v>
      </c>
      <c r="D354" s="23" t="s">
        <v>10</v>
      </c>
      <c r="E354" s="23" t="s">
        <v>10</v>
      </c>
      <c r="F354" s="23" t="s">
        <v>11</v>
      </c>
      <c r="G354" s="18" t="s">
        <v>1686</v>
      </c>
      <c r="H354" s="19">
        <v>0.24</v>
      </c>
      <c r="I354" s="37">
        <v>240</v>
      </c>
      <c r="J354" s="19">
        <v>97</v>
      </c>
      <c r="K354" s="20" t="s">
        <v>1219</v>
      </c>
      <c r="L354" s="49" t="s">
        <v>1678</v>
      </c>
      <c r="M354" s="38" t="s">
        <v>1679</v>
      </c>
      <c r="N354" s="124">
        <v>43661</v>
      </c>
      <c r="O354" s="38" t="s">
        <v>1678</v>
      </c>
      <c r="P354" s="38" t="s">
        <v>17</v>
      </c>
      <c r="Q354" s="38" t="s">
        <v>17</v>
      </c>
      <c r="R354" s="151" t="s">
        <v>27</v>
      </c>
      <c r="S354" s="39" t="s">
        <v>11</v>
      </c>
      <c r="T354" s="39" t="s">
        <v>10</v>
      </c>
      <c r="U354" s="153">
        <v>2.5000000000000001E-2</v>
      </c>
      <c r="V354" s="153"/>
      <c r="W354" s="153"/>
      <c r="X354" s="153">
        <v>27</v>
      </c>
      <c r="Y354" s="153">
        <v>32</v>
      </c>
      <c r="Z354" s="153">
        <v>37</v>
      </c>
      <c r="AA354" s="40">
        <v>2.4E-2</v>
      </c>
      <c r="AB354" s="40">
        <v>4.8000000000000001E-2</v>
      </c>
      <c r="AC354" s="40">
        <v>7.1999999999999995E-2</v>
      </c>
      <c r="AD354" s="40">
        <v>0.12</v>
      </c>
      <c r="AE354" s="40">
        <v>0.18</v>
      </c>
      <c r="AF354" s="40">
        <v>0.24</v>
      </c>
      <c r="AG354" s="40">
        <v>93.945300000000003</v>
      </c>
      <c r="AH354" s="40">
        <v>96.08005</v>
      </c>
      <c r="AI354" s="40">
        <v>96.814459999999983</v>
      </c>
      <c r="AJ354" s="40">
        <v>97.474629999999991</v>
      </c>
      <c r="AK354" s="40">
        <v>97.419160000000005</v>
      </c>
      <c r="AL354" s="40">
        <v>97.02876999999998</v>
      </c>
      <c r="AM354" s="40">
        <v>97.132815300000004</v>
      </c>
      <c r="AN354" s="40">
        <v>92.990709999999993</v>
      </c>
      <c r="AO354" s="40">
        <v>95.658750000000012</v>
      </c>
      <c r="AP354" s="40">
        <v>96.504930000000002</v>
      </c>
      <c r="AQ354" s="40">
        <v>97.55228000000001</v>
      </c>
      <c r="AR354" s="40">
        <v>97.614990000000006</v>
      </c>
      <c r="AS354" s="40">
        <v>97.408739999999995</v>
      </c>
      <c r="AT354" s="40">
        <v>97.175517999999997</v>
      </c>
      <c r="AU354" s="40">
        <v>92.006249999999994</v>
      </c>
      <c r="AV354" s="40">
        <v>95.026440000000008</v>
      </c>
      <c r="AW354" s="40">
        <v>96.230880000000013</v>
      </c>
      <c r="AX354" s="40">
        <v>97.381270000000001</v>
      </c>
      <c r="AY354" s="40">
        <v>97.543800000000005</v>
      </c>
      <c r="AZ354" s="40">
        <v>97.410729999999987</v>
      </c>
      <c r="BA354" s="40">
        <v>96.998094800000004</v>
      </c>
      <c r="BB354" s="180">
        <v>43661</v>
      </c>
      <c r="BC354" s="180"/>
    </row>
    <row r="355" spans="1:55" s="44" customFormat="1" ht="60">
      <c r="A355" s="18" t="s">
        <v>273</v>
      </c>
      <c r="B355" s="18" t="s">
        <v>1717</v>
      </c>
      <c r="C355" s="23" t="s">
        <v>10</v>
      </c>
      <c r="D355" s="23" t="s">
        <v>10</v>
      </c>
      <c r="E355" s="23" t="s">
        <v>10</v>
      </c>
      <c r="F355" s="23" t="s">
        <v>11</v>
      </c>
      <c r="G355" s="18" t="s">
        <v>1694</v>
      </c>
      <c r="H355" s="19">
        <v>0.24</v>
      </c>
      <c r="I355" s="37">
        <v>208</v>
      </c>
      <c r="J355" s="19">
        <v>97</v>
      </c>
      <c r="K355" s="20" t="s">
        <v>1219</v>
      </c>
      <c r="L355" s="49" t="s">
        <v>1678</v>
      </c>
      <c r="M355" s="38" t="s">
        <v>1679</v>
      </c>
      <c r="N355" s="124">
        <v>43661</v>
      </c>
      <c r="O355" s="38" t="s">
        <v>1678</v>
      </c>
      <c r="P355" s="38" t="s">
        <v>17</v>
      </c>
      <c r="Q355" s="38" t="s">
        <v>17</v>
      </c>
      <c r="R355" s="151" t="s">
        <v>27</v>
      </c>
      <c r="S355" s="39" t="s">
        <v>11</v>
      </c>
      <c r="T355" s="39" t="s">
        <v>10</v>
      </c>
      <c r="U355" s="153">
        <v>2.5000000000000001E-2</v>
      </c>
      <c r="V355" s="153"/>
      <c r="W355" s="153"/>
      <c r="X355" s="153">
        <v>27</v>
      </c>
      <c r="Y355" s="153">
        <v>32</v>
      </c>
      <c r="Z355" s="153">
        <v>37</v>
      </c>
      <c r="AA355" s="40">
        <v>2.4E-2</v>
      </c>
      <c r="AB355" s="40">
        <v>4.8000000000000001E-2</v>
      </c>
      <c r="AC355" s="40">
        <v>7.1999999999999995E-2</v>
      </c>
      <c r="AD355" s="40">
        <v>0.12</v>
      </c>
      <c r="AE355" s="40">
        <v>0.18</v>
      </c>
      <c r="AF355" s="40">
        <v>0.24</v>
      </c>
      <c r="AG355" s="40">
        <v>94.204329999999999</v>
      </c>
      <c r="AH355" s="40">
        <v>96.226399999999984</v>
      </c>
      <c r="AI355" s="40">
        <v>97.02145999999999</v>
      </c>
      <c r="AJ355" s="40">
        <v>97.553879999999992</v>
      </c>
      <c r="AK355" s="40">
        <v>97.414230000000003</v>
      </c>
      <c r="AL355" s="40">
        <v>96.959759999999989</v>
      </c>
      <c r="AM355" s="40">
        <v>97.185913100000008</v>
      </c>
      <c r="AN355" s="40">
        <v>93.324760000000012</v>
      </c>
      <c r="AO355" s="40">
        <v>95.734390000000005</v>
      </c>
      <c r="AP355" s="40">
        <v>96.756340000000009</v>
      </c>
      <c r="AQ355" s="40">
        <v>97.463930000000005</v>
      </c>
      <c r="AR355" s="40">
        <v>97.41528000000001</v>
      </c>
      <c r="AS355" s="40">
        <v>97.056359999999998</v>
      </c>
      <c r="AT355" s="40">
        <v>97.080812400000013</v>
      </c>
      <c r="AU355" s="40">
        <v>92.419209999999993</v>
      </c>
      <c r="AV355" s="40">
        <v>95.095890000000026</v>
      </c>
      <c r="AW355" s="40">
        <v>96.538389999999993</v>
      </c>
      <c r="AX355" s="40">
        <v>97.353760000000008</v>
      </c>
      <c r="AY355" s="40">
        <v>97.337369999999993</v>
      </c>
      <c r="AZ355" s="40">
        <v>97.025310000000019</v>
      </c>
      <c r="BA355" s="40">
        <v>96.920530900000003</v>
      </c>
      <c r="BB355" s="180">
        <v>43661</v>
      </c>
      <c r="BC355" s="180"/>
    </row>
    <row r="356" spans="1:55" s="44" customFormat="1" ht="60">
      <c r="A356" s="18" t="s">
        <v>273</v>
      </c>
      <c r="B356" s="18" t="s">
        <v>1718</v>
      </c>
      <c r="C356" s="23" t="s">
        <v>10</v>
      </c>
      <c r="D356" s="23" t="s">
        <v>10</v>
      </c>
      <c r="E356" s="23" t="s">
        <v>10</v>
      </c>
      <c r="F356" s="23" t="s">
        <v>11</v>
      </c>
      <c r="G356" s="18" t="s">
        <v>1700</v>
      </c>
      <c r="H356" s="19">
        <v>0.24</v>
      </c>
      <c r="I356" s="37">
        <v>240</v>
      </c>
      <c r="J356" s="19">
        <v>97</v>
      </c>
      <c r="K356" s="20" t="s">
        <v>1219</v>
      </c>
      <c r="L356" s="49" t="s">
        <v>1678</v>
      </c>
      <c r="M356" s="38" t="s">
        <v>1679</v>
      </c>
      <c r="N356" s="124">
        <v>43661</v>
      </c>
      <c r="O356" s="38" t="s">
        <v>1678</v>
      </c>
      <c r="P356" s="38" t="s">
        <v>17</v>
      </c>
      <c r="Q356" s="38" t="s">
        <v>17</v>
      </c>
      <c r="R356" s="151" t="s">
        <v>27</v>
      </c>
      <c r="S356" s="39" t="s">
        <v>11</v>
      </c>
      <c r="T356" s="39" t="s">
        <v>10</v>
      </c>
      <c r="U356" s="153">
        <v>2.5000000000000001E-2</v>
      </c>
      <c r="V356" s="153"/>
      <c r="W356" s="153"/>
      <c r="X356" s="153">
        <v>27</v>
      </c>
      <c r="Y356" s="153">
        <v>32</v>
      </c>
      <c r="Z356" s="153">
        <v>37</v>
      </c>
      <c r="AA356" s="40">
        <v>2.4E-2</v>
      </c>
      <c r="AB356" s="40">
        <v>4.8000000000000001E-2</v>
      </c>
      <c r="AC356" s="40">
        <v>7.1999999999999995E-2</v>
      </c>
      <c r="AD356" s="40">
        <v>0.12</v>
      </c>
      <c r="AE356" s="40">
        <v>0.18</v>
      </c>
      <c r="AF356" s="40">
        <v>0.24</v>
      </c>
      <c r="AG356" s="40">
        <v>93.945300000000003</v>
      </c>
      <c r="AH356" s="40">
        <v>96.08005</v>
      </c>
      <c r="AI356" s="40">
        <v>96.814459999999983</v>
      </c>
      <c r="AJ356" s="40">
        <v>97.474629999999991</v>
      </c>
      <c r="AK356" s="40">
        <v>97.419160000000005</v>
      </c>
      <c r="AL356" s="40">
        <v>97.02876999999998</v>
      </c>
      <c r="AM356" s="40">
        <v>97.132815300000004</v>
      </c>
      <c r="AN356" s="40">
        <v>92.990709999999993</v>
      </c>
      <c r="AO356" s="40">
        <v>95.658750000000012</v>
      </c>
      <c r="AP356" s="40">
        <v>96.504930000000002</v>
      </c>
      <c r="AQ356" s="40">
        <v>97.55228000000001</v>
      </c>
      <c r="AR356" s="40">
        <v>97.614990000000006</v>
      </c>
      <c r="AS356" s="40">
        <v>97.408739999999995</v>
      </c>
      <c r="AT356" s="40">
        <v>97.175517999999997</v>
      </c>
      <c r="AU356" s="40">
        <v>92.006249999999994</v>
      </c>
      <c r="AV356" s="40">
        <v>95.026440000000008</v>
      </c>
      <c r="AW356" s="40">
        <v>96.230880000000013</v>
      </c>
      <c r="AX356" s="40">
        <v>97.381270000000001</v>
      </c>
      <c r="AY356" s="40">
        <v>97.543800000000005</v>
      </c>
      <c r="AZ356" s="40">
        <v>97.410729999999987</v>
      </c>
      <c r="BA356" s="40">
        <v>96.998094800000004</v>
      </c>
      <c r="BB356" s="180">
        <v>43661</v>
      </c>
      <c r="BC356" s="180"/>
    </row>
    <row r="357" spans="1:55" s="44" customFormat="1" ht="60">
      <c r="A357" s="18" t="s">
        <v>273</v>
      </c>
      <c r="B357" s="18" t="s">
        <v>1719</v>
      </c>
      <c r="C357" s="23" t="s">
        <v>10</v>
      </c>
      <c r="D357" s="23" t="s">
        <v>10</v>
      </c>
      <c r="E357" s="23" t="s">
        <v>10</v>
      </c>
      <c r="F357" s="23" t="s">
        <v>11</v>
      </c>
      <c r="G357" s="18" t="s">
        <v>1682</v>
      </c>
      <c r="H357" s="19">
        <v>0.24</v>
      </c>
      <c r="I357" s="37">
        <v>208</v>
      </c>
      <c r="J357" s="19">
        <v>97</v>
      </c>
      <c r="K357" s="20" t="s">
        <v>1219</v>
      </c>
      <c r="L357" s="49" t="s">
        <v>1678</v>
      </c>
      <c r="M357" s="38" t="s">
        <v>1679</v>
      </c>
      <c r="N357" s="124">
        <v>43661</v>
      </c>
      <c r="O357" s="38" t="s">
        <v>1678</v>
      </c>
      <c r="P357" s="38" t="s">
        <v>17</v>
      </c>
      <c r="Q357" s="38" t="s">
        <v>17</v>
      </c>
      <c r="R357" s="151" t="s">
        <v>27</v>
      </c>
      <c r="S357" s="39" t="s">
        <v>11</v>
      </c>
      <c r="T357" s="39" t="s">
        <v>10</v>
      </c>
      <c r="U357" s="153">
        <v>2.5000000000000001E-2</v>
      </c>
      <c r="V357" s="153"/>
      <c r="W357" s="153"/>
      <c r="X357" s="153">
        <v>27</v>
      </c>
      <c r="Y357" s="153">
        <v>32</v>
      </c>
      <c r="Z357" s="153">
        <v>37</v>
      </c>
      <c r="AA357" s="40">
        <v>2.4E-2</v>
      </c>
      <c r="AB357" s="40">
        <v>4.8000000000000001E-2</v>
      </c>
      <c r="AC357" s="40">
        <v>7.1999999999999995E-2</v>
      </c>
      <c r="AD357" s="40">
        <v>0.12</v>
      </c>
      <c r="AE357" s="40">
        <v>0.18</v>
      </c>
      <c r="AF357" s="40">
        <v>0.24</v>
      </c>
      <c r="AG357" s="40">
        <v>94.204329999999999</v>
      </c>
      <c r="AH357" s="40">
        <v>96.226399999999984</v>
      </c>
      <c r="AI357" s="40">
        <v>97.02145999999999</v>
      </c>
      <c r="AJ357" s="40">
        <v>97.553879999999992</v>
      </c>
      <c r="AK357" s="40">
        <v>97.414230000000003</v>
      </c>
      <c r="AL357" s="40">
        <v>96.959759999999989</v>
      </c>
      <c r="AM357" s="40">
        <v>97.185913100000008</v>
      </c>
      <c r="AN357" s="40">
        <v>93.324760000000012</v>
      </c>
      <c r="AO357" s="40">
        <v>95.734390000000005</v>
      </c>
      <c r="AP357" s="40">
        <v>96.756340000000009</v>
      </c>
      <c r="AQ357" s="40">
        <v>97.463930000000005</v>
      </c>
      <c r="AR357" s="40">
        <v>97.41528000000001</v>
      </c>
      <c r="AS357" s="40">
        <v>97.056359999999998</v>
      </c>
      <c r="AT357" s="40">
        <v>97.080812400000013</v>
      </c>
      <c r="AU357" s="40">
        <v>92.419209999999993</v>
      </c>
      <c r="AV357" s="40">
        <v>95.095890000000026</v>
      </c>
      <c r="AW357" s="40">
        <v>96.538389999999993</v>
      </c>
      <c r="AX357" s="40">
        <v>97.353760000000008</v>
      </c>
      <c r="AY357" s="40">
        <v>97.337369999999993</v>
      </c>
      <c r="AZ357" s="40">
        <v>97.025310000000019</v>
      </c>
      <c r="BA357" s="40">
        <v>96.920530900000003</v>
      </c>
      <c r="BB357" s="180">
        <v>43661</v>
      </c>
      <c r="BC357" s="180"/>
    </row>
    <row r="358" spans="1:55" s="44" customFormat="1" ht="60">
      <c r="A358" s="18" t="s">
        <v>273</v>
      </c>
      <c r="B358" s="18" t="s">
        <v>1720</v>
      </c>
      <c r="C358" s="23" t="s">
        <v>10</v>
      </c>
      <c r="D358" s="23" t="s">
        <v>10</v>
      </c>
      <c r="E358" s="23" t="s">
        <v>10</v>
      </c>
      <c r="F358" s="23" t="s">
        <v>11</v>
      </c>
      <c r="G358" s="18" t="s">
        <v>1687</v>
      </c>
      <c r="H358" s="19">
        <v>0.24</v>
      </c>
      <c r="I358" s="37">
        <v>240</v>
      </c>
      <c r="J358" s="19">
        <v>97</v>
      </c>
      <c r="K358" s="20" t="s">
        <v>1219</v>
      </c>
      <c r="L358" s="49" t="s">
        <v>1678</v>
      </c>
      <c r="M358" s="38" t="s">
        <v>1679</v>
      </c>
      <c r="N358" s="124">
        <v>43661</v>
      </c>
      <c r="O358" s="38" t="s">
        <v>1678</v>
      </c>
      <c r="P358" s="38" t="s">
        <v>17</v>
      </c>
      <c r="Q358" s="38" t="s">
        <v>17</v>
      </c>
      <c r="R358" s="151" t="s">
        <v>27</v>
      </c>
      <c r="S358" s="39" t="s">
        <v>11</v>
      </c>
      <c r="T358" s="39" t="s">
        <v>10</v>
      </c>
      <c r="U358" s="153">
        <v>2.5000000000000001E-2</v>
      </c>
      <c r="V358" s="153"/>
      <c r="W358" s="153"/>
      <c r="X358" s="153">
        <v>27</v>
      </c>
      <c r="Y358" s="153">
        <v>32</v>
      </c>
      <c r="Z358" s="153">
        <v>37</v>
      </c>
      <c r="AA358" s="40">
        <v>2.4E-2</v>
      </c>
      <c r="AB358" s="40">
        <v>4.8000000000000001E-2</v>
      </c>
      <c r="AC358" s="40">
        <v>7.1999999999999995E-2</v>
      </c>
      <c r="AD358" s="40">
        <v>0.12</v>
      </c>
      <c r="AE358" s="40">
        <v>0.18</v>
      </c>
      <c r="AF358" s="40">
        <v>0.24</v>
      </c>
      <c r="AG358" s="40">
        <v>93.945300000000003</v>
      </c>
      <c r="AH358" s="40">
        <v>96.08005</v>
      </c>
      <c r="AI358" s="40">
        <v>96.814459999999983</v>
      </c>
      <c r="AJ358" s="40">
        <v>97.474629999999991</v>
      </c>
      <c r="AK358" s="40">
        <v>97.419160000000005</v>
      </c>
      <c r="AL358" s="40">
        <v>97.02876999999998</v>
      </c>
      <c r="AM358" s="40">
        <v>97.132815300000004</v>
      </c>
      <c r="AN358" s="40">
        <v>92.990709999999993</v>
      </c>
      <c r="AO358" s="40">
        <v>95.658750000000012</v>
      </c>
      <c r="AP358" s="40">
        <v>96.504930000000002</v>
      </c>
      <c r="AQ358" s="40">
        <v>97.55228000000001</v>
      </c>
      <c r="AR358" s="40">
        <v>97.614990000000006</v>
      </c>
      <c r="AS358" s="40">
        <v>97.408739999999995</v>
      </c>
      <c r="AT358" s="40">
        <v>97.175517999999997</v>
      </c>
      <c r="AU358" s="40">
        <v>92.006249999999994</v>
      </c>
      <c r="AV358" s="40">
        <v>95.026440000000008</v>
      </c>
      <c r="AW358" s="40">
        <v>96.230880000000013</v>
      </c>
      <c r="AX358" s="40">
        <v>97.381270000000001</v>
      </c>
      <c r="AY358" s="40">
        <v>97.543800000000005</v>
      </c>
      <c r="AZ358" s="40">
        <v>97.410729999999987</v>
      </c>
      <c r="BA358" s="40">
        <v>96.998094800000004</v>
      </c>
      <c r="BB358" s="180">
        <v>43661</v>
      </c>
      <c r="BC358" s="180"/>
    </row>
    <row r="359" spans="1:55" s="44" customFormat="1" ht="60">
      <c r="A359" s="18" t="s">
        <v>273</v>
      </c>
      <c r="B359" s="18" t="s">
        <v>1721</v>
      </c>
      <c r="C359" s="23" t="s">
        <v>10</v>
      </c>
      <c r="D359" s="23" t="s">
        <v>10</v>
      </c>
      <c r="E359" s="23" t="s">
        <v>10</v>
      </c>
      <c r="F359" s="23" t="s">
        <v>11</v>
      </c>
      <c r="G359" s="18" t="s">
        <v>1695</v>
      </c>
      <c r="H359" s="19">
        <v>0.24</v>
      </c>
      <c r="I359" s="37">
        <v>208</v>
      </c>
      <c r="J359" s="19">
        <v>97</v>
      </c>
      <c r="K359" s="20" t="s">
        <v>1219</v>
      </c>
      <c r="L359" s="49" t="s">
        <v>1678</v>
      </c>
      <c r="M359" s="38" t="s">
        <v>1679</v>
      </c>
      <c r="N359" s="124">
        <v>43661</v>
      </c>
      <c r="O359" s="38" t="s">
        <v>1678</v>
      </c>
      <c r="P359" s="38" t="s">
        <v>17</v>
      </c>
      <c r="Q359" s="38" t="s">
        <v>17</v>
      </c>
      <c r="R359" s="151" t="s">
        <v>27</v>
      </c>
      <c r="S359" s="39" t="s">
        <v>11</v>
      </c>
      <c r="T359" s="39" t="s">
        <v>10</v>
      </c>
      <c r="U359" s="153">
        <v>2.5000000000000001E-2</v>
      </c>
      <c r="V359" s="153"/>
      <c r="W359" s="153"/>
      <c r="X359" s="153">
        <v>27</v>
      </c>
      <c r="Y359" s="153">
        <v>32</v>
      </c>
      <c r="Z359" s="153">
        <v>37</v>
      </c>
      <c r="AA359" s="40">
        <v>2.4E-2</v>
      </c>
      <c r="AB359" s="40">
        <v>4.8000000000000001E-2</v>
      </c>
      <c r="AC359" s="40">
        <v>7.1999999999999995E-2</v>
      </c>
      <c r="AD359" s="40">
        <v>0.12</v>
      </c>
      <c r="AE359" s="40">
        <v>0.18</v>
      </c>
      <c r="AF359" s="40">
        <v>0.24</v>
      </c>
      <c r="AG359" s="40">
        <v>94.204329999999999</v>
      </c>
      <c r="AH359" s="40">
        <v>96.226399999999984</v>
      </c>
      <c r="AI359" s="40">
        <v>97.02145999999999</v>
      </c>
      <c r="AJ359" s="40">
        <v>97.553879999999992</v>
      </c>
      <c r="AK359" s="40">
        <v>97.414230000000003</v>
      </c>
      <c r="AL359" s="40">
        <v>96.959759999999989</v>
      </c>
      <c r="AM359" s="40">
        <v>97.185913100000008</v>
      </c>
      <c r="AN359" s="40">
        <v>93.324760000000012</v>
      </c>
      <c r="AO359" s="40">
        <v>95.734390000000005</v>
      </c>
      <c r="AP359" s="40">
        <v>96.756340000000009</v>
      </c>
      <c r="AQ359" s="40">
        <v>97.463930000000005</v>
      </c>
      <c r="AR359" s="40">
        <v>97.41528000000001</v>
      </c>
      <c r="AS359" s="40">
        <v>97.056359999999998</v>
      </c>
      <c r="AT359" s="40">
        <v>97.080812400000013</v>
      </c>
      <c r="AU359" s="40">
        <v>92.419209999999993</v>
      </c>
      <c r="AV359" s="40">
        <v>95.095890000000026</v>
      </c>
      <c r="AW359" s="40">
        <v>96.538389999999993</v>
      </c>
      <c r="AX359" s="40">
        <v>97.353760000000008</v>
      </c>
      <c r="AY359" s="40">
        <v>97.337369999999993</v>
      </c>
      <c r="AZ359" s="40">
        <v>97.025310000000019</v>
      </c>
      <c r="BA359" s="40">
        <v>96.920530900000003</v>
      </c>
      <c r="BB359" s="180">
        <v>43661</v>
      </c>
      <c r="BC359" s="180"/>
    </row>
    <row r="360" spans="1:55" s="44" customFormat="1" ht="60">
      <c r="A360" s="18" t="s">
        <v>273</v>
      </c>
      <c r="B360" s="18" t="s">
        <v>1722</v>
      </c>
      <c r="C360" s="23" t="s">
        <v>10</v>
      </c>
      <c r="D360" s="23" t="s">
        <v>10</v>
      </c>
      <c r="E360" s="23" t="s">
        <v>10</v>
      </c>
      <c r="F360" s="23" t="s">
        <v>11</v>
      </c>
      <c r="G360" s="18" t="s">
        <v>1701</v>
      </c>
      <c r="H360" s="19">
        <v>0.24</v>
      </c>
      <c r="I360" s="37">
        <v>240</v>
      </c>
      <c r="J360" s="19">
        <v>97</v>
      </c>
      <c r="K360" s="20" t="s">
        <v>1219</v>
      </c>
      <c r="L360" s="49" t="s">
        <v>1678</v>
      </c>
      <c r="M360" s="38" t="s">
        <v>1679</v>
      </c>
      <c r="N360" s="124">
        <v>43661</v>
      </c>
      <c r="O360" s="38" t="s">
        <v>1678</v>
      </c>
      <c r="P360" s="38" t="s">
        <v>17</v>
      </c>
      <c r="Q360" s="38" t="s">
        <v>17</v>
      </c>
      <c r="R360" s="151" t="s">
        <v>27</v>
      </c>
      <c r="S360" s="39" t="s">
        <v>11</v>
      </c>
      <c r="T360" s="39" t="s">
        <v>10</v>
      </c>
      <c r="U360" s="153">
        <v>2.5000000000000001E-2</v>
      </c>
      <c r="V360" s="153"/>
      <c r="W360" s="153"/>
      <c r="X360" s="153">
        <v>27</v>
      </c>
      <c r="Y360" s="153">
        <v>32</v>
      </c>
      <c r="Z360" s="153">
        <v>37</v>
      </c>
      <c r="AA360" s="40">
        <v>2.4E-2</v>
      </c>
      <c r="AB360" s="40">
        <v>4.8000000000000001E-2</v>
      </c>
      <c r="AC360" s="40">
        <v>7.1999999999999995E-2</v>
      </c>
      <c r="AD360" s="40">
        <v>0.12</v>
      </c>
      <c r="AE360" s="40">
        <v>0.18</v>
      </c>
      <c r="AF360" s="40">
        <v>0.24</v>
      </c>
      <c r="AG360" s="40">
        <v>93.945300000000003</v>
      </c>
      <c r="AH360" s="40">
        <v>96.08005</v>
      </c>
      <c r="AI360" s="40">
        <v>96.814459999999983</v>
      </c>
      <c r="AJ360" s="40">
        <v>97.474629999999991</v>
      </c>
      <c r="AK360" s="40">
        <v>97.419160000000005</v>
      </c>
      <c r="AL360" s="40">
        <v>97.02876999999998</v>
      </c>
      <c r="AM360" s="40">
        <v>97.132815300000004</v>
      </c>
      <c r="AN360" s="40">
        <v>92.990709999999993</v>
      </c>
      <c r="AO360" s="40">
        <v>95.658750000000012</v>
      </c>
      <c r="AP360" s="40">
        <v>96.504930000000002</v>
      </c>
      <c r="AQ360" s="40">
        <v>97.55228000000001</v>
      </c>
      <c r="AR360" s="40">
        <v>97.614990000000006</v>
      </c>
      <c r="AS360" s="40">
        <v>97.408739999999995</v>
      </c>
      <c r="AT360" s="40">
        <v>97.175517999999997</v>
      </c>
      <c r="AU360" s="40">
        <v>92.006249999999994</v>
      </c>
      <c r="AV360" s="40">
        <v>95.026440000000008</v>
      </c>
      <c r="AW360" s="40">
        <v>96.230880000000013</v>
      </c>
      <c r="AX360" s="40">
        <v>97.381270000000001</v>
      </c>
      <c r="AY360" s="40">
        <v>97.543800000000005</v>
      </c>
      <c r="AZ360" s="40">
        <v>97.410729999999987</v>
      </c>
      <c r="BA360" s="40">
        <v>96.998094800000004</v>
      </c>
      <c r="BB360" s="180">
        <v>43661</v>
      </c>
      <c r="BC360" s="180"/>
    </row>
    <row r="361" spans="1:55" s="44" customFormat="1" ht="60">
      <c r="A361" s="18" t="s">
        <v>273</v>
      </c>
      <c r="B361" s="18" t="s">
        <v>1723</v>
      </c>
      <c r="C361" s="23" t="s">
        <v>10</v>
      </c>
      <c r="D361" s="23" t="s">
        <v>10</v>
      </c>
      <c r="E361" s="23" t="s">
        <v>10</v>
      </c>
      <c r="F361" s="23" t="s">
        <v>11</v>
      </c>
      <c r="G361" s="18" t="s">
        <v>1683</v>
      </c>
      <c r="H361" s="19">
        <v>0.24</v>
      </c>
      <c r="I361" s="37">
        <v>208</v>
      </c>
      <c r="J361" s="19">
        <v>97</v>
      </c>
      <c r="K361" s="20" t="s">
        <v>1219</v>
      </c>
      <c r="L361" s="49" t="s">
        <v>1678</v>
      </c>
      <c r="M361" s="38" t="s">
        <v>1679</v>
      </c>
      <c r="N361" s="124">
        <v>43661</v>
      </c>
      <c r="O361" s="38" t="s">
        <v>1678</v>
      </c>
      <c r="P361" s="38" t="s">
        <v>17</v>
      </c>
      <c r="Q361" s="38" t="s">
        <v>17</v>
      </c>
      <c r="R361" s="151" t="s">
        <v>27</v>
      </c>
      <c r="S361" s="39" t="s">
        <v>11</v>
      </c>
      <c r="T361" s="39" t="s">
        <v>10</v>
      </c>
      <c r="U361" s="153">
        <v>2.5000000000000001E-2</v>
      </c>
      <c r="V361" s="153"/>
      <c r="W361" s="153"/>
      <c r="X361" s="153">
        <v>27</v>
      </c>
      <c r="Y361" s="153">
        <v>32</v>
      </c>
      <c r="Z361" s="153">
        <v>37</v>
      </c>
      <c r="AA361" s="40">
        <v>2.4E-2</v>
      </c>
      <c r="AB361" s="40">
        <v>4.8000000000000001E-2</v>
      </c>
      <c r="AC361" s="40">
        <v>7.1999999999999995E-2</v>
      </c>
      <c r="AD361" s="40">
        <v>0.12</v>
      </c>
      <c r="AE361" s="40">
        <v>0.18</v>
      </c>
      <c r="AF361" s="40">
        <v>0.24</v>
      </c>
      <c r="AG361" s="40">
        <v>94.204329999999999</v>
      </c>
      <c r="AH361" s="40">
        <v>96.226399999999984</v>
      </c>
      <c r="AI361" s="40">
        <v>97.02145999999999</v>
      </c>
      <c r="AJ361" s="40">
        <v>97.553879999999992</v>
      </c>
      <c r="AK361" s="40">
        <v>97.414230000000003</v>
      </c>
      <c r="AL361" s="40">
        <v>96.959759999999989</v>
      </c>
      <c r="AM361" s="40">
        <v>97.185913100000008</v>
      </c>
      <c r="AN361" s="40">
        <v>93.324760000000012</v>
      </c>
      <c r="AO361" s="40">
        <v>95.734390000000005</v>
      </c>
      <c r="AP361" s="40">
        <v>96.756340000000009</v>
      </c>
      <c r="AQ361" s="40">
        <v>97.463930000000005</v>
      </c>
      <c r="AR361" s="40">
        <v>97.41528000000001</v>
      </c>
      <c r="AS361" s="40">
        <v>97.056359999999998</v>
      </c>
      <c r="AT361" s="40">
        <v>97.080812400000013</v>
      </c>
      <c r="AU361" s="40">
        <v>92.419209999999993</v>
      </c>
      <c r="AV361" s="40">
        <v>95.095890000000026</v>
      </c>
      <c r="AW361" s="40">
        <v>96.538389999999993</v>
      </c>
      <c r="AX361" s="40">
        <v>97.353760000000008</v>
      </c>
      <c r="AY361" s="40">
        <v>97.337369999999993</v>
      </c>
      <c r="AZ361" s="40">
        <v>97.025310000000019</v>
      </c>
      <c r="BA361" s="40">
        <v>96.920530900000003</v>
      </c>
      <c r="BB361" s="180">
        <v>43661</v>
      </c>
      <c r="BC361" s="180"/>
    </row>
    <row r="362" spans="1:55" s="44" customFormat="1" ht="60">
      <c r="A362" s="18" t="s">
        <v>273</v>
      </c>
      <c r="B362" s="18" t="s">
        <v>1724</v>
      </c>
      <c r="C362" s="23" t="s">
        <v>10</v>
      </c>
      <c r="D362" s="23" t="s">
        <v>10</v>
      </c>
      <c r="E362" s="23" t="s">
        <v>10</v>
      </c>
      <c r="F362" s="23" t="s">
        <v>11</v>
      </c>
      <c r="G362" s="18" t="s">
        <v>1688</v>
      </c>
      <c r="H362" s="19">
        <v>0.24</v>
      </c>
      <c r="I362" s="37">
        <v>240</v>
      </c>
      <c r="J362" s="19">
        <v>97</v>
      </c>
      <c r="K362" s="20" t="s">
        <v>1219</v>
      </c>
      <c r="L362" s="49" t="s">
        <v>1678</v>
      </c>
      <c r="M362" s="38" t="s">
        <v>1679</v>
      </c>
      <c r="N362" s="124">
        <v>43661</v>
      </c>
      <c r="O362" s="38" t="s">
        <v>1678</v>
      </c>
      <c r="P362" s="38" t="s">
        <v>17</v>
      </c>
      <c r="Q362" s="38" t="s">
        <v>17</v>
      </c>
      <c r="R362" s="151" t="s">
        <v>27</v>
      </c>
      <c r="S362" s="39" t="s">
        <v>11</v>
      </c>
      <c r="T362" s="39" t="s">
        <v>10</v>
      </c>
      <c r="U362" s="153">
        <v>2.5000000000000001E-2</v>
      </c>
      <c r="V362" s="153"/>
      <c r="W362" s="153"/>
      <c r="X362" s="153">
        <v>27</v>
      </c>
      <c r="Y362" s="153">
        <v>32</v>
      </c>
      <c r="Z362" s="153">
        <v>37</v>
      </c>
      <c r="AA362" s="40">
        <v>2.4E-2</v>
      </c>
      <c r="AB362" s="40">
        <v>4.8000000000000001E-2</v>
      </c>
      <c r="AC362" s="40">
        <v>7.1999999999999995E-2</v>
      </c>
      <c r="AD362" s="40">
        <v>0.12</v>
      </c>
      <c r="AE362" s="40">
        <v>0.18</v>
      </c>
      <c r="AF362" s="40">
        <v>0.24</v>
      </c>
      <c r="AG362" s="40">
        <v>93.945300000000003</v>
      </c>
      <c r="AH362" s="40">
        <v>96.08005</v>
      </c>
      <c r="AI362" s="40">
        <v>96.814459999999983</v>
      </c>
      <c r="AJ362" s="40">
        <v>97.474629999999991</v>
      </c>
      <c r="AK362" s="40">
        <v>97.419160000000005</v>
      </c>
      <c r="AL362" s="40">
        <v>97.02876999999998</v>
      </c>
      <c r="AM362" s="40">
        <v>97.132815300000004</v>
      </c>
      <c r="AN362" s="40">
        <v>92.990709999999993</v>
      </c>
      <c r="AO362" s="40">
        <v>95.658750000000012</v>
      </c>
      <c r="AP362" s="40">
        <v>96.504930000000002</v>
      </c>
      <c r="AQ362" s="40">
        <v>97.55228000000001</v>
      </c>
      <c r="AR362" s="40">
        <v>97.614990000000006</v>
      </c>
      <c r="AS362" s="40">
        <v>97.408739999999995</v>
      </c>
      <c r="AT362" s="40">
        <v>97.175517999999997</v>
      </c>
      <c r="AU362" s="40">
        <v>92.006249999999994</v>
      </c>
      <c r="AV362" s="40">
        <v>95.026440000000008</v>
      </c>
      <c r="AW362" s="40">
        <v>96.230880000000013</v>
      </c>
      <c r="AX362" s="40">
        <v>97.381270000000001</v>
      </c>
      <c r="AY362" s="40">
        <v>97.543800000000005</v>
      </c>
      <c r="AZ362" s="40">
        <v>97.410729999999987</v>
      </c>
      <c r="BA362" s="40">
        <v>96.998094800000004</v>
      </c>
      <c r="BB362" s="180">
        <v>43661</v>
      </c>
      <c r="BC362" s="180"/>
    </row>
    <row r="363" spans="1:55" s="44" customFormat="1" ht="60">
      <c r="A363" s="18" t="s">
        <v>273</v>
      </c>
      <c r="B363" s="18" t="s">
        <v>1725</v>
      </c>
      <c r="C363" s="23" t="s">
        <v>10</v>
      </c>
      <c r="D363" s="23" t="s">
        <v>10</v>
      </c>
      <c r="E363" s="23" t="s">
        <v>10</v>
      </c>
      <c r="F363" s="23" t="s">
        <v>11</v>
      </c>
      <c r="G363" s="18" t="s">
        <v>1684</v>
      </c>
      <c r="H363" s="19">
        <v>0.24</v>
      </c>
      <c r="I363" s="37">
        <v>208</v>
      </c>
      <c r="J363" s="19">
        <v>97</v>
      </c>
      <c r="K363" s="20" t="s">
        <v>1219</v>
      </c>
      <c r="L363" s="49" t="s">
        <v>1678</v>
      </c>
      <c r="M363" s="38" t="s">
        <v>1679</v>
      </c>
      <c r="N363" s="124">
        <v>43661</v>
      </c>
      <c r="O363" s="38" t="s">
        <v>1678</v>
      </c>
      <c r="P363" s="38" t="s">
        <v>17</v>
      </c>
      <c r="Q363" s="38" t="s">
        <v>17</v>
      </c>
      <c r="R363" s="151" t="s">
        <v>27</v>
      </c>
      <c r="S363" s="39" t="s">
        <v>11</v>
      </c>
      <c r="T363" s="39" t="s">
        <v>10</v>
      </c>
      <c r="U363" s="153">
        <v>2.5000000000000001E-2</v>
      </c>
      <c r="V363" s="153"/>
      <c r="W363" s="153"/>
      <c r="X363" s="153">
        <v>27</v>
      </c>
      <c r="Y363" s="153">
        <v>32</v>
      </c>
      <c r="Z363" s="153">
        <v>37</v>
      </c>
      <c r="AA363" s="40">
        <v>2.4E-2</v>
      </c>
      <c r="AB363" s="40">
        <v>4.8000000000000001E-2</v>
      </c>
      <c r="AC363" s="40">
        <v>7.1999999999999995E-2</v>
      </c>
      <c r="AD363" s="40">
        <v>0.12</v>
      </c>
      <c r="AE363" s="40">
        <v>0.18</v>
      </c>
      <c r="AF363" s="40">
        <v>0.24</v>
      </c>
      <c r="AG363" s="40">
        <v>94.204329999999999</v>
      </c>
      <c r="AH363" s="40">
        <v>96.226399999999984</v>
      </c>
      <c r="AI363" s="40">
        <v>97.02145999999999</v>
      </c>
      <c r="AJ363" s="40">
        <v>97.553879999999992</v>
      </c>
      <c r="AK363" s="40">
        <v>97.414230000000003</v>
      </c>
      <c r="AL363" s="40">
        <v>96.959759999999989</v>
      </c>
      <c r="AM363" s="40">
        <v>97.185913100000008</v>
      </c>
      <c r="AN363" s="40">
        <v>93.324760000000012</v>
      </c>
      <c r="AO363" s="40">
        <v>95.734390000000005</v>
      </c>
      <c r="AP363" s="40">
        <v>96.756340000000009</v>
      </c>
      <c r="AQ363" s="40">
        <v>97.463930000000005</v>
      </c>
      <c r="AR363" s="40">
        <v>97.41528000000001</v>
      </c>
      <c r="AS363" s="40">
        <v>97.056359999999998</v>
      </c>
      <c r="AT363" s="40">
        <v>97.080812400000013</v>
      </c>
      <c r="AU363" s="40">
        <v>92.419209999999993</v>
      </c>
      <c r="AV363" s="40">
        <v>95.095890000000026</v>
      </c>
      <c r="AW363" s="40">
        <v>96.538389999999993</v>
      </c>
      <c r="AX363" s="40">
        <v>97.353760000000008</v>
      </c>
      <c r="AY363" s="40">
        <v>97.337369999999993</v>
      </c>
      <c r="AZ363" s="40">
        <v>97.025310000000019</v>
      </c>
      <c r="BA363" s="40">
        <v>96.920530900000003</v>
      </c>
      <c r="BB363" s="180">
        <v>43661</v>
      </c>
      <c r="BC363" s="180"/>
    </row>
    <row r="364" spans="1:55" s="44" customFormat="1" ht="60">
      <c r="A364" s="18" t="s">
        <v>273</v>
      </c>
      <c r="B364" s="18" t="s">
        <v>1726</v>
      </c>
      <c r="C364" s="23" t="s">
        <v>10</v>
      </c>
      <c r="D364" s="23" t="s">
        <v>10</v>
      </c>
      <c r="E364" s="23" t="s">
        <v>10</v>
      </c>
      <c r="F364" s="23" t="s">
        <v>11</v>
      </c>
      <c r="G364" s="18" t="s">
        <v>1689</v>
      </c>
      <c r="H364" s="19">
        <v>0.24</v>
      </c>
      <c r="I364" s="37">
        <v>240</v>
      </c>
      <c r="J364" s="19">
        <v>97</v>
      </c>
      <c r="K364" s="20" t="s">
        <v>1219</v>
      </c>
      <c r="L364" s="49" t="s">
        <v>1678</v>
      </c>
      <c r="M364" s="38" t="s">
        <v>1679</v>
      </c>
      <c r="N364" s="124">
        <v>43661</v>
      </c>
      <c r="O364" s="38" t="s">
        <v>1678</v>
      </c>
      <c r="P364" s="38" t="s">
        <v>17</v>
      </c>
      <c r="Q364" s="38" t="s">
        <v>17</v>
      </c>
      <c r="R364" s="151" t="s">
        <v>27</v>
      </c>
      <c r="S364" s="39" t="s">
        <v>11</v>
      </c>
      <c r="T364" s="39" t="s">
        <v>10</v>
      </c>
      <c r="U364" s="153">
        <v>2.5000000000000001E-2</v>
      </c>
      <c r="V364" s="153"/>
      <c r="W364" s="153"/>
      <c r="X364" s="153">
        <v>27</v>
      </c>
      <c r="Y364" s="153">
        <v>32</v>
      </c>
      <c r="Z364" s="153">
        <v>37</v>
      </c>
      <c r="AA364" s="40">
        <v>2.4E-2</v>
      </c>
      <c r="AB364" s="40">
        <v>4.8000000000000001E-2</v>
      </c>
      <c r="AC364" s="40">
        <v>7.1999999999999995E-2</v>
      </c>
      <c r="AD364" s="40">
        <v>0.12</v>
      </c>
      <c r="AE364" s="40">
        <v>0.18</v>
      </c>
      <c r="AF364" s="40">
        <v>0.24</v>
      </c>
      <c r="AG364" s="40">
        <v>93.945300000000003</v>
      </c>
      <c r="AH364" s="40">
        <v>96.08005</v>
      </c>
      <c r="AI364" s="40">
        <v>96.814459999999983</v>
      </c>
      <c r="AJ364" s="40">
        <v>97.474629999999991</v>
      </c>
      <c r="AK364" s="40">
        <v>97.419160000000005</v>
      </c>
      <c r="AL364" s="40">
        <v>97.02876999999998</v>
      </c>
      <c r="AM364" s="40">
        <v>97.132815300000004</v>
      </c>
      <c r="AN364" s="40">
        <v>92.990709999999993</v>
      </c>
      <c r="AO364" s="40">
        <v>95.658750000000012</v>
      </c>
      <c r="AP364" s="40">
        <v>96.504930000000002</v>
      </c>
      <c r="AQ364" s="40">
        <v>97.55228000000001</v>
      </c>
      <c r="AR364" s="40">
        <v>97.614990000000006</v>
      </c>
      <c r="AS364" s="40">
        <v>97.408739999999995</v>
      </c>
      <c r="AT364" s="40">
        <v>97.175517999999997</v>
      </c>
      <c r="AU364" s="40">
        <v>92.006249999999994</v>
      </c>
      <c r="AV364" s="40">
        <v>95.026440000000008</v>
      </c>
      <c r="AW364" s="40">
        <v>96.230880000000013</v>
      </c>
      <c r="AX364" s="40">
        <v>97.381270000000001</v>
      </c>
      <c r="AY364" s="40">
        <v>97.543800000000005</v>
      </c>
      <c r="AZ364" s="40">
        <v>97.410729999999987</v>
      </c>
      <c r="BA364" s="40">
        <v>96.998094800000004</v>
      </c>
      <c r="BB364" s="180">
        <v>43661</v>
      </c>
      <c r="BC364" s="180"/>
    </row>
    <row r="365" spans="1:55" s="44" customFormat="1" ht="45">
      <c r="A365" s="18" t="s">
        <v>738</v>
      </c>
      <c r="B365" s="18" t="s">
        <v>939</v>
      </c>
      <c r="C365" s="23" t="s">
        <v>10</v>
      </c>
      <c r="D365" s="23" t="s">
        <v>10</v>
      </c>
      <c r="E365" s="23" t="s">
        <v>10</v>
      </c>
      <c r="F365" s="23" t="s">
        <v>11</v>
      </c>
      <c r="G365" s="18" t="s">
        <v>1515</v>
      </c>
      <c r="H365" s="19">
        <v>0.5</v>
      </c>
      <c r="I365" s="37">
        <v>240</v>
      </c>
      <c r="J365" s="136">
        <v>95.5</v>
      </c>
      <c r="K365" s="21" t="s">
        <v>1216</v>
      </c>
      <c r="L365" s="49" t="s">
        <v>1516</v>
      </c>
      <c r="M365" s="128" t="s">
        <v>1517</v>
      </c>
      <c r="N365" s="174">
        <v>43388</v>
      </c>
      <c r="O365" s="23" t="s">
        <v>1516</v>
      </c>
      <c r="P365" s="23" t="s">
        <v>17</v>
      </c>
      <c r="Q365" s="23" t="s">
        <v>17</v>
      </c>
      <c r="R365" s="151"/>
      <c r="S365" s="39" t="s">
        <v>11</v>
      </c>
      <c r="T365" s="39" t="s">
        <v>10</v>
      </c>
      <c r="U365" s="19">
        <v>0.09</v>
      </c>
      <c r="V365" s="153"/>
      <c r="W365" s="153"/>
      <c r="X365" s="153">
        <v>27</v>
      </c>
      <c r="Y365" s="153">
        <v>36</v>
      </c>
      <c r="Z365" s="153">
        <v>45</v>
      </c>
      <c r="AA365" s="40">
        <v>0.05</v>
      </c>
      <c r="AB365" s="40">
        <v>0.1</v>
      </c>
      <c r="AC365" s="40">
        <v>0.15</v>
      </c>
      <c r="AD365" s="40">
        <v>0.25</v>
      </c>
      <c r="AE365" s="40">
        <v>0.375</v>
      </c>
      <c r="AF365" s="40">
        <v>0.5</v>
      </c>
      <c r="AG365" s="40">
        <v>94.6</v>
      </c>
      <c r="AH365" s="40">
        <v>95.4</v>
      </c>
      <c r="AI365" s="40">
        <v>95.6</v>
      </c>
      <c r="AJ365" s="40">
        <v>95.6</v>
      </c>
      <c r="AK365" s="40">
        <v>95.4</v>
      </c>
      <c r="AL365" s="40">
        <v>94.9</v>
      </c>
      <c r="AM365" s="40">
        <v>95.4</v>
      </c>
      <c r="AN365" s="40">
        <v>94.2</v>
      </c>
      <c r="AO365" s="40">
        <v>95.6</v>
      </c>
      <c r="AP365" s="40">
        <v>95.2</v>
      </c>
      <c r="AQ365" s="40">
        <v>95.9</v>
      </c>
      <c r="AR365" s="40">
        <v>95.7</v>
      </c>
      <c r="AS365" s="40">
        <v>95.3</v>
      </c>
      <c r="AT365" s="40">
        <v>95.6</v>
      </c>
      <c r="AU365" s="40">
        <v>93.7</v>
      </c>
      <c r="AV365" s="40">
        <v>93.8</v>
      </c>
      <c r="AW365" s="40">
        <v>94.8</v>
      </c>
      <c r="AX365" s="40">
        <v>95.9</v>
      </c>
      <c r="AY365" s="40">
        <v>95.7</v>
      </c>
      <c r="AZ365" s="40">
        <v>95.5</v>
      </c>
      <c r="BA365" s="40">
        <v>95.5</v>
      </c>
      <c r="BB365" s="174">
        <v>43021</v>
      </c>
      <c r="BC365" s="174">
        <v>43586</v>
      </c>
    </row>
    <row r="366" spans="1:55" s="44" customFormat="1" ht="45">
      <c r="A366" s="18" t="s">
        <v>738</v>
      </c>
      <c r="B366" s="18" t="s">
        <v>940</v>
      </c>
      <c r="C366" s="23" t="s">
        <v>10</v>
      </c>
      <c r="D366" s="23" t="s">
        <v>10</v>
      </c>
      <c r="E366" s="23" t="s">
        <v>11</v>
      </c>
      <c r="F366" s="23" t="s">
        <v>11</v>
      </c>
      <c r="G366" s="18" t="s">
        <v>569</v>
      </c>
      <c r="H366" s="19">
        <v>0.70799999999999996</v>
      </c>
      <c r="I366" s="37">
        <v>240</v>
      </c>
      <c r="J366" s="19">
        <v>96</v>
      </c>
      <c r="K366" s="21" t="s">
        <v>1216</v>
      </c>
      <c r="L366" s="49" t="s">
        <v>570</v>
      </c>
      <c r="M366" s="38" t="s">
        <v>571</v>
      </c>
      <c r="N366" s="174">
        <v>43388</v>
      </c>
      <c r="O366" s="23" t="s">
        <v>17</v>
      </c>
      <c r="P366" s="23" t="s">
        <v>17</v>
      </c>
      <c r="Q366" s="23" t="s">
        <v>17</v>
      </c>
      <c r="R366" s="151"/>
      <c r="S366" s="39" t="s">
        <v>11</v>
      </c>
      <c r="T366" s="39" t="s">
        <v>10</v>
      </c>
      <c r="U366" s="153">
        <v>0.16</v>
      </c>
      <c r="V366" s="153"/>
      <c r="W366" s="153"/>
      <c r="X366" s="153">
        <v>50</v>
      </c>
      <c r="Y366" s="153">
        <v>57</v>
      </c>
      <c r="Z366" s="153">
        <v>64</v>
      </c>
      <c r="AA366" s="40">
        <v>7.0800000000000002E-2</v>
      </c>
      <c r="AB366" s="40">
        <v>0.1416</v>
      </c>
      <c r="AC366" s="40">
        <v>0.21240000000000001</v>
      </c>
      <c r="AD366" s="40">
        <v>0.35399999999999998</v>
      </c>
      <c r="AE366" s="40">
        <v>0.53100000000000003</v>
      </c>
      <c r="AF366" s="40">
        <v>0.70799999999999996</v>
      </c>
      <c r="AG366" s="40">
        <v>89.386799999999994</v>
      </c>
      <c r="AH366" s="40">
        <v>93.546449999999993</v>
      </c>
      <c r="AI366" s="40">
        <v>95.133979999999994</v>
      </c>
      <c r="AJ366" s="40">
        <v>96.262680000000003</v>
      </c>
      <c r="AK366" s="40">
        <v>96.577579999999998</v>
      </c>
      <c r="AL366" s="40">
        <v>96.382440000000003</v>
      </c>
      <c r="AM366" s="40">
        <v>95.889269999999996</v>
      </c>
      <c r="AN366" s="40">
        <v>90.188069999999996</v>
      </c>
      <c r="AO366" s="40">
        <v>93.853949999999998</v>
      </c>
      <c r="AP366" s="40">
        <v>95.269369999999995</v>
      </c>
      <c r="AQ366" s="40">
        <v>96.306049999999999</v>
      </c>
      <c r="AR366" s="40">
        <v>96.594769999999997</v>
      </c>
      <c r="AS366" s="40">
        <v>96.545280000000005</v>
      </c>
      <c r="AT366" s="40">
        <v>95.979309999999998</v>
      </c>
      <c r="AU366" s="40">
        <v>87.473979999999997</v>
      </c>
      <c r="AV366" s="40">
        <v>92.894419999999997</v>
      </c>
      <c r="AW366" s="40">
        <v>95.062100000000001</v>
      </c>
      <c r="AX366" s="40">
        <v>96.067639999999997</v>
      </c>
      <c r="AY366" s="40">
        <v>96.486090000000004</v>
      </c>
      <c r="AZ366" s="40">
        <v>96.485820000000004</v>
      </c>
      <c r="BA366" s="40">
        <v>95.687250000000006</v>
      </c>
      <c r="BB366" s="174">
        <v>43206</v>
      </c>
      <c r="BC366" s="174">
        <v>43388</v>
      </c>
    </row>
    <row r="367" spans="1:55" s="44" customFormat="1" ht="45">
      <c r="A367" s="18" t="s">
        <v>738</v>
      </c>
      <c r="B367" s="18" t="s">
        <v>1587</v>
      </c>
      <c r="C367" s="23" t="s">
        <v>10</v>
      </c>
      <c r="D367" s="23" t="s">
        <v>10</v>
      </c>
      <c r="E367" s="23" t="s">
        <v>10</v>
      </c>
      <c r="F367" s="23" t="s">
        <v>11</v>
      </c>
      <c r="G367" s="18" t="s">
        <v>1558</v>
      </c>
      <c r="H367" s="19">
        <v>0.60599999999999998</v>
      </c>
      <c r="I367" s="37">
        <v>208</v>
      </c>
      <c r="J367" s="19">
        <v>95.5</v>
      </c>
      <c r="K367" s="20" t="s">
        <v>1216</v>
      </c>
      <c r="L367" s="49" t="s">
        <v>1559</v>
      </c>
      <c r="M367" s="38" t="s">
        <v>1560</v>
      </c>
      <c r="N367" s="174">
        <v>43586</v>
      </c>
      <c r="O367" s="38" t="s">
        <v>1559</v>
      </c>
      <c r="P367" s="38" t="s">
        <v>17</v>
      </c>
      <c r="Q367" s="38" t="s">
        <v>17</v>
      </c>
      <c r="R367" s="151"/>
      <c r="S367" s="39" t="s">
        <v>11</v>
      </c>
      <c r="T367" s="39" t="s">
        <v>10</v>
      </c>
      <c r="U367" s="172">
        <v>0.21</v>
      </c>
      <c r="V367" s="153"/>
      <c r="W367" s="153"/>
      <c r="X367" s="153">
        <v>52</v>
      </c>
      <c r="Y367" s="153">
        <v>54</v>
      </c>
      <c r="Z367" s="153">
        <v>56</v>
      </c>
      <c r="AA367" s="40">
        <v>6.0579500000000001E-2</v>
      </c>
      <c r="AB367" s="40">
        <v>0.121159</v>
      </c>
      <c r="AC367" s="40">
        <v>0.1817385</v>
      </c>
      <c r="AD367" s="40">
        <v>0.30289749999999999</v>
      </c>
      <c r="AE367" s="40">
        <v>0.45434624999999995</v>
      </c>
      <c r="AF367" s="40">
        <v>0.60579499999999997</v>
      </c>
      <c r="AG367" s="40">
        <v>91.21780860622242</v>
      </c>
      <c r="AH367" s="40">
        <v>94.31654967853693</v>
      </c>
      <c r="AI367" s="40">
        <v>94.948172498943123</v>
      </c>
      <c r="AJ367" s="40">
        <v>95.464798860854245</v>
      </c>
      <c r="AK367" s="40">
        <v>95.566229494460131</v>
      </c>
      <c r="AL367" s="40">
        <v>95.320894262595061</v>
      </c>
      <c r="AM367" s="40">
        <v>95.222074634021936</v>
      </c>
      <c r="AN367" s="40">
        <v>90.055667787780479</v>
      </c>
      <c r="AO367" s="40">
        <v>93.69487980213664</v>
      </c>
      <c r="AP367" s="40">
        <v>94.953189354905689</v>
      </c>
      <c r="AQ367" s="40">
        <v>95.701420812888998</v>
      </c>
      <c r="AR367" s="40">
        <v>95.815995623963047</v>
      </c>
      <c r="AS367" s="40">
        <v>95.513256022815526</v>
      </c>
      <c r="AT367" s="40">
        <v>95.336792276754622</v>
      </c>
      <c r="AU367" s="40">
        <v>90.156890747381297</v>
      </c>
      <c r="AV367" s="40">
        <v>93.941379845136723</v>
      </c>
      <c r="AW367" s="40">
        <v>95.007336179834439</v>
      </c>
      <c r="AX367" s="40">
        <v>95.355803066462244</v>
      </c>
      <c r="AY367" s="40">
        <v>95.814728731442003</v>
      </c>
      <c r="AZ367" s="40">
        <v>95.555000526460759</v>
      </c>
      <c r="BA367" s="40">
        <v>95.288499861676584</v>
      </c>
      <c r="BB367" s="178">
        <v>43586</v>
      </c>
      <c r="BC367" s="178"/>
    </row>
    <row r="368" spans="1:55" s="44" customFormat="1" ht="45">
      <c r="A368" s="18" t="s">
        <v>160</v>
      </c>
      <c r="B368" s="18" t="s">
        <v>963</v>
      </c>
      <c r="C368" s="23" t="s">
        <v>10</v>
      </c>
      <c r="D368" s="23" t="s">
        <v>10</v>
      </c>
      <c r="E368" s="23" t="s">
        <v>10</v>
      </c>
      <c r="F368" s="23" t="s">
        <v>11</v>
      </c>
      <c r="G368" s="18" t="s">
        <v>683</v>
      </c>
      <c r="H368" s="19">
        <v>5</v>
      </c>
      <c r="I368" s="37">
        <v>208</v>
      </c>
      <c r="J368" s="19">
        <v>98</v>
      </c>
      <c r="K368" s="21" t="s">
        <v>1216</v>
      </c>
      <c r="L368" s="49" t="s">
        <v>755</v>
      </c>
      <c r="M368" s="38" t="s">
        <v>540</v>
      </c>
      <c r="N368" s="174">
        <v>43388</v>
      </c>
      <c r="O368" s="49" t="s">
        <v>755</v>
      </c>
      <c r="P368" s="23" t="s">
        <v>17</v>
      </c>
      <c r="Q368" s="23" t="s">
        <v>17</v>
      </c>
      <c r="R368" s="151"/>
      <c r="S368" s="39" t="s">
        <v>11</v>
      </c>
      <c r="T368" s="39" t="s">
        <v>11</v>
      </c>
      <c r="U368" s="153">
        <v>1.85</v>
      </c>
      <c r="V368" s="153"/>
      <c r="W368" s="153"/>
      <c r="X368" s="153">
        <v>350</v>
      </c>
      <c r="Y368" s="153">
        <v>400</v>
      </c>
      <c r="Z368" s="153">
        <v>450</v>
      </c>
      <c r="AA368" s="40">
        <v>0.5</v>
      </c>
      <c r="AB368" s="40">
        <v>1</v>
      </c>
      <c r="AC368" s="40">
        <v>1.5</v>
      </c>
      <c r="AD368" s="40">
        <v>2.5</v>
      </c>
      <c r="AE368" s="40">
        <v>3.75</v>
      </c>
      <c r="AF368" s="40">
        <v>5</v>
      </c>
      <c r="AG368" s="40">
        <v>96.357619047619053</v>
      </c>
      <c r="AH368" s="40">
        <v>97.710380952380973</v>
      </c>
      <c r="AI368" s="40">
        <v>98.120142857142852</v>
      </c>
      <c r="AJ368" s="40">
        <v>98.208238095238102</v>
      </c>
      <c r="AK368" s="40">
        <v>98.033666666666676</v>
      </c>
      <c r="AL368" s="40">
        <v>97.687619047619037</v>
      </c>
      <c r="AM368" s="40">
        <v>97.980195238095249</v>
      </c>
      <c r="AN368" s="40">
        <v>95.697428571428574</v>
      </c>
      <c r="AO368" s="40">
        <v>97.377047619047616</v>
      </c>
      <c r="AP368" s="40">
        <v>97.868190476190492</v>
      </c>
      <c r="AQ368" s="40">
        <v>98.05714285714285</v>
      </c>
      <c r="AR368" s="40">
        <v>97.920047619047622</v>
      </c>
      <c r="AS368" s="40">
        <v>97.611000000000004</v>
      </c>
      <c r="AT368" s="40">
        <v>97.811107619047618</v>
      </c>
      <c r="AU368" s="40">
        <v>95.111952380952388</v>
      </c>
      <c r="AV368" s="40">
        <v>97.007428571428576</v>
      </c>
      <c r="AW368" s="40">
        <v>97.61</v>
      </c>
      <c r="AX368" s="40">
        <v>97.870047619047611</v>
      </c>
      <c r="AY368" s="40">
        <v>97.801380952380967</v>
      </c>
      <c r="AZ368" s="40">
        <v>97.505333333333326</v>
      </c>
      <c r="BA368" s="40">
        <v>97.630758095238107</v>
      </c>
      <c r="BB368" s="174">
        <v>43374</v>
      </c>
      <c r="BC368" s="174">
        <v>43388</v>
      </c>
    </row>
    <row r="369" spans="1:55" s="44" customFormat="1" ht="45">
      <c r="A369" s="18" t="s">
        <v>160</v>
      </c>
      <c r="B369" s="18" t="s">
        <v>964</v>
      </c>
      <c r="C369" s="23" t="s">
        <v>10</v>
      </c>
      <c r="D369" s="23" t="s">
        <v>10</v>
      </c>
      <c r="E369" s="23" t="s">
        <v>10</v>
      </c>
      <c r="F369" s="23" t="s">
        <v>11</v>
      </c>
      <c r="G369" s="18" t="s">
        <v>756</v>
      </c>
      <c r="H369" s="19">
        <v>5</v>
      </c>
      <c r="I369" s="37">
        <v>240</v>
      </c>
      <c r="J369" s="19">
        <v>98</v>
      </c>
      <c r="K369" s="21" t="s">
        <v>1216</v>
      </c>
      <c r="L369" s="49" t="s">
        <v>755</v>
      </c>
      <c r="M369" s="38" t="s">
        <v>540</v>
      </c>
      <c r="N369" s="174">
        <v>43388</v>
      </c>
      <c r="O369" s="49" t="s">
        <v>755</v>
      </c>
      <c r="P369" s="23" t="s">
        <v>17</v>
      </c>
      <c r="Q369" s="23" t="s">
        <v>17</v>
      </c>
      <c r="R369" s="151"/>
      <c r="S369" s="39" t="s">
        <v>11</v>
      </c>
      <c r="T369" s="39" t="s">
        <v>11</v>
      </c>
      <c r="U369" s="153">
        <v>2.0499999999999998</v>
      </c>
      <c r="V369" s="153"/>
      <c r="W369" s="153"/>
      <c r="X369" s="153">
        <v>350</v>
      </c>
      <c r="Y369" s="153">
        <v>400</v>
      </c>
      <c r="Z369" s="153">
        <v>450</v>
      </c>
      <c r="AA369" s="40">
        <v>0.5</v>
      </c>
      <c r="AB369" s="40">
        <v>1</v>
      </c>
      <c r="AC369" s="40">
        <v>1.5</v>
      </c>
      <c r="AD369" s="40">
        <v>2.5</v>
      </c>
      <c r="AE369" s="40">
        <v>3.75</v>
      </c>
      <c r="AF369" s="40">
        <v>5</v>
      </c>
      <c r="AG369" s="40">
        <v>96.480904761904767</v>
      </c>
      <c r="AH369" s="40">
        <v>97.584571428571422</v>
      </c>
      <c r="AI369" s="40">
        <v>98.116714285714281</v>
      </c>
      <c r="AJ369" s="40">
        <v>98.473571428571418</v>
      </c>
      <c r="AK369" s="40">
        <v>98.323761904761909</v>
      </c>
      <c r="AL369" s="40">
        <v>97.935095238095229</v>
      </c>
      <c r="AM369" s="40">
        <v>98.200269047619059</v>
      </c>
      <c r="AN369" s="40">
        <v>95.893809523809523</v>
      </c>
      <c r="AO369" s="40">
        <v>97.550809523809534</v>
      </c>
      <c r="AP369" s="40">
        <v>98.008380952380961</v>
      </c>
      <c r="AQ369" s="40">
        <v>98.450666666666663</v>
      </c>
      <c r="AR369" s="40">
        <v>98.350333333333339</v>
      </c>
      <c r="AS369" s="40">
        <v>98.123761904761906</v>
      </c>
      <c r="AT369" s="40">
        <v>98.18080333333333</v>
      </c>
      <c r="AU369" s="40">
        <v>95.24404761904762</v>
      </c>
      <c r="AV369" s="40">
        <v>97.157571428571444</v>
      </c>
      <c r="AW369" s="40">
        <v>97.753095238095213</v>
      </c>
      <c r="AX369" s="40">
        <v>98.295190476190484</v>
      </c>
      <c r="AY369" s="40">
        <v>98.245285714285714</v>
      </c>
      <c r="AZ369" s="40">
        <v>98.033333333333331</v>
      </c>
      <c r="BA369" s="40">
        <v>98.011670000000009</v>
      </c>
      <c r="BB369" s="174">
        <v>43374</v>
      </c>
      <c r="BC369" s="174">
        <v>43388</v>
      </c>
    </row>
    <row r="370" spans="1:55" s="44" customFormat="1" ht="60">
      <c r="A370" s="18" t="s">
        <v>160</v>
      </c>
      <c r="B370" s="18" t="s">
        <v>965</v>
      </c>
      <c r="C370" s="23" t="s">
        <v>10</v>
      </c>
      <c r="D370" s="23" t="s">
        <v>10</v>
      </c>
      <c r="E370" s="23" t="s">
        <v>10</v>
      </c>
      <c r="F370" s="23" t="s">
        <v>11</v>
      </c>
      <c r="G370" s="18" t="s">
        <v>681</v>
      </c>
      <c r="H370" s="19">
        <v>6.6559999999999997</v>
      </c>
      <c r="I370" s="37">
        <v>208</v>
      </c>
      <c r="J370" s="19">
        <v>97.5</v>
      </c>
      <c r="K370" s="21" t="s">
        <v>1216</v>
      </c>
      <c r="L370" s="49" t="s">
        <v>755</v>
      </c>
      <c r="M370" s="38" t="s">
        <v>540</v>
      </c>
      <c r="N370" s="174">
        <v>43388</v>
      </c>
      <c r="O370" s="49" t="s">
        <v>755</v>
      </c>
      <c r="P370" s="23" t="s">
        <v>17</v>
      </c>
      <c r="Q370" s="23" t="s">
        <v>17</v>
      </c>
      <c r="R370" s="151"/>
      <c r="S370" s="39" t="s">
        <v>11</v>
      </c>
      <c r="T370" s="39" t="s">
        <v>11</v>
      </c>
      <c r="U370" s="153">
        <v>1.1499999999999999</v>
      </c>
      <c r="V370" s="153"/>
      <c r="W370" s="153"/>
      <c r="X370" s="153">
        <v>270</v>
      </c>
      <c r="Y370" s="153">
        <v>380</v>
      </c>
      <c r="Z370" s="153">
        <v>450</v>
      </c>
      <c r="AA370" s="40">
        <v>0.66559999999999997</v>
      </c>
      <c r="AB370" s="40">
        <v>1.3311999999999999</v>
      </c>
      <c r="AC370" s="40">
        <v>1.9967999999999999</v>
      </c>
      <c r="AD370" s="40">
        <v>3.3279999999999998</v>
      </c>
      <c r="AE370" s="40">
        <v>4.992</v>
      </c>
      <c r="AF370" s="40">
        <v>6.6559999999999997</v>
      </c>
      <c r="AG370" s="40">
        <v>94.577142857142846</v>
      </c>
      <c r="AH370" s="40">
        <v>96.30147619047618</v>
      </c>
      <c r="AI370" s="40">
        <v>96.99633333333334</v>
      </c>
      <c r="AJ370" s="40">
        <v>97.387761904761902</v>
      </c>
      <c r="AK370" s="40">
        <v>97.294809523809505</v>
      </c>
      <c r="AL370" s="40">
        <v>96.929047619047623</v>
      </c>
      <c r="AM370" s="40">
        <v>97.101850952380943</v>
      </c>
      <c r="AN370" s="40">
        <v>95.905285714285696</v>
      </c>
      <c r="AO370" s="40">
        <v>97.331380952380954</v>
      </c>
      <c r="AP370" s="40">
        <v>97.763285714285729</v>
      </c>
      <c r="AQ370" s="40">
        <v>97.861904761904768</v>
      </c>
      <c r="AR370" s="40">
        <v>97.586190476190467</v>
      </c>
      <c r="AS370" s="40">
        <v>97.213761904761895</v>
      </c>
      <c r="AT370" s="40">
        <v>97.566743809523814</v>
      </c>
      <c r="AU370" s="40">
        <v>95.039238095238076</v>
      </c>
      <c r="AV370" s="40">
        <v>96.954095238095235</v>
      </c>
      <c r="AW370" s="40">
        <v>97.465952380952373</v>
      </c>
      <c r="AX370" s="40">
        <v>97.73076190476192</v>
      </c>
      <c r="AY370" s="40">
        <v>97.510285714285715</v>
      </c>
      <c r="AZ370" s="40">
        <v>97.146190476190469</v>
      </c>
      <c r="BA370" s="40">
        <v>97.406409523809529</v>
      </c>
      <c r="BB370" s="174">
        <v>43374</v>
      </c>
      <c r="BC370" s="174">
        <v>43388</v>
      </c>
    </row>
    <row r="371" spans="1:55" s="44" customFormat="1" ht="45">
      <c r="A371" s="18" t="s">
        <v>160</v>
      </c>
      <c r="B371" s="18" t="s">
        <v>966</v>
      </c>
      <c r="C371" s="23" t="s">
        <v>10</v>
      </c>
      <c r="D371" s="23" t="s">
        <v>10</v>
      </c>
      <c r="E371" s="23" t="s">
        <v>10</v>
      </c>
      <c r="F371" s="23" t="s">
        <v>11</v>
      </c>
      <c r="G371" s="18" t="s">
        <v>682</v>
      </c>
      <c r="H371" s="19">
        <v>7.68</v>
      </c>
      <c r="I371" s="37">
        <v>240</v>
      </c>
      <c r="J371" s="19">
        <v>97.5</v>
      </c>
      <c r="K371" s="21" t="s">
        <v>1216</v>
      </c>
      <c r="L371" s="49" t="s">
        <v>755</v>
      </c>
      <c r="M371" s="38" t="s">
        <v>540</v>
      </c>
      <c r="N371" s="174">
        <v>43388</v>
      </c>
      <c r="O371" s="49" t="s">
        <v>755</v>
      </c>
      <c r="P371" s="23" t="s">
        <v>17</v>
      </c>
      <c r="Q371" s="23" t="s">
        <v>17</v>
      </c>
      <c r="R371" s="151"/>
      <c r="S371" s="39" t="s">
        <v>11</v>
      </c>
      <c r="T371" s="39" t="s">
        <v>11</v>
      </c>
      <c r="U371" s="153">
        <v>1.19</v>
      </c>
      <c r="V371" s="153"/>
      <c r="W371" s="153"/>
      <c r="X371" s="153">
        <v>270</v>
      </c>
      <c r="Y371" s="153">
        <v>380</v>
      </c>
      <c r="Z371" s="153">
        <v>450</v>
      </c>
      <c r="AA371" s="40">
        <v>0.76800000000000002</v>
      </c>
      <c r="AB371" s="40">
        <v>1.536</v>
      </c>
      <c r="AC371" s="40">
        <v>2.3039999999999998</v>
      </c>
      <c r="AD371" s="40">
        <v>3.84</v>
      </c>
      <c r="AE371" s="40">
        <v>5.76</v>
      </c>
      <c r="AF371" s="40">
        <v>7.68</v>
      </c>
      <c r="AG371" s="40">
        <v>95.141761904761907</v>
      </c>
      <c r="AH371" s="40">
        <v>96.556571428571417</v>
      </c>
      <c r="AI371" s="40">
        <v>97.332523809523806</v>
      </c>
      <c r="AJ371" s="40">
        <v>97.597190476190477</v>
      </c>
      <c r="AK371" s="40">
        <v>97.510428571428591</v>
      </c>
      <c r="AL371" s="40">
        <v>97.13038095238096</v>
      </c>
      <c r="AM371" s="40">
        <v>97.345858095238114</v>
      </c>
      <c r="AN371" s="40">
        <v>96.495714285714271</v>
      </c>
      <c r="AO371" s="40">
        <v>97.678238095238086</v>
      </c>
      <c r="AP371" s="40">
        <v>98.032761904761898</v>
      </c>
      <c r="AQ371" s="40">
        <v>98.064428571428579</v>
      </c>
      <c r="AR371" s="40">
        <v>97.776238095238099</v>
      </c>
      <c r="AS371" s="40">
        <v>97.431095238095239</v>
      </c>
      <c r="AT371" s="40">
        <v>97.794162857142865</v>
      </c>
      <c r="AU371" s="40">
        <v>95.768333333333331</v>
      </c>
      <c r="AV371" s="40">
        <v>97.321714285714293</v>
      </c>
      <c r="AW371" s="40">
        <v>97.81547619047619</v>
      </c>
      <c r="AX371" s="40">
        <v>97.95814285714286</v>
      </c>
      <c r="AY371" s="40">
        <v>97.747952380952384</v>
      </c>
      <c r="AZ371" s="40">
        <v>97.447142857142879</v>
      </c>
      <c r="BA371" s="40">
        <v>97.684658095238092</v>
      </c>
      <c r="BB371" s="174">
        <v>43374</v>
      </c>
      <c r="BC371" s="174">
        <v>43388</v>
      </c>
    </row>
    <row r="372" spans="1:55" s="44" customFormat="1" ht="45">
      <c r="A372" s="18" t="s">
        <v>160</v>
      </c>
      <c r="B372" s="18" t="s">
        <v>941</v>
      </c>
      <c r="C372" s="23" t="s">
        <v>10</v>
      </c>
      <c r="D372" s="23" t="s">
        <v>10</v>
      </c>
      <c r="E372" s="23" t="s">
        <v>10</v>
      </c>
      <c r="F372" s="23" t="s">
        <v>11</v>
      </c>
      <c r="G372" s="18" t="s">
        <v>161</v>
      </c>
      <c r="H372" s="19">
        <v>0.28000000000000003</v>
      </c>
      <c r="I372" s="19">
        <v>208</v>
      </c>
      <c r="J372" s="19">
        <v>97</v>
      </c>
      <c r="K372" s="21" t="s">
        <v>1219</v>
      </c>
      <c r="L372" s="49" t="s">
        <v>435</v>
      </c>
      <c r="M372" s="21" t="s">
        <v>436</v>
      </c>
      <c r="N372" s="174">
        <v>43388</v>
      </c>
      <c r="O372" s="49" t="s">
        <v>435</v>
      </c>
      <c r="P372" s="23" t="s">
        <v>17</v>
      </c>
      <c r="Q372" s="23" t="s">
        <v>17</v>
      </c>
      <c r="R372" s="150" t="s">
        <v>162</v>
      </c>
      <c r="S372" s="20" t="s">
        <v>11</v>
      </c>
      <c r="T372" s="20" t="s">
        <v>10</v>
      </c>
      <c r="U372" s="19">
        <v>0.02</v>
      </c>
      <c r="V372" s="19"/>
      <c r="W372" s="19"/>
      <c r="X372" s="19">
        <v>27</v>
      </c>
      <c r="Y372" s="19">
        <v>36</v>
      </c>
      <c r="Z372" s="19">
        <v>45</v>
      </c>
      <c r="AA372" s="40">
        <v>28</v>
      </c>
      <c r="AB372" s="40">
        <v>56</v>
      </c>
      <c r="AC372" s="40">
        <v>84</v>
      </c>
      <c r="AD372" s="40">
        <v>140</v>
      </c>
      <c r="AE372" s="40">
        <v>210</v>
      </c>
      <c r="AF372" s="40">
        <v>280</v>
      </c>
      <c r="AG372" s="40">
        <v>94.636139999999997</v>
      </c>
      <c r="AH372" s="40">
        <v>96.340069999999997</v>
      </c>
      <c r="AI372" s="40">
        <v>96.930219999999991</v>
      </c>
      <c r="AJ372" s="40">
        <v>97.37612</v>
      </c>
      <c r="AK372" s="40">
        <v>97.14246</v>
      </c>
      <c r="AL372" s="40">
        <v>96.57859999999998</v>
      </c>
      <c r="AM372" s="40">
        <v>96.997494500000002</v>
      </c>
      <c r="AN372" s="40">
        <v>94.562870000000004</v>
      </c>
      <c r="AO372" s="40">
        <v>95.684449999999998</v>
      </c>
      <c r="AP372" s="40">
        <v>96.451030000000003</v>
      </c>
      <c r="AQ372" s="40">
        <v>97.149680000000018</v>
      </c>
      <c r="AR372" s="40">
        <v>97.092019999999991</v>
      </c>
      <c r="AS372" s="40">
        <v>96.683809999999994</v>
      </c>
      <c r="AT372" s="40">
        <v>96.835254800000001</v>
      </c>
      <c r="AU372" s="40">
        <v>93.928889999999996</v>
      </c>
      <c r="AV372" s="40">
        <v>95.02709999999999</v>
      </c>
      <c r="AW372" s="40">
        <v>95.970729999999989</v>
      </c>
      <c r="AX372" s="40">
        <v>96.918510000000012</v>
      </c>
      <c r="AY372" s="40">
        <v>96.913079999999994</v>
      </c>
      <c r="AZ372" s="40">
        <v>96.59496</v>
      </c>
      <c r="BA372" s="40">
        <v>96.571565699999994</v>
      </c>
      <c r="BB372" s="174">
        <v>42948</v>
      </c>
      <c r="BC372" s="174">
        <v>43388</v>
      </c>
    </row>
    <row r="373" spans="1:55" s="44" customFormat="1" ht="45">
      <c r="A373" s="18" t="s">
        <v>160</v>
      </c>
      <c r="B373" s="18" t="s">
        <v>942</v>
      </c>
      <c r="C373" s="23" t="s">
        <v>10</v>
      </c>
      <c r="D373" s="23" t="s">
        <v>10</v>
      </c>
      <c r="E373" s="23" t="s">
        <v>10</v>
      </c>
      <c r="F373" s="23" t="s">
        <v>11</v>
      </c>
      <c r="G373" s="18" t="s">
        <v>161</v>
      </c>
      <c r="H373" s="19">
        <v>0.28000000000000003</v>
      </c>
      <c r="I373" s="19">
        <v>240</v>
      </c>
      <c r="J373" s="19">
        <v>97</v>
      </c>
      <c r="K373" s="21" t="s">
        <v>1219</v>
      </c>
      <c r="L373" s="49" t="s">
        <v>435</v>
      </c>
      <c r="M373" s="21" t="s">
        <v>436</v>
      </c>
      <c r="N373" s="174">
        <v>43388</v>
      </c>
      <c r="O373" s="49" t="s">
        <v>435</v>
      </c>
      <c r="P373" s="23" t="s">
        <v>17</v>
      </c>
      <c r="Q373" s="23" t="s">
        <v>17</v>
      </c>
      <c r="R373" s="150" t="s">
        <v>162</v>
      </c>
      <c r="S373" s="20" t="s">
        <v>11</v>
      </c>
      <c r="T373" s="20" t="s">
        <v>10</v>
      </c>
      <c r="U373" s="19">
        <v>0.02</v>
      </c>
      <c r="V373" s="19"/>
      <c r="W373" s="19"/>
      <c r="X373" s="19">
        <v>27</v>
      </c>
      <c r="Y373" s="19">
        <v>36</v>
      </c>
      <c r="Z373" s="19">
        <v>45</v>
      </c>
      <c r="AA373" s="40">
        <v>28</v>
      </c>
      <c r="AB373" s="40">
        <v>56</v>
      </c>
      <c r="AC373" s="40">
        <v>84</v>
      </c>
      <c r="AD373" s="40">
        <v>140</v>
      </c>
      <c r="AE373" s="40">
        <v>210</v>
      </c>
      <c r="AF373" s="40">
        <v>280</v>
      </c>
      <c r="AG373" s="40">
        <v>94.253059999999991</v>
      </c>
      <c r="AH373" s="40">
        <v>96.163120000000006</v>
      </c>
      <c r="AI373" s="40">
        <v>96.817109999999985</v>
      </c>
      <c r="AJ373" s="40">
        <v>97.302610000000016</v>
      </c>
      <c r="AK373" s="40">
        <v>97.145589999999984</v>
      </c>
      <c r="AL373" s="40">
        <v>96.716480000000004</v>
      </c>
      <c r="AM373" s="40">
        <v>96.952866400000005</v>
      </c>
      <c r="AN373" s="40">
        <v>94.554840000000013</v>
      </c>
      <c r="AO373" s="40">
        <v>95.744399999999999</v>
      </c>
      <c r="AP373" s="40">
        <v>96.281419999999983</v>
      </c>
      <c r="AQ373" s="40">
        <v>97.254899999999992</v>
      </c>
      <c r="AR373" s="40">
        <v>97.333410000000001</v>
      </c>
      <c r="AS373" s="40">
        <v>97.170069999999996</v>
      </c>
      <c r="AT373" s="40">
        <v>96.991923799999995</v>
      </c>
      <c r="AU373" s="40">
        <v>93.905879999999996</v>
      </c>
      <c r="AV373" s="40">
        <v>95.090100000000007</v>
      </c>
      <c r="AW373" s="40">
        <v>95.744929999999997</v>
      </c>
      <c r="AX373" s="40">
        <v>96.971979999999988</v>
      </c>
      <c r="AY373" s="40">
        <v>97.148679999999985</v>
      </c>
      <c r="AZ373" s="40">
        <v>97.038429999999991</v>
      </c>
      <c r="BA373" s="40">
        <v>96.704969500000004</v>
      </c>
      <c r="BB373" s="174">
        <v>42948</v>
      </c>
      <c r="BC373" s="174">
        <v>43388</v>
      </c>
    </row>
    <row r="374" spans="1:55" s="44" customFormat="1" ht="45">
      <c r="A374" s="18" t="s">
        <v>160</v>
      </c>
      <c r="B374" s="18" t="s">
        <v>943</v>
      </c>
      <c r="C374" s="23" t="s">
        <v>10</v>
      </c>
      <c r="D374" s="23" t="s">
        <v>10</v>
      </c>
      <c r="E374" s="23" t="s">
        <v>10</v>
      </c>
      <c r="F374" s="23" t="s">
        <v>11</v>
      </c>
      <c r="G374" s="18" t="s">
        <v>163</v>
      </c>
      <c r="H374" s="19">
        <v>0.28000000000000003</v>
      </c>
      <c r="I374" s="19">
        <v>208</v>
      </c>
      <c r="J374" s="19">
        <v>97</v>
      </c>
      <c r="K374" s="21" t="s">
        <v>1219</v>
      </c>
      <c r="L374" s="49" t="s">
        <v>435</v>
      </c>
      <c r="M374" s="21" t="s">
        <v>436</v>
      </c>
      <c r="N374" s="174">
        <v>43388</v>
      </c>
      <c r="O374" s="49" t="s">
        <v>435</v>
      </c>
      <c r="P374" s="23" t="s">
        <v>17</v>
      </c>
      <c r="Q374" s="23" t="s">
        <v>17</v>
      </c>
      <c r="R374" s="150" t="s">
        <v>162</v>
      </c>
      <c r="S374" s="20" t="s">
        <v>11</v>
      </c>
      <c r="T374" s="20" t="s">
        <v>10</v>
      </c>
      <c r="U374" s="19">
        <v>0.02</v>
      </c>
      <c r="V374" s="19"/>
      <c r="W374" s="19"/>
      <c r="X374" s="19">
        <v>27</v>
      </c>
      <c r="Y374" s="19">
        <v>36</v>
      </c>
      <c r="Z374" s="19">
        <v>45</v>
      </c>
      <c r="AA374" s="40">
        <v>28</v>
      </c>
      <c r="AB374" s="40">
        <v>56</v>
      </c>
      <c r="AC374" s="40">
        <v>84</v>
      </c>
      <c r="AD374" s="40">
        <v>140</v>
      </c>
      <c r="AE374" s="40">
        <v>210</v>
      </c>
      <c r="AF374" s="40">
        <v>280</v>
      </c>
      <c r="AG374" s="40">
        <v>94.636139999999997</v>
      </c>
      <c r="AH374" s="40">
        <v>96.340069999999997</v>
      </c>
      <c r="AI374" s="40">
        <v>96.930219999999991</v>
      </c>
      <c r="AJ374" s="40">
        <v>97.37612</v>
      </c>
      <c r="AK374" s="40">
        <v>97.14246</v>
      </c>
      <c r="AL374" s="40">
        <v>96.57859999999998</v>
      </c>
      <c r="AM374" s="40">
        <v>96.997494500000002</v>
      </c>
      <c r="AN374" s="40">
        <v>94.562870000000004</v>
      </c>
      <c r="AO374" s="40">
        <v>95.684449999999998</v>
      </c>
      <c r="AP374" s="40">
        <v>96.451030000000003</v>
      </c>
      <c r="AQ374" s="40">
        <v>97.149680000000018</v>
      </c>
      <c r="AR374" s="40">
        <v>97.092019999999991</v>
      </c>
      <c r="AS374" s="40">
        <v>96.683809999999994</v>
      </c>
      <c r="AT374" s="40">
        <v>96.835254800000001</v>
      </c>
      <c r="AU374" s="40">
        <v>93.928889999999996</v>
      </c>
      <c r="AV374" s="40">
        <v>95.02709999999999</v>
      </c>
      <c r="AW374" s="40">
        <v>95.970729999999989</v>
      </c>
      <c r="AX374" s="40">
        <v>96.918510000000012</v>
      </c>
      <c r="AY374" s="40">
        <v>96.913079999999994</v>
      </c>
      <c r="AZ374" s="40">
        <v>96.59496</v>
      </c>
      <c r="BA374" s="40">
        <v>96.571565699999994</v>
      </c>
      <c r="BB374" s="174">
        <v>42948</v>
      </c>
      <c r="BC374" s="174">
        <v>43388</v>
      </c>
    </row>
    <row r="375" spans="1:55" s="44" customFormat="1" ht="45">
      <c r="A375" s="18" t="s">
        <v>160</v>
      </c>
      <c r="B375" s="18" t="s">
        <v>944</v>
      </c>
      <c r="C375" s="23" t="s">
        <v>10</v>
      </c>
      <c r="D375" s="23" t="s">
        <v>10</v>
      </c>
      <c r="E375" s="23" t="s">
        <v>10</v>
      </c>
      <c r="F375" s="23" t="s">
        <v>11</v>
      </c>
      <c r="G375" s="18" t="s">
        <v>163</v>
      </c>
      <c r="H375" s="19">
        <v>0.28000000000000003</v>
      </c>
      <c r="I375" s="19">
        <v>240</v>
      </c>
      <c r="J375" s="19">
        <v>97</v>
      </c>
      <c r="K375" s="21" t="s">
        <v>1219</v>
      </c>
      <c r="L375" s="49" t="s">
        <v>435</v>
      </c>
      <c r="M375" s="21" t="s">
        <v>436</v>
      </c>
      <c r="N375" s="174">
        <v>43388</v>
      </c>
      <c r="O375" s="49" t="s">
        <v>435</v>
      </c>
      <c r="P375" s="23" t="s">
        <v>17</v>
      </c>
      <c r="Q375" s="23" t="s">
        <v>17</v>
      </c>
      <c r="R375" s="150" t="s">
        <v>162</v>
      </c>
      <c r="S375" s="20" t="s">
        <v>11</v>
      </c>
      <c r="T375" s="20" t="s">
        <v>10</v>
      </c>
      <c r="U375" s="19">
        <v>0.02</v>
      </c>
      <c r="V375" s="19"/>
      <c r="W375" s="19"/>
      <c r="X375" s="19">
        <v>27</v>
      </c>
      <c r="Y375" s="19">
        <v>36</v>
      </c>
      <c r="Z375" s="19">
        <v>45</v>
      </c>
      <c r="AA375" s="40">
        <v>28</v>
      </c>
      <c r="AB375" s="40">
        <v>56</v>
      </c>
      <c r="AC375" s="40">
        <v>84</v>
      </c>
      <c r="AD375" s="40">
        <v>140</v>
      </c>
      <c r="AE375" s="40">
        <v>210</v>
      </c>
      <c r="AF375" s="40">
        <v>280</v>
      </c>
      <c r="AG375" s="40">
        <v>94.253059999999991</v>
      </c>
      <c r="AH375" s="40">
        <v>96.163120000000006</v>
      </c>
      <c r="AI375" s="40">
        <v>96.817109999999985</v>
      </c>
      <c r="AJ375" s="40">
        <v>97.302610000000016</v>
      </c>
      <c r="AK375" s="40">
        <v>97.145589999999984</v>
      </c>
      <c r="AL375" s="40">
        <v>96.716480000000004</v>
      </c>
      <c r="AM375" s="40">
        <v>96.952866400000005</v>
      </c>
      <c r="AN375" s="40">
        <v>94.554840000000013</v>
      </c>
      <c r="AO375" s="40">
        <v>95.744399999999999</v>
      </c>
      <c r="AP375" s="40">
        <v>96.281419999999983</v>
      </c>
      <c r="AQ375" s="40">
        <v>97.254899999999992</v>
      </c>
      <c r="AR375" s="40">
        <v>97.333410000000001</v>
      </c>
      <c r="AS375" s="40">
        <v>97.170069999999996</v>
      </c>
      <c r="AT375" s="40">
        <v>96.991923799999995</v>
      </c>
      <c r="AU375" s="40">
        <v>93.905879999999996</v>
      </c>
      <c r="AV375" s="40">
        <v>95.090100000000007</v>
      </c>
      <c r="AW375" s="40">
        <v>95.744929999999997</v>
      </c>
      <c r="AX375" s="40">
        <v>96.971979999999988</v>
      </c>
      <c r="AY375" s="40">
        <v>97.148679999999985</v>
      </c>
      <c r="AZ375" s="40">
        <v>97.038429999999991</v>
      </c>
      <c r="BA375" s="40">
        <v>96.704969500000004</v>
      </c>
      <c r="BB375" s="174">
        <v>42948</v>
      </c>
      <c r="BC375" s="174">
        <v>43388</v>
      </c>
    </row>
    <row r="376" spans="1:55" s="44" customFormat="1" ht="45">
      <c r="A376" s="18" t="s">
        <v>160</v>
      </c>
      <c r="B376" s="18" t="s">
        <v>945</v>
      </c>
      <c r="C376" s="23" t="s">
        <v>10</v>
      </c>
      <c r="D376" s="23" t="s">
        <v>10</v>
      </c>
      <c r="E376" s="23" t="s">
        <v>10</v>
      </c>
      <c r="F376" s="23" t="s">
        <v>11</v>
      </c>
      <c r="G376" s="18" t="s">
        <v>164</v>
      </c>
      <c r="H376" s="19">
        <v>0.28000000000000003</v>
      </c>
      <c r="I376" s="19">
        <v>208</v>
      </c>
      <c r="J376" s="19">
        <v>97</v>
      </c>
      <c r="K376" s="21" t="s">
        <v>1219</v>
      </c>
      <c r="L376" s="49" t="s">
        <v>435</v>
      </c>
      <c r="M376" s="21" t="s">
        <v>436</v>
      </c>
      <c r="N376" s="174">
        <v>43388</v>
      </c>
      <c r="O376" s="49" t="s">
        <v>435</v>
      </c>
      <c r="P376" s="23" t="s">
        <v>17</v>
      </c>
      <c r="Q376" s="23" t="s">
        <v>17</v>
      </c>
      <c r="R376" s="150" t="s">
        <v>162</v>
      </c>
      <c r="S376" s="20" t="s">
        <v>11</v>
      </c>
      <c r="T376" s="20" t="s">
        <v>10</v>
      </c>
      <c r="U376" s="19">
        <v>0.02</v>
      </c>
      <c r="V376" s="19"/>
      <c r="W376" s="19"/>
      <c r="X376" s="19">
        <v>27</v>
      </c>
      <c r="Y376" s="19">
        <v>36</v>
      </c>
      <c r="Z376" s="19">
        <v>45</v>
      </c>
      <c r="AA376" s="40">
        <v>28</v>
      </c>
      <c r="AB376" s="40">
        <v>56</v>
      </c>
      <c r="AC376" s="40">
        <v>84</v>
      </c>
      <c r="AD376" s="40">
        <v>140</v>
      </c>
      <c r="AE376" s="40">
        <v>210</v>
      </c>
      <c r="AF376" s="40">
        <v>280</v>
      </c>
      <c r="AG376" s="40">
        <v>94.636139999999997</v>
      </c>
      <c r="AH376" s="40">
        <v>96.340069999999997</v>
      </c>
      <c r="AI376" s="40">
        <v>96.930219999999991</v>
      </c>
      <c r="AJ376" s="40">
        <v>97.37612</v>
      </c>
      <c r="AK376" s="40">
        <v>97.14246</v>
      </c>
      <c r="AL376" s="40">
        <v>96.57859999999998</v>
      </c>
      <c r="AM376" s="40">
        <v>96.997494500000002</v>
      </c>
      <c r="AN376" s="40">
        <v>94.562870000000004</v>
      </c>
      <c r="AO376" s="40">
        <v>95.684449999999998</v>
      </c>
      <c r="AP376" s="40">
        <v>96.451030000000003</v>
      </c>
      <c r="AQ376" s="40">
        <v>97.149680000000018</v>
      </c>
      <c r="AR376" s="40">
        <v>97.092019999999991</v>
      </c>
      <c r="AS376" s="40">
        <v>96.683809999999994</v>
      </c>
      <c r="AT376" s="40">
        <v>96.835254800000001</v>
      </c>
      <c r="AU376" s="40">
        <v>93.928889999999996</v>
      </c>
      <c r="AV376" s="40">
        <v>95.02709999999999</v>
      </c>
      <c r="AW376" s="40">
        <v>95.970729999999989</v>
      </c>
      <c r="AX376" s="40">
        <v>96.918510000000012</v>
      </c>
      <c r="AY376" s="40">
        <v>96.913079999999994</v>
      </c>
      <c r="AZ376" s="40">
        <v>96.59496</v>
      </c>
      <c r="BA376" s="40">
        <v>96.571565699999994</v>
      </c>
      <c r="BB376" s="174">
        <v>42948</v>
      </c>
      <c r="BC376" s="174">
        <v>43388</v>
      </c>
    </row>
    <row r="377" spans="1:55" s="44" customFormat="1" ht="45">
      <c r="A377" s="18" t="s">
        <v>160</v>
      </c>
      <c r="B377" s="18" t="s">
        <v>946</v>
      </c>
      <c r="C377" s="23" t="s">
        <v>10</v>
      </c>
      <c r="D377" s="23" t="s">
        <v>10</v>
      </c>
      <c r="E377" s="23" t="s">
        <v>10</v>
      </c>
      <c r="F377" s="23" t="s">
        <v>11</v>
      </c>
      <c r="G377" s="18" t="s">
        <v>164</v>
      </c>
      <c r="H377" s="19">
        <v>0.28000000000000003</v>
      </c>
      <c r="I377" s="19">
        <v>240</v>
      </c>
      <c r="J377" s="19">
        <v>97</v>
      </c>
      <c r="K377" s="21" t="s">
        <v>1219</v>
      </c>
      <c r="L377" s="49" t="s">
        <v>435</v>
      </c>
      <c r="M377" s="21" t="s">
        <v>436</v>
      </c>
      <c r="N377" s="174">
        <v>43388</v>
      </c>
      <c r="O377" s="49" t="s">
        <v>435</v>
      </c>
      <c r="P377" s="23" t="s">
        <v>17</v>
      </c>
      <c r="Q377" s="23" t="s">
        <v>17</v>
      </c>
      <c r="R377" s="150" t="s">
        <v>162</v>
      </c>
      <c r="S377" s="20" t="s">
        <v>11</v>
      </c>
      <c r="T377" s="20" t="s">
        <v>10</v>
      </c>
      <c r="U377" s="19">
        <v>0.02</v>
      </c>
      <c r="V377" s="19"/>
      <c r="W377" s="19"/>
      <c r="X377" s="19">
        <v>27</v>
      </c>
      <c r="Y377" s="19">
        <v>36</v>
      </c>
      <c r="Z377" s="19">
        <v>45</v>
      </c>
      <c r="AA377" s="40">
        <v>28</v>
      </c>
      <c r="AB377" s="40">
        <v>56</v>
      </c>
      <c r="AC377" s="40">
        <v>84</v>
      </c>
      <c r="AD377" s="40">
        <v>140</v>
      </c>
      <c r="AE377" s="40">
        <v>210</v>
      </c>
      <c r="AF377" s="40">
        <v>280</v>
      </c>
      <c r="AG377" s="40">
        <v>94.253059999999991</v>
      </c>
      <c r="AH377" s="40">
        <v>96.163120000000006</v>
      </c>
      <c r="AI377" s="40">
        <v>96.817109999999985</v>
      </c>
      <c r="AJ377" s="40">
        <v>97.302610000000016</v>
      </c>
      <c r="AK377" s="40">
        <v>97.145589999999984</v>
      </c>
      <c r="AL377" s="40">
        <v>96.716480000000004</v>
      </c>
      <c r="AM377" s="40">
        <v>96.952866400000005</v>
      </c>
      <c r="AN377" s="40">
        <v>94.554840000000013</v>
      </c>
      <c r="AO377" s="40">
        <v>95.744399999999999</v>
      </c>
      <c r="AP377" s="40">
        <v>96.281419999999983</v>
      </c>
      <c r="AQ377" s="40">
        <v>97.254899999999992</v>
      </c>
      <c r="AR377" s="40">
        <v>97.333410000000001</v>
      </c>
      <c r="AS377" s="40">
        <v>97.170069999999996</v>
      </c>
      <c r="AT377" s="40">
        <v>96.991923799999995</v>
      </c>
      <c r="AU377" s="40">
        <v>93.905879999999996</v>
      </c>
      <c r="AV377" s="40">
        <v>95.090100000000007</v>
      </c>
      <c r="AW377" s="40">
        <v>95.744929999999997</v>
      </c>
      <c r="AX377" s="40">
        <v>96.971979999999988</v>
      </c>
      <c r="AY377" s="40">
        <v>97.148679999999985</v>
      </c>
      <c r="AZ377" s="40">
        <v>97.038429999999991</v>
      </c>
      <c r="BA377" s="40">
        <v>96.704969500000004</v>
      </c>
      <c r="BB377" s="174">
        <v>42948</v>
      </c>
      <c r="BC377" s="174">
        <v>43388</v>
      </c>
    </row>
    <row r="378" spans="1:55" s="44" customFormat="1" ht="45">
      <c r="A378" s="18" t="s">
        <v>160</v>
      </c>
      <c r="B378" s="18" t="s">
        <v>947</v>
      </c>
      <c r="C378" s="23" t="s">
        <v>10</v>
      </c>
      <c r="D378" s="23" t="s">
        <v>10</v>
      </c>
      <c r="E378" s="23" t="s">
        <v>10</v>
      </c>
      <c r="F378" s="23" t="s">
        <v>11</v>
      </c>
      <c r="G378" s="18" t="s">
        <v>164</v>
      </c>
      <c r="H378" s="19">
        <v>0.28000000000000003</v>
      </c>
      <c r="I378" s="19">
        <v>208</v>
      </c>
      <c r="J378" s="19">
        <v>97</v>
      </c>
      <c r="K378" s="21" t="s">
        <v>1219</v>
      </c>
      <c r="L378" s="49" t="s">
        <v>435</v>
      </c>
      <c r="M378" s="21" t="s">
        <v>436</v>
      </c>
      <c r="N378" s="174">
        <v>43388</v>
      </c>
      <c r="O378" s="49" t="s">
        <v>435</v>
      </c>
      <c r="P378" s="23" t="s">
        <v>17</v>
      </c>
      <c r="Q378" s="23" t="s">
        <v>17</v>
      </c>
      <c r="R378" s="150" t="s">
        <v>162</v>
      </c>
      <c r="S378" s="20" t="s">
        <v>11</v>
      </c>
      <c r="T378" s="20" t="s">
        <v>10</v>
      </c>
      <c r="U378" s="19">
        <v>0.02</v>
      </c>
      <c r="V378" s="19"/>
      <c r="W378" s="19"/>
      <c r="X378" s="19">
        <v>27</v>
      </c>
      <c r="Y378" s="19">
        <v>36</v>
      </c>
      <c r="Z378" s="19">
        <v>45</v>
      </c>
      <c r="AA378" s="40">
        <v>28</v>
      </c>
      <c r="AB378" s="40">
        <v>56</v>
      </c>
      <c r="AC378" s="40">
        <v>84</v>
      </c>
      <c r="AD378" s="40">
        <v>140</v>
      </c>
      <c r="AE378" s="40">
        <v>210</v>
      </c>
      <c r="AF378" s="40">
        <v>280</v>
      </c>
      <c r="AG378" s="40">
        <v>94.636139999999997</v>
      </c>
      <c r="AH378" s="40">
        <v>96.340069999999997</v>
      </c>
      <c r="AI378" s="40">
        <v>96.930219999999991</v>
      </c>
      <c r="AJ378" s="40">
        <v>97.37612</v>
      </c>
      <c r="AK378" s="40">
        <v>97.14246</v>
      </c>
      <c r="AL378" s="40">
        <v>96.57859999999998</v>
      </c>
      <c r="AM378" s="40">
        <v>96.997494500000002</v>
      </c>
      <c r="AN378" s="40">
        <v>94.562870000000004</v>
      </c>
      <c r="AO378" s="40">
        <v>95.684449999999998</v>
      </c>
      <c r="AP378" s="40">
        <v>96.451030000000003</v>
      </c>
      <c r="AQ378" s="40">
        <v>97.149680000000018</v>
      </c>
      <c r="AR378" s="40">
        <v>97.092019999999991</v>
      </c>
      <c r="AS378" s="40">
        <v>96.683809999999994</v>
      </c>
      <c r="AT378" s="40">
        <v>96.835254800000001</v>
      </c>
      <c r="AU378" s="40">
        <v>93.928889999999996</v>
      </c>
      <c r="AV378" s="40">
        <v>95.02709999999999</v>
      </c>
      <c r="AW378" s="40">
        <v>95.970729999999989</v>
      </c>
      <c r="AX378" s="40">
        <v>96.918510000000012</v>
      </c>
      <c r="AY378" s="40">
        <v>96.913079999999994</v>
      </c>
      <c r="AZ378" s="40">
        <v>96.59496</v>
      </c>
      <c r="BA378" s="40">
        <v>96.571565699999994</v>
      </c>
      <c r="BB378" s="174">
        <v>42948</v>
      </c>
      <c r="BC378" s="174">
        <v>43388</v>
      </c>
    </row>
    <row r="379" spans="1:55" s="44" customFormat="1" ht="45">
      <c r="A379" s="18" t="s">
        <v>160</v>
      </c>
      <c r="B379" s="18" t="s">
        <v>948</v>
      </c>
      <c r="C379" s="23" t="s">
        <v>10</v>
      </c>
      <c r="D379" s="23" t="s">
        <v>10</v>
      </c>
      <c r="E379" s="23" t="s">
        <v>10</v>
      </c>
      <c r="F379" s="23" t="s">
        <v>11</v>
      </c>
      <c r="G379" s="18" t="s">
        <v>164</v>
      </c>
      <c r="H379" s="19">
        <v>0.28000000000000003</v>
      </c>
      <c r="I379" s="19">
        <v>240</v>
      </c>
      <c r="J379" s="19">
        <v>97</v>
      </c>
      <c r="K379" s="21" t="s">
        <v>1219</v>
      </c>
      <c r="L379" s="49" t="s">
        <v>435</v>
      </c>
      <c r="M379" s="21" t="s">
        <v>436</v>
      </c>
      <c r="N379" s="174">
        <v>43388</v>
      </c>
      <c r="O379" s="49" t="s">
        <v>435</v>
      </c>
      <c r="P379" s="23" t="s">
        <v>17</v>
      </c>
      <c r="Q379" s="23" t="s">
        <v>17</v>
      </c>
      <c r="R379" s="150" t="s">
        <v>162</v>
      </c>
      <c r="S379" s="20" t="s">
        <v>11</v>
      </c>
      <c r="T379" s="20" t="s">
        <v>10</v>
      </c>
      <c r="U379" s="19">
        <v>0.02</v>
      </c>
      <c r="V379" s="19"/>
      <c r="W379" s="19"/>
      <c r="X379" s="19">
        <v>27</v>
      </c>
      <c r="Y379" s="19">
        <v>36</v>
      </c>
      <c r="Z379" s="19">
        <v>45</v>
      </c>
      <c r="AA379" s="40">
        <v>28</v>
      </c>
      <c r="AB379" s="40">
        <v>56</v>
      </c>
      <c r="AC379" s="40">
        <v>84</v>
      </c>
      <c r="AD379" s="40">
        <v>140</v>
      </c>
      <c r="AE379" s="40">
        <v>210</v>
      </c>
      <c r="AF379" s="40">
        <v>280</v>
      </c>
      <c r="AG379" s="40">
        <v>94.253059999999991</v>
      </c>
      <c r="AH379" s="40">
        <v>96.163120000000006</v>
      </c>
      <c r="AI379" s="40">
        <v>96.817109999999985</v>
      </c>
      <c r="AJ379" s="40">
        <v>97.302610000000016</v>
      </c>
      <c r="AK379" s="40">
        <v>97.145589999999984</v>
      </c>
      <c r="AL379" s="40">
        <v>96.716480000000004</v>
      </c>
      <c r="AM379" s="40">
        <v>96.952866400000005</v>
      </c>
      <c r="AN379" s="40">
        <v>94.554840000000013</v>
      </c>
      <c r="AO379" s="40">
        <v>95.744399999999999</v>
      </c>
      <c r="AP379" s="40">
        <v>96.281419999999983</v>
      </c>
      <c r="AQ379" s="40">
        <v>97.254899999999992</v>
      </c>
      <c r="AR379" s="40">
        <v>97.333410000000001</v>
      </c>
      <c r="AS379" s="40">
        <v>97.170069999999996</v>
      </c>
      <c r="AT379" s="40">
        <v>96.991923799999995</v>
      </c>
      <c r="AU379" s="40">
        <v>93.905879999999996</v>
      </c>
      <c r="AV379" s="40">
        <v>95.090100000000007</v>
      </c>
      <c r="AW379" s="40">
        <v>95.744929999999997</v>
      </c>
      <c r="AX379" s="40">
        <v>96.971979999999988</v>
      </c>
      <c r="AY379" s="40">
        <v>97.148679999999985</v>
      </c>
      <c r="AZ379" s="40">
        <v>97.038429999999991</v>
      </c>
      <c r="BA379" s="40">
        <v>96.704969500000004</v>
      </c>
      <c r="BB379" s="174">
        <v>42948</v>
      </c>
      <c r="BC379" s="174">
        <v>43388</v>
      </c>
    </row>
    <row r="380" spans="1:55" s="44" customFormat="1" ht="45">
      <c r="A380" s="18" t="s">
        <v>160</v>
      </c>
      <c r="B380" s="18" t="s">
        <v>949</v>
      </c>
      <c r="C380" s="23" t="s">
        <v>10</v>
      </c>
      <c r="D380" s="23" t="s">
        <v>10</v>
      </c>
      <c r="E380" s="23" t="s">
        <v>10</v>
      </c>
      <c r="F380" s="23" t="s">
        <v>11</v>
      </c>
      <c r="G380" s="18" t="s">
        <v>165</v>
      </c>
      <c r="H380" s="19">
        <v>0.28000000000000003</v>
      </c>
      <c r="I380" s="19">
        <v>208</v>
      </c>
      <c r="J380" s="19">
        <v>97</v>
      </c>
      <c r="K380" s="21" t="s">
        <v>1219</v>
      </c>
      <c r="L380" s="49" t="s">
        <v>435</v>
      </c>
      <c r="M380" s="21" t="s">
        <v>436</v>
      </c>
      <c r="N380" s="174">
        <v>43388</v>
      </c>
      <c r="O380" s="49" t="s">
        <v>435</v>
      </c>
      <c r="P380" s="23" t="s">
        <v>17</v>
      </c>
      <c r="Q380" s="23" t="s">
        <v>17</v>
      </c>
      <c r="R380" s="150" t="s">
        <v>162</v>
      </c>
      <c r="S380" s="20" t="s">
        <v>11</v>
      </c>
      <c r="T380" s="20" t="s">
        <v>10</v>
      </c>
      <c r="U380" s="19">
        <v>0.02</v>
      </c>
      <c r="V380" s="19"/>
      <c r="W380" s="19"/>
      <c r="X380" s="19">
        <v>27</v>
      </c>
      <c r="Y380" s="19">
        <v>36</v>
      </c>
      <c r="Z380" s="19">
        <v>45</v>
      </c>
      <c r="AA380" s="40">
        <v>28</v>
      </c>
      <c r="AB380" s="40">
        <v>56</v>
      </c>
      <c r="AC380" s="40">
        <v>84</v>
      </c>
      <c r="AD380" s="40">
        <v>140</v>
      </c>
      <c r="AE380" s="40">
        <v>210</v>
      </c>
      <c r="AF380" s="40">
        <v>280</v>
      </c>
      <c r="AG380" s="40">
        <v>94.636139999999997</v>
      </c>
      <c r="AH380" s="40">
        <v>96.340069999999997</v>
      </c>
      <c r="AI380" s="40">
        <v>96.930219999999991</v>
      </c>
      <c r="AJ380" s="40">
        <v>97.37612</v>
      </c>
      <c r="AK380" s="40">
        <v>97.14246</v>
      </c>
      <c r="AL380" s="40">
        <v>96.57859999999998</v>
      </c>
      <c r="AM380" s="40">
        <v>96.997494500000002</v>
      </c>
      <c r="AN380" s="40">
        <v>94.562870000000004</v>
      </c>
      <c r="AO380" s="40">
        <v>95.684449999999998</v>
      </c>
      <c r="AP380" s="40">
        <v>96.451030000000003</v>
      </c>
      <c r="AQ380" s="40">
        <v>97.149680000000018</v>
      </c>
      <c r="AR380" s="40">
        <v>97.092019999999991</v>
      </c>
      <c r="AS380" s="40">
        <v>96.683809999999994</v>
      </c>
      <c r="AT380" s="40">
        <v>96.835254800000001</v>
      </c>
      <c r="AU380" s="40">
        <v>93.928889999999996</v>
      </c>
      <c r="AV380" s="40">
        <v>95.02709999999999</v>
      </c>
      <c r="AW380" s="40">
        <v>95.970729999999989</v>
      </c>
      <c r="AX380" s="40">
        <v>96.918510000000012</v>
      </c>
      <c r="AY380" s="40">
        <v>96.913079999999994</v>
      </c>
      <c r="AZ380" s="40">
        <v>96.59496</v>
      </c>
      <c r="BA380" s="40">
        <v>96.571565699999994</v>
      </c>
      <c r="BB380" s="174">
        <v>42948</v>
      </c>
      <c r="BC380" s="174">
        <v>43388</v>
      </c>
    </row>
    <row r="381" spans="1:55" s="44" customFormat="1" ht="45">
      <c r="A381" s="18" t="s">
        <v>160</v>
      </c>
      <c r="B381" s="18" t="s">
        <v>950</v>
      </c>
      <c r="C381" s="23" t="s">
        <v>10</v>
      </c>
      <c r="D381" s="23" t="s">
        <v>10</v>
      </c>
      <c r="E381" s="23" t="s">
        <v>10</v>
      </c>
      <c r="F381" s="23" t="s">
        <v>11</v>
      </c>
      <c r="G381" s="18" t="s">
        <v>165</v>
      </c>
      <c r="H381" s="19">
        <v>0.28000000000000003</v>
      </c>
      <c r="I381" s="19">
        <v>240</v>
      </c>
      <c r="J381" s="19">
        <v>97</v>
      </c>
      <c r="K381" s="21" t="s">
        <v>1219</v>
      </c>
      <c r="L381" s="49" t="s">
        <v>435</v>
      </c>
      <c r="M381" s="21" t="s">
        <v>436</v>
      </c>
      <c r="N381" s="174">
        <v>43388</v>
      </c>
      <c r="O381" s="49" t="s">
        <v>435</v>
      </c>
      <c r="P381" s="23" t="s">
        <v>17</v>
      </c>
      <c r="Q381" s="23" t="s">
        <v>17</v>
      </c>
      <c r="R381" s="150" t="s">
        <v>162</v>
      </c>
      <c r="S381" s="20" t="s">
        <v>11</v>
      </c>
      <c r="T381" s="20" t="s">
        <v>10</v>
      </c>
      <c r="U381" s="19">
        <v>0.02</v>
      </c>
      <c r="V381" s="19"/>
      <c r="W381" s="19"/>
      <c r="X381" s="19">
        <v>27</v>
      </c>
      <c r="Y381" s="19">
        <v>36</v>
      </c>
      <c r="Z381" s="19">
        <v>45</v>
      </c>
      <c r="AA381" s="40">
        <v>28</v>
      </c>
      <c r="AB381" s="40">
        <v>56</v>
      </c>
      <c r="AC381" s="40">
        <v>84</v>
      </c>
      <c r="AD381" s="40">
        <v>140</v>
      </c>
      <c r="AE381" s="40">
        <v>210</v>
      </c>
      <c r="AF381" s="40">
        <v>280</v>
      </c>
      <c r="AG381" s="40">
        <v>94.3</v>
      </c>
      <c r="AH381" s="40">
        <v>96.2</v>
      </c>
      <c r="AI381" s="40">
        <v>96.8</v>
      </c>
      <c r="AJ381" s="40">
        <v>97.3</v>
      </c>
      <c r="AK381" s="40">
        <v>97.1</v>
      </c>
      <c r="AL381" s="40">
        <v>96.7</v>
      </c>
      <c r="AM381" s="40">
        <v>97</v>
      </c>
      <c r="AN381" s="40">
        <v>94.6</v>
      </c>
      <c r="AO381" s="40">
        <v>95.7</v>
      </c>
      <c r="AP381" s="40">
        <v>96.3</v>
      </c>
      <c r="AQ381" s="40">
        <v>97.3</v>
      </c>
      <c r="AR381" s="40">
        <v>97.3</v>
      </c>
      <c r="AS381" s="40">
        <v>97.2</v>
      </c>
      <c r="AT381" s="40">
        <v>97</v>
      </c>
      <c r="AU381" s="40">
        <v>93.9</v>
      </c>
      <c r="AV381" s="40">
        <v>95.1</v>
      </c>
      <c r="AW381" s="40">
        <v>95.7</v>
      </c>
      <c r="AX381" s="40">
        <v>97</v>
      </c>
      <c r="AY381" s="40">
        <v>97.1</v>
      </c>
      <c r="AZ381" s="40">
        <v>97</v>
      </c>
      <c r="BA381" s="40">
        <v>96.7</v>
      </c>
      <c r="BB381" s="174">
        <v>42948</v>
      </c>
      <c r="BC381" s="174">
        <v>43388</v>
      </c>
    </row>
    <row r="382" spans="1:55" s="44" customFormat="1" ht="45">
      <c r="A382" s="18" t="s">
        <v>160</v>
      </c>
      <c r="B382" s="18" t="s">
        <v>951</v>
      </c>
      <c r="C382" s="23" t="s">
        <v>10</v>
      </c>
      <c r="D382" s="23" t="s">
        <v>10</v>
      </c>
      <c r="E382" s="23" t="s">
        <v>10</v>
      </c>
      <c r="F382" s="23" t="s">
        <v>11</v>
      </c>
      <c r="G382" s="18" t="s">
        <v>166</v>
      </c>
      <c r="H382" s="19">
        <v>0.28000000000000003</v>
      </c>
      <c r="I382" s="19">
        <v>208</v>
      </c>
      <c r="J382" s="19">
        <v>97</v>
      </c>
      <c r="K382" s="21" t="s">
        <v>1219</v>
      </c>
      <c r="L382" s="49" t="s">
        <v>435</v>
      </c>
      <c r="M382" s="21" t="s">
        <v>436</v>
      </c>
      <c r="N382" s="174">
        <v>43388</v>
      </c>
      <c r="O382" s="49" t="s">
        <v>435</v>
      </c>
      <c r="P382" s="23" t="s">
        <v>17</v>
      </c>
      <c r="Q382" s="23" t="s">
        <v>17</v>
      </c>
      <c r="R382" s="150" t="s">
        <v>162</v>
      </c>
      <c r="S382" s="20" t="s">
        <v>11</v>
      </c>
      <c r="T382" s="20" t="s">
        <v>10</v>
      </c>
      <c r="U382" s="19">
        <v>0.02</v>
      </c>
      <c r="V382" s="19"/>
      <c r="W382" s="19"/>
      <c r="X382" s="19">
        <v>27</v>
      </c>
      <c r="Y382" s="19">
        <v>36</v>
      </c>
      <c r="Z382" s="19">
        <v>45</v>
      </c>
      <c r="AA382" s="40">
        <v>28</v>
      </c>
      <c r="AB382" s="40">
        <v>56</v>
      </c>
      <c r="AC382" s="40">
        <v>84</v>
      </c>
      <c r="AD382" s="40">
        <v>140</v>
      </c>
      <c r="AE382" s="40">
        <v>210</v>
      </c>
      <c r="AF382" s="40">
        <v>280</v>
      </c>
      <c r="AG382" s="40">
        <v>94.6</v>
      </c>
      <c r="AH382" s="40">
        <v>96.3</v>
      </c>
      <c r="AI382" s="40">
        <v>96.9</v>
      </c>
      <c r="AJ382" s="40">
        <v>97.4</v>
      </c>
      <c r="AK382" s="40">
        <v>97.1</v>
      </c>
      <c r="AL382" s="40">
        <v>96.6</v>
      </c>
      <c r="AM382" s="40">
        <v>97</v>
      </c>
      <c r="AN382" s="40">
        <v>94.6</v>
      </c>
      <c r="AO382" s="40">
        <v>95.7</v>
      </c>
      <c r="AP382" s="40">
        <v>96.5</v>
      </c>
      <c r="AQ382" s="40">
        <v>97.1</v>
      </c>
      <c r="AR382" s="40">
        <v>97.1</v>
      </c>
      <c r="AS382" s="40">
        <v>96.7</v>
      </c>
      <c r="AT382" s="40">
        <v>96.8</v>
      </c>
      <c r="AU382" s="40">
        <v>93.9</v>
      </c>
      <c r="AV382" s="40">
        <v>95</v>
      </c>
      <c r="AW382" s="40">
        <v>96</v>
      </c>
      <c r="AX382" s="40">
        <v>96.9</v>
      </c>
      <c r="AY382" s="40">
        <v>96.9</v>
      </c>
      <c r="AZ382" s="40">
        <v>96.6</v>
      </c>
      <c r="BA382" s="40">
        <v>96.6</v>
      </c>
      <c r="BB382" s="174">
        <v>42948</v>
      </c>
      <c r="BC382" s="174">
        <v>43388</v>
      </c>
    </row>
    <row r="383" spans="1:55" s="44" customFormat="1" ht="45">
      <c r="A383" s="18" t="s">
        <v>160</v>
      </c>
      <c r="B383" s="18" t="s">
        <v>952</v>
      </c>
      <c r="C383" s="23" t="s">
        <v>10</v>
      </c>
      <c r="D383" s="23" t="s">
        <v>10</v>
      </c>
      <c r="E383" s="23" t="s">
        <v>10</v>
      </c>
      <c r="F383" s="23" t="s">
        <v>11</v>
      </c>
      <c r="G383" s="18" t="s">
        <v>166</v>
      </c>
      <c r="H383" s="19">
        <v>0.28000000000000003</v>
      </c>
      <c r="I383" s="19">
        <v>240</v>
      </c>
      <c r="J383" s="19">
        <v>97</v>
      </c>
      <c r="K383" s="21" t="s">
        <v>1219</v>
      </c>
      <c r="L383" s="49" t="s">
        <v>435</v>
      </c>
      <c r="M383" s="21" t="s">
        <v>436</v>
      </c>
      <c r="N383" s="174">
        <v>43388</v>
      </c>
      <c r="O383" s="49" t="s">
        <v>435</v>
      </c>
      <c r="P383" s="23" t="s">
        <v>17</v>
      </c>
      <c r="Q383" s="23" t="s">
        <v>17</v>
      </c>
      <c r="R383" s="150" t="s">
        <v>162</v>
      </c>
      <c r="S383" s="20" t="s">
        <v>11</v>
      </c>
      <c r="T383" s="20" t="s">
        <v>10</v>
      </c>
      <c r="U383" s="19">
        <v>0.02</v>
      </c>
      <c r="V383" s="19"/>
      <c r="W383" s="19"/>
      <c r="X383" s="19">
        <v>27</v>
      </c>
      <c r="Y383" s="19">
        <v>36</v>
      </c>
      <c r="Z383" s="19">
        <v>45</v>
      </c>
      <c r="AA383" s="40">
        <v>28</v>
      </c>
      <c r="AB383" s="40">
        <v>56</v>
      </c>
      <c r="AC383" s="40">
        <v>84</v>
      </c>
      <c r="AD383" s="40">
        <v>140</v>
      </c>
      <c r="AE383" s="40">
        <v>210</v>
      </c>
      <c r="AF383" s="40">
        <v>280</v>
      </c>
      <c r="AG383" s="40">
        <v>94.3</v>
      </c>
      <c r="AH383" s="40">
        <v>96.2</v>
      </c>
      <c r="AI383" s="40">
        <v>96.8</v>
      </c>
      <c r="AJ383" s="40">
        <v>97.3</v>
      </c>
      <c r="AK383" s="40">
        <v>97.1</v>
      </c>
      <c r="AL383" s="40">
        <v>96.7</v>
      </c>
      <c r="AM383" s="40">
        <v>97</v>
      </c>
      <c r="AN383" s="40">
        <v>94.6</v>
      </c>
      <c r="AO383" s="40">
        <v>95.7</v>
      </c>
      <c r="AP383" s="40">
        <v>96.3</v>
      </c>
      <c r="AQ383" s="40">
        <v>97.3</v>
      </c>
      <c r="AR383" s="40">
        <v>97.3</v>
      </c>
      <c r="AS383" s="40">
        <v>97.2</v>
      </c>
      <c r="AT383" s="40">
        <v>97</v>
      </c>
      <c r="AU383" s="40">
        <v>93.9</v>
      </c>
      <c r="AV383" s="40">
        <v>95.1</v>
      </c>
      <c r="AW383" s="40">
        <v>95.7</v>
      </c>
      <c r="AX383" s="40">
        <v>97</v>
      </c>
      <c r="AY383" s="40">
        <v>97.1</v>
      </c>
      <c r="AZ383" s="40">
        <v>97</v>
      </c>
      <c r="BA383" s="40">
        <v>96.7</v>
      </c>
      <c r="BB383" s="174">
        <v>42948</v>
      </c>
      <c r="BC383" s="174">
        <v>43388</v>
      </c>
    </row>
    <row r="384" spans="1:55" s="44" customFormat="1" ht="60">
      <c r="A384" s="140" t="s">
        <v>160</v>
      </c>
      <c r="B384" s="18" t="s">
        <v>953</v>
      </c>
      <c r="C384" s="23" t="s">
        <v>10</v>
      </c>
      <c r="D384" s="23" t="s">
        <v>11</v>
      </c>
      <c r="E384" s="23" t="s">
        <v>10</v>
      </c>
      <c r="F384" s="23" t="s">
        <v>11</v>
      </c>
      <c r="G384" s="147" t="s">
        <v>515</v>
      </c>
      <c r="H384" s="19">
        <v>0.32</v>
      </c>
      <c r="I384" s="19">
        <v>208</v>
      </c>
      <c r="J384" s="19">
        <v>96</v>
      </c>
      <c r="K384" s="21" t="s">
        <v>1219</v>
      </c>
      <c r="L384" s="49" t="s">
        <v>516</v>
      </c>
      <c r="M384" s="21" t="s">
        <v>514</v>
      </c>
      <c r="N384" s="174" t="s">
        <v>17</v>
      </c>
      <c r="O384" s="49" t="s">
        <v>516</v>
      </c>
      <c r="P384" s="23" t="s">
        <v>17</v>
      </c>
      <c r="Q384" s="23" t="s">
        <v>17</v>
      </c>
      <c r="R384" s="150" t="s">
        <v>27</v>
      </c>
      <c r="S384" s="20" t="s">
        <v>11</v>
      </c>
      <c r="T384" s="20" t="s">
        <v>10</v>
      </c>
      <c r="U384" s="19">
        <v>0.85</v>
      </c>
      <c r="V384" s="19"/>
      <c r="W384" s="19"/>
      <c r="X384" s="19">
        <v>32</v>
      </c>
      <c r="Y384" s="19">
        <v>35</v>
      </c>
      <c r="Z384" s="19">
        <v>42</v>
      </c>
      <c r="AA384" s="40">
        <v>3.2000000000000001E-2</v>
      </c>
      <c r="AB384" s="40">
        <v>6.4000000000000001E-2</v>
      </c>
      <c r="AC384" s="40">
        <v>9.6000000000000002E-2</v>
      </c>
      <c r="AD384" s="40">
        <v>0.16</v>
      </c>
      <c r="AE384" s="40">
        <v>0.24</v>
      </c>
      <c r="AF384" s="40">
        <v>0.32</v>
      </c>
      <c r="AG384" s="40">
        <v>91.3</v>
      </c>
      <c r="AH384" s="40">
        <v>94.9</v>
      </c>
      <c r="AI384" s="40">
        <v>95.8</v>
      </c>
      <c r="AJ384" s="40">
        <v>96.5</v>
      </c>
      <c r="AK384" s="40">
        <v>96.4</v>
      </c>
      <c r="AL384" s="40">
        <v>95.3</v>
      </c>
      <c r="AM384" s="40">
        <v>96</v>
      </c>
      <c r="AN384" s="40">
        <v>90.8</v>
      </c>
      <c r="AO384" s="40">
        <v>94.9</v>
      </c>
      <c r="AP384" s="40">
        <v>95.4</v>
      </c>
      <c r="AQ384" s="40">
        <v>96.4</v>
      </c>
      <c r="AR384" s="40">
        <v>96.3</v>
      </c>
      <c r="AS384" s="40">
        <v>95.6</v>
      </c>
      <c r="AT384" s="40">
        <v>95.9</v>
      </c>
      <c r="AU384" s="40">
        <v>90.2</v>
      </c>
      <c r="AV384" s="40">
        <v>94.5</v>
      </c>
      <c r="AW384" s="40">
        <v>95.3</v>
      </c>
      <c r="AX384" s="40">
        <v>96.2</v>
      </c>
      <c r="AY384" s="40">
        <v>96.2</v>
      </c>
      <c r="AZ384" s="40">
        <v>95.8</v>
      </c>
      <c r="BA384" s="40">
        <v>95.7</v>
      </c>
      <c r="BB384" s="174">
        <v>43146</v>
      </c>
      <c r="BC384" s="178"/>
    </row>
    <row r="385" spans="1:55" s="44" customFormat="1" ht="60">
      <c r="A385" s="140" t="s">
        <v>160</v>
      </c>
      <c r="B385" s="18" t="s">
        <v>954</v>
      </c>
      <c r="C385" s="23" t="s">
        <v>10</v>
      </c>
      <c r="D385" s="23" t="s">
        <v>11</v>
      </c>
      <c r="E385" s="23" t="s">
        <v>10</v>
      </c>
      <c r="F385" s="23" t="s">
        <v>11</v>
      </c>
      <c r="G385" s="147" t="s">
        <v>520</v>
      </c>
      <c r="H385" s="19">
        <v>0.32</v>
      </c>
      <c r="I385" s="19">
        <v>240</v>
      </c>
      <c r="J385" s="19">
        <v>97</v>
      </c>
      <c r="K385" s="21" t="s">
        <v>1219</v>
      </c>
      <c r="L385" s="49" t="s">
        <v>516</v>
      </c>
      <c r="M385" s="21" t="s">
        <v>514</v>
      </c>
      <c r="N385" s="174" t="s">
        <v>17</v>
      </c>
      <c r="O385" s="49" t="s">
        <v>516</v>
      </c>
      <c r="P385" s="23" t="s">
        <v>17</v>
      </c>
      <c r="Q385" s="23" t="s">
        <v>17</v>
      </c>
      <c r="R385" s="150" t="s">
        <v>27</v>
      </c>
      <c r="S385" s="20" t="s">
        <v>11</v>
      </c>
      <c r="T385" s="20" t="s">
        <v>10</v>
      </c>
      <c r="U385" s="19">
        <v>0.16</v>
      </c>
      <c r="V385" s="19"/>
      <c r="W385" s="19"/>
      <c r="X385" s="19">
        <v>32</v>
      </c>
      <c r="Y385" s="19">
        <v>35</v>
      </c>
      <c r="Z385" s="19">
        <v>42</v>
      </c>
      <c r="AA385" s="40">
        <v>3.2000000000000001E-2</v>
      </c>
      <c r="AB385" s="40">
        <v>6.4000000000000001E-2</v>
      </c>
      <c r="AC385" s="40">
        <v>9.6000000000000002E-2</v>
      </c>
      <c r="AD385" s="40">
        <v>0.16</v>
      </c>
      <c r="AE385" s="40">
        <v>0.24</v>
      </c>
      <c r="AF385" s="40">
        <v>0.32</v>
      </c>
      <c r="AG385" s="40">
        <v>92.6</v>
      </c>
      <c r="AH385" s="40">
        <v>95.9</v>
      </c>
      <c r="AI385" s="40">
        <v>96.6</v>
      </c>
      <c r="AJ385" s="40">
        <v>97.2</v>
      </c>
      <c r="AK385" s="40">
        <v>97.2</v>
      </c>
      <c r="AL385" s="40">
        <v>96.8</v>
      </c>
      <c r="AM385" s="40">
        <v>96.9</v>
      </c>
      <c r="AN385" s="40">
        <v>92.6</v>
      </c>
      <c r="AO385" s="40">
        <v>95.9</v>
      </c>
      <c r="AP385" s="40">
        <v>96.6</v>
      </c>
      <c r="AQ385" s="40">
        <v>97.1</v>
      </c>
      <c r="AR385" s="40">
        <v>97.2</v>
      </c>
      <c r="AS385" s="40">
        <v>96.8</v>
      </c>
      <c r="AT385" s="40">
        <v>96.8</v>
      </c>
      <c r="AU385" s="40">
        <v>92.1</v>
      </c>
      <c r="AV385" s="40">
        <v>95.6</v>
      </c>
      <c r="AW385" s="40">
        <v>96.4</v>
      </c>
      <c r="AX385" s="40">
        <v>96.9</v>
      </c>
      <c r="AY385" s="40">
        <v>97</v>
      </c>
      <c r="AZ385" s="40">
        <v>96.8</v>
      </c>
      <c r="BA385" s="40">
        <v>96.6</v>
      </c>
      <c r="BB385" s="174">
        <v>43146</v>
      </c>
      <c r="BC385" s="178"/>
    </row>
    <row r="386" spans="1:55" s="44" customFormat="1" ht="60">
      <c r="A386" s="140" t="s">
        <v>160</v>
      </c>
      <c r="B386" s="18" t="s">
        <v>955</v>
      </c>
      <c r="C386" s="23" t="s">
        <v>10</v>
      </c>
      <c r="D386" s="23" t="s">
        <v>11</v>
      </c>
      <c r="E386" s="23" t="s">
        <v>10</v>
      </c>
      <c r="F386" s="23" t="s">
        <v>11</v>
      </c>
      <c r="G386" s="147" t="s">
        <v>517</v>
      </c>
      <c r="H386" s="19">
        <v>0.32</v>
      </c>
      <c r="I386" s="19">
        <v>208</v>
      </c>
      <c r="J386" s="19">
        <v>96</v>
      </c>
      <c r="K386" s="21" t="s">
        <v>1219</v>
      </c>
      <c r="L386" s="49" t="s">
        <v>516</v>
      </c>
      <c r="M386" s="21" t="s">
        <v>514</v>
      </c>
      <c r="N386" s="174" t="s">
        <v>17</v>
      </c>
      <c r="O386" s="49" t="s">
        <v>516</v>
      </c>
      <c r="P386" s="23" t="s">
        <v>17</v>
      </c>
      <c r="Q386" s="23" t="s">
        <v>17</v>
      </c>
      <c r="R386" s="150" t="s">
        <v>27</v>
      </c>
      <c r="S386" s="20" t="s">
        <v>11</v>
      </c>
      <c r="T386" s="20" t="s">
        <v>10</v>
      </c>
      <c r="U386" s="19">
        <v>0.85</v>
      </c>
      <c r="V386" s="19"/>
      <c r="W386" s="19"/>
      <c r="X386" s="19">
        <v>32</v>
      </c>
      <c r="Y386" s="19">
        <v>35</v>
      </c>
      <c r="Z386" s="19">
        <v>42</v>
      </c>
      <c r="AA386" s="40">
        <v>3.2000000000000001E-2</v>
      </c>
      <c r="AB386" s="40">
        <v>6.4000000000000001E-2</v>
      </c>
      <c r="AC386" s="40">
        <v>9.6000000000000002E-2</v>
      </c>
      <c r="AD386" s="40">
        <v>0.16</v>
      </c>
      <c r="AE386" s="40">
        <v>0.24</v>
      </c>
      <c r="AF386" s="40">
        <v>0.32</v>
      </c>
      <c r="AG386" s="40">
        <v>91.3</v>
      </c>
      <c r="AH386" s="40">
        <v>94.9</v>
      </c>
      <c r="AI386" s="40">
        <v>95.8</v>
      </c>
      <c r="AJ386" s="40">
        <v>96.5</v>
      </c>
      <c r="AK386" s="40">
        <v>96.4</v>
      </c>
      <c r="AL386" s="40">
        <v>95.3</v>
      </c>
      <c r="AM386" s="40">
        <v>96</v>
      </c>
      <c r="AN386" s="40">
        <v>90.8</v>
      </c>
      <c r="AO386" s="40">
        <v>94.9</v>
      </c>
      <c r="AP386" s="40">
        <v>95.4</v>
      </c>
      <c r="AQ386" s="40">
        <v>96.4</v>
      </c>
      <c r="AR386" s="40">
        <v>96.3</v>
      </c>
      <c r="AS386" s="40">
        <v>95.6</v>
      </c>
      <c r="AT386" s="40">
        <v>95.9</v>
      </c>
      <c r="AU386" s="40">
        <v>90.2</v>
      </c>
      <c r="AV386" s="40">
        <v>94.5</v>
      </c>
      <c r="AW386" s="40">
        <v>95.3</v>
      </c>
      <c r="AX386" s="40">
        <v>96.2</v>
      </c>
      <c r="AY386" s="40">
        <v>96.2</v>
      </c>
      <c r="AZ386" s="40">
        <v>95.8</v>
      </c>
      <c r="BA386" s="40">
        <v>95.7</v>
      </c>
      <c r="BB386" s="174">
        <v>43146</v>
      </c>
      <c r="BC386" s="178"/>
    </row>
    <row r="387" spans="1:55" s="44" customFormat="1" ht="60">
      <c r="A387" s="140" t="s">
        <v>160</v>
      </c>
      <c r="B387" s="18" t="s">
        <v>956</v>
      </c>
      <c r="C387" s="23" t="s">
        <v>10</v>
      </c>
      <c r="D387" s="23" t="s">
        <v>11</v>
      </c>
      <c r="E387" s="23" t="s">
        <v>10</v>
      </c>
      <c r="F387" s="23" t="s">
        <v>11</v>
      </c>
      <c r="G387" s="147" t="s">
        <v>521</v>
      </c>
      <c r="H387" s="19">
        <v>0.32</v>
      </c>
      <c r="I387" s="19">
        <v>240</v>
      </c>
      <c r="J387" s="19">
        <v>97</v>
      </c>
      <c r="K387" s="21" t="s">
        <v>1219</v>
      </c>
      <c r="L387" s="49" t="s">
        <v>516</v>
      </c>
      <c r="M387" s="21" t="s">
        <v>514</v>
      </c>
      <c r="N387" s="174" t="s">
        <v>17</v>
      </c>
      <c r="O387" s="49" t="s">
        <v>516</v>
      </c>
      <c r="P387" s="23" t="s">
        <v>17</v>
      </c>
      <c r="Q387" s="23" t="s">
        <v>17</v>
      </c>
      <c r="R387" s="150" t="s">
        <v>27</v>
      </c>
      <c r="S387" s="20" t="s">
        <v>11</v>
      </c>
      <c r="T387" s="20" t="s">
        <v>10</v>
      </c>
      <c r="U387" s="19">
        <v>0.16</v>
      </c>
      <c r="V387" s="19"/>
      <c r="W387" s="19"/>
      <c r="X387" s="19">
        <v>32</v>
      </c>
      <c r="Y387" s="19">
        <v>35</v>
      </c>
      <c r="Z387" s="19">
        <v>42</v>
      </c>
      <c r="AA387" s="40">
        <v>3.2000000000000001E-2</v>
      </c>
      <c r="AB387" s="40">
        <v>6.4000000000000001E-2</v>
      </c>
      <c r="AC387" s="40">
        <v>9.6000000000000002E-2</v>
      </c>
      <c r="AD387" s="40">
        <v>0.16</v>
      </c>
      <c r="AE387" s="40">
        <v>0.24</v>
      </c>
      <c r="AF387" s="40">
        <v>0.32</v>
      </c>
      <c r="AG387" s="40">
        <v>92.6</v>
      </c>
      <c r="AH387" s="40">
        <v>95.9</v>
      </c>
      <c r="AI387" s="40">
        <v>96.6</v>
      </c>
      <c r="AJ387" s="40">
        <v>97.2</v>
      </c>
      <c r="AK387" s="40">
        <v>97.2</v>
      </c>
      <c r="AL387" s="40">
        <v>96.8</v>
      </c>
      <c r="AM387" s="40">
        <v>96.9</v>
      </c>
      <c r="AN387" s="40">
        <v>92.6</v>
      </c>
      <c r="AO387" s="40">
        <v>95.9</v>
      </c>
      <c r="AP387" s="40">
        <v>96.6</v>
      </c>
      <c r="AQ387" s="40">
        <v>97.1</v>
      </c>
      <c r="AR387" s="40">
        <v>97.2</v>
      </c>
      <c r="AS387" s="40">
        <v>96.8</v>
      </c>
      <c r="AT387" s="40">
        <v>96.8</v>
      </c>
      <c r="AU387" s="40">
        <v>92.1</v>
      </c>
      <c r="AV387" s="40">
        <v>95.6</v>
      </c>
      <c r="AW387" s="40">
        <v>96.4</v>
      </c>
      <c r="AX387" s="40">
        <v>96.9</v>
      </c>
      <c r="AY387" s="40">
        <v>97</v>
      </c>
      <c r="AZ387" s="40">
        <v>96.8</v>
      </c>
      <c r="BA387" s="40">
        <v>96.6</v>
      </c>
      <c r="BB387" s="174">
        <v>43146</v>
      </c>
      <c r="BC387" s="178"/>
    </row>
    <row r="388" spans="1:55" s="44" customFormat="1" ht="60">
      <c r="A388" s="140" t="s">
        <v>160</v>
      </c>
      <c r="B388" s="18" t="s">
        <v>957</v>
      </c>
      <c r="C388" s="23" t="s">
        <v>10</v>
      </c>
      <c r="D388" s="23" t="s">
        <v>11</v>
      </c>
      <c r="E388" s="23" t="s">
        <v>10</v>
      </c>
      <c r="F388" s="23" t="s">
        <v>11</v>
      </c>
      <c r="G388" s="147" t="s">
        <v>518</v>
      </c>
      <c r="H388" s="19">
        <v>0.32</v>
      </c>
      <c r="I388" s="19">
        <v>208</v>
      </c>
      <c r="J388" s="19">
        <v>96</v>
      </c>
      <c r="K388" s="21" t="s">
        <v>1219</v>
      </c>
      <c r="L388" s="49" t="s">
        <v>516</v>
      </c>
      <c r="M388" s="21" t="s">
        <v>514</v>
      </c>
      <c r="N388" s="174" t="s">
        <v>17</v>
      </c>
      <c r="O388" s="49" t="s">
        <v>516</v>
      </c>
      <c r="P388" s="23" t="s">
        <v>17</v>
      </c>
      <c r="Q388" s="23" t="s">
        <v>17</v>
      </c>
      <c r="R388" s="150" t="s">
        <v>27</v>
      </c>
      <c r="S388" s="20" t="s">
        <v>11</v>
      </c>
      <c r="T388" s="20" t="s">
        <v>10</v>
      </c>
      <c r="U388" s="19">
        <v>0.85</v>
      </c>
      <c r="V388" s="19"/>
      <c r="W388" s="19"/>
      <c r="X388" s="19">
        <v>32</v>
      </c>
      <c r="Y388" s="19">
        <v>35</v>
      </c>
      <c r="Z388" s="19">
        <v>42</v>
      </c>
      <c r="AA388" s="40">
        <v>3.2000000000000001E-2</v>
      </c>
      <c r="AB388" s="40">
        <v>6.4000000000000001E-2</v>
      </c>
      <c r="AC388" s="40">
        <v>9.6000000000000002E-2</v>
      </c>
      <c r="AD388" s="40">
        <v>0.16</v>
      </c>
      <c r="AE388" s="40">
        <v>0.24</v>
      </c>
      <c r="AF388" s="40">
        <v>0.32</v>
      </c>
      <c r="AG388" s="40">
        <v>91.3</v>
      </c>
      <c r="AH388" s="40">
        <v>94.9</v>
      </c>
      <c r="AI388" s="40">
        <v>95.8</v>
      </c>
      <c r="AJ388" s="40">
        <v>96.5</v>
      </c>
      <c r="AK388" s="40">
        <v>96.4</v>
      </c>
      <c r="AL388" s="40">
        <v>95.3</v>
      </c>
      <c r="AM388" s="40">
        <v>96</v>
      </c>
      <c r="AN388" s="40">
        <v>90.8</v>
      </c>
      <c r="AO388" s="40">
        <v>94.9</v>
      </c>
      <c r="AP388" s="40">
        <v>95.4</v>
      </c>
      <c r="AQ388" s="40">
        <v>96.4</v>
      </c>
      <c r="AR388" s="40">
        <v>96.3</v>
      </c>
      <c r="AS388" s="40">
        <v>95.6</v>
      </c>
      <c r="AT388" s="40">
        <v>95.9</v>
      </c>
      <c r="AU388" s="40">
        <v>90.2</v>
      </c>
      <c r="AV388" s="40">
        <v>94.5</v>
      </c>
      <c r="AW388" s="40">
        <v>95.3</v>
      </c>
      <c r="AX388" s="40">
        <v>96.2</v>
      </c>
      <c r="AY388" s="40">
        <v>96.2</v>
      </c>
      <c r="AZ388" s="40">
        <v>95.8</v>
      </c>
      <c r="BA388" s="40">
        <v>95.7</v>
      </c>
      <c r="BB388" s="174">
        <v>43146</v>
      </c>
      <c r="BC388" s="178"/>
    </row>
    <row r="389" spans="1:55" s="44" customFormat="1" ht="60">
      <c r="A389" s="140" t="s">
        <v>160</v>
      </c>
      <c r="B389" s="18" t="s">
        <v>958</v>
      </c>
      <c r="C389" s="23" t="s">
        <v>10</v>
      </c>
      <c r="D389" s="23" t="s">
        <v>11</v>
      </c>
      <c r="E389" s="23" t="s">
        <v>10</v>
      </c>
      <c r="F389" s="23" t="s">
        <v>11</v>
      </c>
      <c r="G389" s="147" t="s">
        <v>522</v>
      </c>
      <c r="H389" s="19">
        <v>0.32</v>
      </c>
      <c r="I389" s="19">
        <v>240</v>
      </c>
      <c r="J389" s="19">
        <v>97</v>
      </c>
      <c r="K389" s="21" t="s">
        <v>1219</v>
      </c>
      <c r="L389" s="49" t="s">
        <v>516</v>
      </c>
      <c r="M389" s="21" t="s">
        <v>514</v>
      </c>
      <c r="N389" s="174" t="s">
        <v>17</v>
      </c>
      <c r="O389" s="49" t="s">
        <v>516</v>
      </c>
      <c r="P389" s="23" t="s">
        <v>17</v>
      </c>
      <c r="Q389" s="23" t="s">
        <v>17</v>
      </c>
      <c r="R389" s="150" t="s">
        <v>27</v>
      </c>
      <c r="S389" s="20" t="s">
        <v>11</v>
      </c>
      <c r="T389" s="20" t="s">
        <v>10</v>
      </c>
      <c r="U389" s="19">
        <v>0.16</v>
      </c>
      <c r="V389" s="19"/>
      <c r="W389" s="19"/>
      <c r="X389" s="19">
        <v>32</v>
      </c>
      <c r="Y389" s="19">
        <v>35</v>
      </c>
      <c r="Z389" s="19">
        <v>42</v>
      </c>
      <c r="AA389" s="40">
        <v>3.2000000000000001E-2</v>
      </c>
      <c r="AB389" s="40">
        <v>6.4000000000000001E-2</v>
      </c>
      <c r="AC389" s="40">
        <v>9.6000000000000002E-2</v>
      </c>
      <c r="AD389" s="40">
        <v>0.16</v>
      </c>
      <c r="AE389" s="40">
        <v>0.24</v>
      </c>
      <c r="AF389" s="40">
        <v>0.32</v>
      </c>
      <c r="AG389" s="40">
        <v>92.6</v>
      </c>
      <c r="AH389" s="40">
        <v>95.9</v>
      </c>
      <c r="AI389" s="40">
        <v>96.6</v>
      </c>
      <c r="AJ389" s="40">
        <v>97.2</v>
      </c>
      <c r="AK389" s="40">
        <v>97.2</v>
      </c>
      <c r="AL389" s="40">
        <v>96.8</v>
      </c>
      <c r="AM389" s="40">
        <v>96.9</v>
      </c>
      <c r="AN389" s="40">
        <v>92.6</v>
      </c>
      <c r="AO389" s="40">
        <v>95.9</v>
      </c>
      <c r="AP389" s="40">
        <v>96.6</v>
      </c>
      <c r="AQ389" s="40">
        <v>97.1</v>
      </c>
      <c r="AR389" s="40">
        <v>97.2</v>
      </c>
      <c r="AS389" s="40">
        <v>96.8</v>
      </c>
      <c r="AT389" s="40">
        <v>96.8</v>
      </c>
      <c r="AU389" s="40">
        <v>92.1</v>
      </c>
      <c r="AV389" s="40">
        <v>95.6</v>
      </c>
      <c r="AW389" s="40">
        <v>96.4</v>
      </c>
      <c r="AX389" s="40">
        <v>96.9</v>
      </c>
      <c r="AY389" s="40">
        <v>97</v>
      </c>
      <c r="AZ389" s="40">
        <v>96.8</v>
      </c>
      <c r="BA389" s="40">
        <v>96.6</v>
      </c>
      <c r="BB389" s="174">
        <v>43146</v>
      </c>
      <c r="BC389" s="178"/>
    </row>
    <row r="390" spans="1:55" s="44" customFormat="1" ht="60">
      <c r="A390" s="18" t="s">
        <v>160</v>
      </c>
      <c r="B390" s="18" t="s">
        <v>1815</v>
      </c>
      <c r="C390" s="23" t="s">
        <v>10</v>
      </c>
      <c r="D390" s="23" t="s">
        <v>10</v>
      </c>
      <c r="E390" s="23" t="s">
        <v>10</v>
      </c>
      <c r="F390" s="23" t="s">
        <v>11</v>
      </c>
      <c r="G390" s="18" t="s">
        <v>1792</v>
      </c>
      <c r="H390" s="19">
        <v>0.32200000000000001</v>
      </c>
      <c r="I390" s="37">
        <v>208</v>
      </c>
      <c r="J390" s="19">
        <v>96.4</v>
      </c>
      <c r="K390" s="20" t="s">
        <v>1219</v>
      </c>
      <c r="L390" s="49" t="s">
        <v>1793</v>
      </c>
      <c r="M390" s="38" t="s">
        <v>1794</v>
      </c>
      <c r="N390" s="124">
        <v>43753</v>
      </c>
      <c r="O390" s="38" t="s">
        <v>1793</v>
      </c>
      <c r="P390" s="38" t="s">
        <v>17</v>
      </c>
      <c r="Q390" s="38" t="s">
        <v>17</v>
      </c>
      <c r="R390" s="151" t="s">
        <v>162</v>
      </c>
      <c r="S390" s="39" t="s">
        <v>11</v>
      </c>
      <c r="T390" s="39" t="s">
        <v>10</v>
      </c>
      <c r="U390" s="153">
        <v>0.11</v>
      </c>
      <c r="V390" s="153"/>
      <c r="W390" s="153"/>
      <c r="X390" s="153">
        <v>32</v>
      </c>
      <c r="Y390" s="153">
        <v>35</v>
      </c>
      <c r="Z390" s="153">
        <v>42</v>
      </c>
      <c r="AA390" s="40">
        <v>3.2245584333333376E-2</v>
      </c>
      <c r="AB390" s="40">
        <v>6.4491168666666751E-2</v>
      </c>
      <c r="AC390" s="40">
        <v>9.6736753000000106E-2</v>
      </c>
      <c r="AD390" s="40">
        <v>0.16122792166666686</v>
      </c>
      <c r="AE390" s="40">
        <v>0.24184188250000027</v>
      </c>
      <c r="AF390" s="40">
        <v>0.32245584333333371</v>
      </c>
      <c r="AG390" s="40">
        <v>93.501750276243101</v>
      </c>
      <c r="AH390" s="40">
        <v>96.119155590916733</v>
      </c>
      <c r="AI390" s="40">
        <v>96.21239116022106</v>
      </c>
      <c r="AJ390" s="40">
        <v>96.933422099447512</v>
      </c>
      <c r="AK390" s="40">
        <v>96.761991160220816</v>
      </c>
      <c r="AL390" s="40">
        <v>95.823264640884048</v>
      </c>
      <c r="AM390" s="40">
        <v>96.5225519176673</v>
      </c>
      <c r="AN390" s="40">
        <v>93.31171160220994</v>
      </c>
      <c r="AO390" s="40">
        <v>95.996981552164812</v>
      </c>
      <c r="AP390" s="40">
        <v>95.993242541436459</v>
      </c>
      <c r="AQ390" s="40">
        <v>96.829142019643868</v>
      </c>
      <c r="AR390" s="40">
        <v>96.710827071823189</v>
      </c>
      <c r="AS390" s="40">
        <v>96.017313259668299</v>
      </c>
      <c r="AT390" s="40">
        <v>96.443230481843926</v>
      </c>
      <c r="AU390" s="40">
        <v>92.760658011049742</v>
      </c>
      <c r="AV390" s="40">
        <v>95.72480220994477</v>
      </c>
      <c r="AW390" s="40">
        <v>95.529522651933647</v>
      </c>
      <c r="AX390" s="40">
        <v>96.597681215469635</v>
      </c>
      <c r="AY390" s="40">
        <v>96.567816022099379</v>
      </c>
      <c r="AZ390" s="40">
        <v>96.093392265193287</v>
      </c>
      <c r="BA390" s="40">
        <v>96.231334309392224</v>
      </c>
      <c r="BB390" s="180">
        <v>43753</v>
      </c>
      <c r="BC390" s="180"/>
    </row>
    <row r="391" spans="1:55" s="44" customFormat="1" ht="60">
      <c r="A391" s="18" t="s">
        <v>160</v>
      </c>
      <c r="B391" s="18" t="s">
        <v>1811</v>
      </c>
      <c r="C391" s="23" t="s">
        <v>10</v>
      </c>
      <c r="D391" s="23" t="s">
        <v>10</v>
      </c>
      <c r="E391" s="23" t="s">
        <v>10</v>
      </c>
      <c r="F391" s="23" t="s">
        <v>11</v>
      </c>
      <c r="G391" s="18" t="s">
        <v>1798</v>
      </c>
      <c r="H391" s="19">
        <v>0.32100000000000001</v>
      </c>
      <c r="I391" s="37">
        <v>240</v>
      </c>
      <c r="J391" s="19">
        <v>96.8</v>
      </c>
      <c r="K391" s="20" t="s">
        <v>1219</v>
      </c>
      <c r="L391" s="49" t="s">
        <v>1793</v>
      </c>
      <c r="M391" s="38" t="s">
        <v>1794</v>
      </c>
      <c r="N391" s="124">
        <v>43753</v>
      </c>
      <c r="O391" s="38" t="s">
        <v>1793</v>
      </c>
      <c r="P391" s="38" t="s">
        <v>17</v>
      </c>
      <c r="Q391" s="38" t="s">
        <v>17</v>
      </c>
      <c r="R391" s="151" t="s">
        <v>162</v>
      </c>
      <c r="S391" s="39" t="s">
        <v>11</v>
      </c>
      <c r="T391" s="39" t="s">
        <v>10</v>
      </c>
      <c r="U391" s="153">
        <v>0.15</v>
      </c>
      <c r="V391" s="153"/>
      <c r="W391" s="153"/>
      <c r="X391" s="153">
        <v>32</v>
      </c>
      <c r="Y391" s="153">
        <v>35</v>
      </c>
      <c r="Z391" s="153">
        <v>42</v>
      </c>
      <c r="AA391" s="40">
        <v>3.2101461295681102E-2</v>
      </c>
      <c r="AB391" s="40">
        <v>6.4202922591362205E-2</v>
      </c>
      <c r="AC391" s="40">
        <v>9.6304383887043293E-2</v>
      </c>
      <c r="AD391" s="40">
        <v>0.1605073064784055</v>
      </c>
      <c r="AE391" s="40">
        <v>0.24076095971760825</v>
      </c>
      <c r="AF391" s="40">
        <v>0.321014612956811</v>
      </c>
      <c r="AG391" s="40">
        <v>92.781996685082845</v>
      </c>
      <c r="AH391" s="40">
        <v>96.016577900552448</v>
      </c>
      <c r="AI391" s="40">
        <v>96.712061325966872</v>
      </c>
      <c r="AJ391" s="40">
        <v>97.206571823204499</v>
      </c>
      <c r="AK391" s="40">
        <v>97.206013812154794</v>
      </c>
      <c r="AL391" s="40">
        <v>96.785938015947153</v>
      </c>
      <c r="AM391" s="40">
        <v>96.889420425659296</v>
      </c>
      <c r="AN391" s="40">
        <v>92.780040331491676</v>
      </c>
      <c r="AO391" s="40">
        <v>95.940045856353578</v>
      </c>
      <c r="AP391" s="40">
        <v>96.643065745856305</v>
      </c>
      <c r="AQ391" s="40">
        <v>97.121097790055131</v>
      </c>
      <c r="AR391" s="40">
        <v>97.151420441989018</v>
      </c>
      <c r="AS391" s="40">
        <v>96.856468508287477</v>
      </c>
      <c r="AT391" s="40">
        <v>96.833878591160243</v>
      </c>
      <c r="AU391" s="40">
        <v>92.188028176795584</v>
      </c>
      <c r="AV391" s="40">
        <v>95.705816022099413</v>
      </c>
      <c r="AW391" s="40">
        <v>96.460323756906035</v>
      </c>
      <c r="AX391" s="40">
        <v>96.832819337016616</v>
      </c>
      <c r="AY391" s="40">
        <v>96.973497237569191</v>
      </c>
      <c r="AZ391" s="40">
        <v>96.799745215102377</v>
      </c>
      <c r="BA391" s="40">
        <v>96.618883636445801</v>
      </c>
      <c r="BB391" s="180">
        <v>43753</v>
      </c>
      <c r="BC391" s="180"/>
    </row>
    <row r="392" spans="1:55" s="44" customFormat="1" ht="60">
      <c r="A392" s="140" t="s">
        <v>160</v>
      </c>
      <c r="B392" s="18" t="s">
        <v>959</v>
      </c>
      <c r="C392" s="23" t="s">
        <v>10</v>
      </c>
      <c r="D392" s="23" t="s">
        <v>11</v>
      </c>
      <c r="E392" s="23" t="s">
        <v>10</v>
      </c>
      <c r="F392" s="23" t="s">
        <v>11</v>
      </c>
      <c r="G392" s="147" t="s">
        <v>519</v>
      </c>
      <c r="H392" s="19">
        <v>0.32</v>
      </c>
      <c r="I392" s="19">
        <v>208</v>
      </c>
      <c r="J392" s="19">
        <v>96</v>
      </c>
      <c r="K392" s="21" t="s">
        <v>1219</v>
      </c>
      <c r="L392" s="49" t="s">
        <v>516</v>
      </c>
      <c r="M392" s="21" t="s">
        <v>514</v>
      </c>
      <c r="N392" s="174" t="s">
        <v>17</v>
      </c>
      <c r="O392" s="49" t="s">
        <v>516</v>
      </c>
      <c r="P392" s="23" t="s">
        <v>17</v>
      </c>
      <c r="Q392" s="23" t="s">
        <v>17</v>
      </c>
      <c r="R392" s="150" t="s">
        <v>27</v>
      </c>
      <c r="S392" s="20" t="s">
        <v>11</v>
      </c>
      <c r="T392" s="20" t="s">
        <v>10</v>
      </c>
      <c r="U392" s="19">
        <v>0.85</v>
      </c>
      <c r="V392" s="19"/>
      <c r="W392" s="19"/>
      <c r="X392" s="19">
        <v>32</v>
      </c>
      <c r="Y392" s="19">
        <v>35</v>
      </c>
      <c r="Z392" s="19">
        <v>42</v>
      </c>
      <c r="AA392" s="40">
        <v>3.2000000000000001E-2</v>
      </c>
      <c r="AB392" s="40">
        <v>6.4000000000000001E-2</v>
      </c>
      <c r="AC392" s="40">
        <v>9.6000000000000002E-2</v>
      </c>
      <c r="AD392" s="40">
        <v>0.16</v>
      </c>
      <c r="AE392" s="40">
        <v>0.24</v>
      </c>
      <c r="AF392" s="40">
        <v>0.32</v>
      </c>
      <c r="AG392" s="40">
        <v>91.3</v>
      </c>
      <c r="AH392" s="40">
        <v>94.9</v>
      </c>
      <c r="AI392" s="40">
        <v>95.8</v>
      </c>
      <c r="AJ392" s="40">
        <v>96.5</v>
      </c>
      <c r="AK392" s="40">
        <v>96.4</v>
      </c>
      <c r="AL392" s="40">
        <v>95.3</v>
      </c>
      <c r="AM392" s="40">
        <v>96</v>
      </c>
      <c r="AN392" s="40">
        <v>90.8</v>
      </c>
      <c r="AO392" s="40">
        <v>94.9</v>
      </c>
      <c r="AP392" s="40">
        <v>95.4</v>
      </c>
      <c r="AQ392" s="40">
        <v>96.4</v>
      </c>
      <c r="AR392" s="40">
        <v>96.3</v>
      </c>
      <c r="AS392" s="40">
        <v>95.6</v>
      </c>
      <c r="AT392" s="40">
        <v>95.9</v>
      </c>
      <c r="AU392" s="40">
        <v>90.2</v>
      </c>
      <c r="AV392" s="40">
        <v>94.5</v>
      </c>
      <c r="AW392" s="40">
        <v>95.3</v>
      </c>
      <c r="AX392" s="40">
        <v>96.2</v>
      </c>
      <c r="AY392" s="40">
        <v>96.2</v>
      </c>
      <c r="AZ392" s="40">
        <v>95.8</v>
      </c>
      <c r="BA392" s="40">
        <v>95.7</v>
      </c>
      <c r="BB392" s="174">
        <v>43146</v>
      </c>
      <c r="BC392" s="178"/>
    </row>
    <row r="393" spans="1:55" s="44" customFormat="1" ht="60">
      <c r="A393" s="140" t="s">
        <v>160</v>
      </c>
      <c r="B393" s="18" t="s">
        <v>960</v>
      </c>
      <c r="C393" s="23" t="s">
        <v>10</v>
      </c>
      <c r="D393" s="23" t="s">
        <v>11</v>
      </c>
      <c r="E393" s="23" t="s">
        <v>10</v>
      </c>
      <c r="F393" s="23" t="s">
        <v>11</v>
      </c>
      <c r="G393" s="147" t="s">
        <v>523</v>
      </c>
      <c r="H393" s="19">
        <v>0.32</v>
      </c>
      <c r="I393" s="19">
        <v>240</v>
      </c>
      <c r="J393" s="19">
        <v>97</v>
      </c>
      <c r="K393" s="21" t="s">
        <v>1219</v>
      </c>
      <c r="L393" s="49" t="s">
        <v>516</v>
      </c>
      <c r="M393" s="21" t="s">
        <v>514</v>
      </c>
      <c r="N393" s="174" t="s">
        <v>17</v>
      </c>
      <c r="O393" s="49" t="s">
        <v>516</v>
      </c>
      <c r="P393" s="23" t="s">
        <v>17</v>
      </c>
      <c r="Q393" s="23" t="s">
        <v>17</v>
      </c>
      <c r="R393" s="150" t="s">
        <v>27</v>
      </c>
      <c r="S393" s="20" t="s">
        <v>11</v>
      </c>
      <c r="T393" s="20" t="s">
        <v>10</v>
      </c>
      <c r="U393" s="19">
        <v>0.16</v>
      </c>
      <c r="V393" s="19"/>
      <c r="W393" s="19"/>
      <c r="X393" s="19">
        <v>32</v>
      </c>
      <c r="Y393" s="19">
        <v>35</v>
      </c>
      <c r="Z393" s="19">
        <v>42</v>
      </c>
      <c r="AA393" s="40">
        <v>3.2000000000000001E-2</v>
      </c>
      <c r="AB393" s="40">
        <v>6.4000000000000001E-2</v>
      </c>
      <c r="AC393" s="40">
        <v>9.6000000000000002E-2</v>
      </c>
      <c r="AD393" s="40">
        <v>0.16</v>
      </c>
      <c r="AE393" s="40">
        <v>0.24</v>
      </c>
      <c r="AF393" s="40">
        <v>0.32</v>
      </c>
      <c r="AG393" s="40">
        <v>92.6</v>
      </c>
      <c r="AH393" s="40">
        <v>95.9</v>
      </c>
      <c r="AI393" s="40">
        <v>96.6</v>
      </c>
      <c r="AJ393" s="40">
        <v>97.2</v>
      </c>
      <c r="AK393" s="40">
        <v>97.2</v>
      </c>
      <c r="AL393" s="40">
        <v>96.8</v>
      </c>
      <c r="AM393" s="40">
        <v>96.9</v>
      </c>
      <c r="AN393" s="40">
        <v>92.6</v>
      </c>
      <c r="AO393" s="40">
        <v>95.9</v>
      </c>
      <c r="AP393" s="40">
        <v>96.6</v>
      </c>
      <c r="AQ393" s="40">
        <v>97.1</v>
      </c>
      <c r="AR393" s="40">
        <v>97.2</v>
      </c>
      <c r="AS393" s="40">
        <v>96.8</v>
      </c>
      <c r="AT393" s="40">
        <v>96.8</v>
      </c>
      <c r="AU393" s="40">
        <v>92.1</v>
      </c>
      <c r="AV393" s="40">
        <v>95.6</v>
      </c>
      <c r="AW393" s="40">
        <v>96.4</v>
      </c>
      <c r="AX393" s="40">
        <v>96.9</v>
      </c>
      <c r="AY393" s="40">
        <v>97</v>
      </c>
      <c r="AZ393" s="40">
        <v>96.8</v>
      </c>
      <c r="BA393" s="40">
        <v>96.6</v>
      </c>
      <c r="BB393" s="174">
        <v>43146</v>
      </c>
      <c r="BC393" s="178"/>
    </row>
    <row r="394" spans="1:55" s="44" customFormat="1" ht="60">
      <c r="A394" s="18" t="s">
        <v>160</v>
      </c>
      <c r="B394" s="18" t="s">
        <v>1816</v>
      </c>
      <c r="C394" s="23" t="s">
        <v>10</v>
      </c>
      <c r="D394" s="23" t="s">
        <v>10</v>
      </c>
      <c r="E394" s="23" t="s">
        <v>10</v>
      </c>
      <c r="F394" s="23" t="s">
        <v>11</v>
      </c>
      <c r="G394" s="18" t="s">
        <v>1795</v>
      </c>
      <c r="H394" s="19">
        <v>0.32200000000000001</v>
      </c>
      <c r="I394" s="37">
        <v>208</v>
      </c>
      <c r="J394" s="19">
        <v>96.4</v>
      </c>
      <c r="K394" s="20" t="s">
        <v>1219</v>
      </c>
      <c r="L394" s="49" t="s">
        <v>1793</v>
      </c>
      <c r="M394" s="38" t="s">
        <v>1794</v>
      </c>
      <c r="N394" s="124">
        <v>43753</v>
      </c>
      <c r="O394" s="38" t="s">
        <v>1793</v>
      </c>
      <c r="P394" s="38" t="s">
        <v>17</v>
      </c>
      <c r="Q394" s="38" t="s">
        <v>17</v>
      </c>
      <c r="R394" s="151" t="s">
        <v>162</v>
      </c>
      <c r="S394" s="39" t="s">
        <v>11</v>
      </c>
      <c r="T394" s="39" t="s">
        <v>10</v>
      </c>
      <c r="U394" s="153">
        <v>0.11</v>
      </c>
      <c r="V394" s="153"/>
      <c r="W394" s="153"/>
      <c r="X394" s="153">
        <v>32</v>
      </c>
      <c r="Y394" s="153">
        <v>35</v>
      </c>
      <c r="Z394" s="153">
        <v>42</v>
      </c>
      <c r="AA394" s="40">
        <v>3.2245584333333376E-2</v>
      </c>
      <c r="AB394" s="40">
        <v>6.4491168666666751E-2</v>
      </c>
      <c r="AC394" s="40">
        <v>9.6736753000000106E-2</v>
      </c>
      <c r="AD394" s="40">
        <v>0.16122792166666686</v>
      </c>
      <c r="AE394" s="40">
        <v>0.24184188250000027</v>
      </c>
      <c r="AF394" s="40">
        <v>0.32245584333333371</v>
      </c>
      <c r="AG394" s="40">
        <v>93.501750276243101</v>
      </c>
      <c r="AH394" s="40">
        <v>96.119155590916733</v>
      </c>
      <c r="AI394" s="40">
        <v>96.21239116022106</v>
      </c>
      <c r="AJ394" s="40">
        <v>96.933422099447512</v>
      </c>
      <c r="AK394" s="40">
        <v>96.761991160220816</v>
      </c>
      <c r="AL394" s="40">
        <v>95.823264640884048</v>
      </c>
      <c r="AM394" s="40">
        <v>96.5225519176673</v>
      </c>
      <c r="AN394" s="40">
        <v>93.31171160220994</v>
      </c>
      <c r="AO394" s="40">
        <v>95.996981552164812</v>
      </c>
      <c r="AP394" s="40">
        <v>95.993242541436459</v>
      </c>
      <c r="AQ394" s="40">
        <v>96.829142019643868</v>
      </c>
      <c r="AR394" s="40">
        <v>96.710827071823189</v>
      </c>
      <c r="AS394" s="40">
        <v>96.017313259668299</v>
      </c>
      <c r="AT394" s="40">
        <v>96.443230481843926</v>
      </c>
      <c r="AU394" s="40">
        <v>92.760658011049742</v>
      </c>
      <c r="AV394" s="40">
        <v>95.72480220994477</v>
      </c>
      <c r="AW394" s="40">
        <v>95.529522651933647</v>
      </c>
      <c r="AX394" s="40">
        <v>96.597681215469635</v>
      </c>
      <c r="AY394" s="40">
        <v>96.567816022099379</v>
      </c>
      <c r="AZ394" s="40">
        <v>96.093392265193287</v>
      </c>
      <c r="BA394" s="40">
        <v>96.231334309392224</v>
      </c>
      <c r="BB394" s="180">
        <v>43753</v>
      </c>
      <c r="BC394" s="180"/>
    </row>
    <row r="395" spans="1:55" s="44" customFormat="1" ht="60">
      <c r="A395" s="18" t="s">
        <v>160</v>
      </c>
      <c r="B395" s="18" t="s">
        <v>1812</v>
      </c>
      <c r="C395" s="23" t="s">
        <v>10</v>
      </c>
      <c r="D395" s="23" t="s">
        <v>10</v>
      </c>
      <c r="E395" s="23" t="s">
        <v>10</v>
      </c>
      <c r="F395" s="23" t="s">
        <v>11</v>
      </c>
      <c r="G395" s="18" t="s">
        <v>1799</v>
      </c>
      <c r="H395" s="19">
        <v>0.32100000000000001</v>
      </c>
      <c r="I395" s="37">
        <v>240</v>
      </c>
      <c r="J395" s="19">
        <v>96.8</v>
      </c>
      <c r="K395" s="20" t="s">
        <v>1219</v>
      </c>
      <c r="L395" s="49" t="s">
        <v>1793</v>
      </c>
      <c r="M395" s="38" t="s">
        <v>1794</v>
      </c>
      <c r="N395" s="124">
        <v>43753</v>
      </c>
      <c r="O395" s="38" t="s">
        <v>1793</v>
      </c>
      <c r="P395" s="38" t="s">
        <v>17</v>
      </c>
      <c r="Q395" s="38" t="s">
        <v>17</v>
      </c>
      <c r="R395" s="151" t="s">
        <v>162</v>
      </c>
      <c r="S395" s="39" t="s">
        <v>11</v>
      </c>
      <c r="T395" s="39" t="s">
        <v>10</v>
      </c>
      <c r="U395" s="153">
        <v>0.15</v>
      </c>
      <c r="V395" s="153"/>
      <c r="W395" s="153"/>
      <c r="X395" s="153">
        <v>32</v>
      </c>
      <c r="Y395" s="153">
        <v>35</v>
      </c>
      <c r="Z395" s="153">
        <v>42</v>
      </c>
      <c r="AA395" s="40">
        <v>3.2101461295681102E-2</v>
      </c>
      <c r="AB395" s="40">
        <v>6.4202922591362205E-2</v>
      </c>
      <c r="AC395" s="40">
        <v>9.6304383887043293E-2</v>
      </c>
      <c r="AD395" s="40">
        <v>0.1605073064784055</v>
      </c>
      <c r="AE395" s="40">
        <v>0.24076095971760825</v>
      </c>
      <c r="AF395" s="40">
        <v>0.321014612956811</v>
      </c>
      <c r="AG395" s="40">
        <v>92.781996685082845</v>
      </c>
      <c r="AH395" s="40">
        <v>96.016577900552448</v>
      </c>
      <c r="AI395" s="40">
        <v>96.712061325966872</v>
      </c>
      <c r="AJ395" s="40">
        <v>97.206571823204499</v>
      </c>
      <c r="AK395" s="40">
        <v>97.206013812154794</v>
      </c>
      <c r="AL395" s="40">
        <v>96.785938015947153</v>
      </c>
      <c r="AM395" s="40">
        <v>96.889420425659296</v>
      </c>
      <c r="AN395" s="40">
        <v>92.780040331491676</v>
      </c>
      <c r="AO395" s="40">
        <v>95.940045856353578</v>
      </c>
      <c r="AP395" s="40">
        <v>96.643065745856305</v>
      </c>
      <c r="AQ395" s="40">
        <v>97.121097790055131</v>
      </c>
      <c r="AR395" s="40">
        <v>97.151420441989018</v>
      </c>
      <c r="AS395" s="40">
        <v>96.856468508287477</v>
      </c>
      <c r="AT395" s="40">
        <v>96.833878591160243</v>
      </c>
      <c r="AU395" s="40">
        <v>92.188028176795584</v>
      </c>
      <c r="AV395" s="40">
        <v>95.705816022099413</v>
      </c>
      <c r="AW395" s="40">
        <v>96.460323756906035</v>
      </c>
      <c r="AX395" s="40">
        <v>96.832819337016616</v>
      </c>
      <c r="AY395" s="40">
        <v>96.973497237569191</v>
      </c>
      <c r="AZ395" s="40">
        <v>96.799745215102377</v>
      </c>
      <c r="BA395" s="40">
        <v>96.618883636445801</v>
      </c>
      <c r="BB395" s="180">
        <v>43753</v>
      </c>
      <c r="BC395" s="180"/>
    </row>
    <row r="396" spans="1:55" s="44" customFormat="1" ht="60">
      <c r="A396" s="18" t="s">
        <v>160</v>
      </c>
      <c r="B396" s="18" t="s">
        <v>1817</v>
      </c>
      <c r="C396" s="23" t="s">
        <v>10</v>
      </c>
      <c r="D396" s="23" t="s">
        <v>10</v>
      </c>
      <c r="E396" s="23" t="s">
        <v>10</v>
      </c>
      <c r="F396" s="23" t="s">
        <v>11</v>
      </c>
      <c r="G396" s="18" t="s">
        <v>1796</v>
      </c>
      <c r="H396" s="19">
        <v>0.32200000000000001</v>
      </c>
      <c r="I396" s="37">
        <v>208</v>
      </c>
      <c r="J396" s="19">
        <v>96.4</v>
      </c>
      <c r="K396" s="20" t="s">
        <v>1219</v>
      </c>
      <c r="L396" s="49" t="s">
        <v>1793</v>
      </c>
      <c r="M396" s="38" t="s">
        <v>1794</v>
      </c>
      <c r="N396" s="124">
        <v>43753</v>
      </c>
      <c r="O396" s="38" t="s">
        <v>1793</v>
      </c>
      <c r="P396" s="38" t="s">
        <v>17</v>
      </c>
      <c r="Q396" s="38" t="s">
        <v>17</v>
      </c>
      <c r="R396" s="151" t="s">
        <v>162</v>
      </c>
      <c r="S396" s="39" t="s">
        <v>11</v>
      </c>
      <c r="T396" s="39" t="s">
        <v>10</v>
      </c>
      <c r="U396" s="153">
        <v>0.11</v>
      </c>
      <c r="V396" s="153"/>
      <c r="W396" s="153"/>
      <c r="X396" s="153">
        <v>32</v>
      </c>
      <c r="Y396" s="153">
        <v>35</v>
      </c>
      <c r="Z396" s="153">
        <v>42</v>
      </c>
      <c r="AA396" s="40">
        <v>3.2245584333333376E-2</v>
      </c>
      <c r="AB396" s="40">
        <v>6.4491168666666751E-2</v>
      </c>
      <c r="AC396" s="40">
        <v>9.6736753000000106E-2</v>
      </c>
      <c r="AD396" s="40">
        <v>0.16122792166666686</v>
      </c>
      <c r="AE396" s="40">
        <v>0.24184188250000027</v>
      </c>
      <c r="AF396" s="40">
        <v>0.32245584333333371</v>
      </c>
      <c r="AG396" s="40">
        <v>93.501750276243101</v>
      </c>
      <c r="AH396" s="40">
        <v>96.119155590916733</v>
      </c>
      <c r="AI396" s="40">
        <v>96.21239116022106</v>
      </c>
      <c r="AJ396" s="40">
        <v>96.933422099447512</v>
      </c>
      <c r="AK396" s="40">
        <v>96.761991160220816</v>
      </c>
      <c r="AL396" s="40">
        <v>95.823264640884048</v>
      </c>
      <c r="AM396" s="40">
        <v>96.5225519176673</v>
      </c>
      <c r="AN396" s="40">
        <v>93.31171160220994</v>
      </c>
      <c r="AO396" s="40">
        <v>95.996981552164812</v>
      </c>
      <c r="AP396" s="40">
        <v>95.993242541436459</v>
      </c>
      <c r="AQ396" s="40">
        <v>96.829142019643868</v>
      </c>
      <c r="AR396" s="40">
        <v>96.710827071823189</v>
      </c>
      <c r="AS396" s="40">
        <v>96.017313259668299</v>
      </c>
      <c r="AT396" s="40">
        <v>96.443230481843926</v>
      </c>
      <c r="AU396" s="40">
        <v>92.760658011049742</v>
      </c>
      <c r="AV396" s="40">
        <v>95.72480220994477</v>
      </c>
      <c r="AW396" s="40">
        <v>95.529522651933647</v>
      </c>
      <c r="AX396" s="40">
        <v>96.597681215469635</v>
      </c>
      <c r="AY396" s="40">
        <v>96.567816022099379</v>
      </c>
      <c r="AZ396" s="40">
        <v>96.093392265193287</v>
      </c>
      <c r="BA396" s="40">
        <v>96.231334309392224</v>
      </c>
      <c r="BB396" s="180">
        <v>43753</v>
      </c>
      <c r="BC396" s="180"/>
    </row>
    <row r="397" spans="1:55" s="44" customFormat="1" ht="60">
      <c r="A397" s="18" t="s">
        <v>160</v>
      </c>
      <c r="B397" s="18" t="s">
        <v>1813</v>
      </c>
      <c r="C397" s="23" t="s">
        <v>10</v>
      </c>
      <c r="D397" s="23" t="s">
        <v>10</v>
      </c>
      <c r="E397" s="23" t="s">
        <v>10</v>
      </c>
      <c r="F397" s="23" t="s">
        <v>11</v>
      </c>
      <c r="G397" s="18" t="s">
        <v>1800</v>
      </c>
      <c r="H397" s="19">
        <v>0.32100000000000001</v>
      </c>
      <c r="I397" s="37">
        <v>240</v>
      </c>
      <c r="J397" s="19">
        <v>96.8</v>
      </c>
      <c r="K397" s="20" t="s">
        <v>1219</v>
      </c>
      <c r="L397" s="49" t="s">
        <v>1793</v>
      </c>
      <c r="M397" s="38" t="s">
        <v>1794</v>
      </c>
      <c r="N397" s="124">
        <v>43753</v>
      </c>
      <c r="O397" s="38" t="s">
        <v>1793</v>
      </c>
      <c r="P397" s="38" t="s">
        <v>17</v>
      </c>
      <c r="Q397" s="38" t="s">
        <v>17</v>
      </c>
      <c r="R397" s="151" t="s">
        <v>162</v>
      </c>
      <c r="S397" s="39" t="s">
        <v>11</v>
      </c>
      <c r="T397" s="39" t="s">
        <v>10</v>
      </c>
      <c r="U397" s="153">
        <v>0.15</v>
      </c>
      <c r="V397" s="153"/>
      <c r="W397" s="153"/>
      <c r="X397" s="153">
        <v>32</v>
      </c>
      <c r="Y397" s="153">
        <v>35</v>
      </c>
      <c r="Z397" s="153">
        <v>42</v>
      </c>
      <c r="AA397" s="40">
        <v>3.2101461295681102E-2</v>
      </c>
      <c r="AB397" s="40">
        <v>6.4202922591362205E-2</v>
      </c>
      <c r="AC397" s="40">
        <v>9.6304383887043293E-2</v>
      </c>
      <c r="AD397" s="40">
        <v>0.1605073064784055</v>
      </c>
      <c r="AE397" s="40">
        <v>0.24076095971760825</v>
      </c>
      <c r="AF397" s="40">
        <v>0.321014612956811</v>
      </c>
      <c r="AG397" s="40">
        <v>92.781996685082845</v>
      </c>
      <c r="AH397" s="40">
        <v>96.016577900552448</v>
      </c>
      <c r="AI397" s="40">
        <v>96.712061325966872</v>
      </c>
      <c r="AJ397" s="40">
        <v>97.206571823204499</v>
      </c>
      <c r="AK397" s="40">
        <v>97.206013812154794</v>
      </c>
      <c r="AL397" s="40">
        <v>96.785938015947153</v>
      </c>
      <c r="AM397" s="40">
        <v>96.889420425659296</v>
      </c>
      <c r="AN397" s="40">
        <v>92.780040331491676</v>
      </c>
      <c r="AO397" s="40">
        <v>95.940045856353578</v>
      </c>
      <c r="AP397" s="40">
        <v>96.643065745856305</v>
      </c>
      <c r="AQ397" s="40">
        <v>97.121097790055131</v>
      </c>
      <c r="AR397" s="40">
        <v>97.151420441989018</v>
      </c>
      <c r="AS397" s="40">
        <v>96.856468508287477</v>
      </c>
      <c r="AT397" s="40">
        <v>96.833878591160243</v>
      </c>
      <c r="AU397" s="40">
        <v>92.188028176795584</v>
      </c>
      <c r="AV397" s="40">
        <v>95.705816022099413</v>
      </c>
      <c r="AW397" s="40">
        <v>96.460323756906035</v>
      </c>
      <c r="AX397" s="40">
        <v>96.832819337016616</v>
      </c>
      <c r="AY397" s="40">
        <v>96.973497237569191</v>
      </c>
      <c r="AZ397" s="40">
        <v>96.799745215102377</v>
      </c>
      <c r="BA397" s="40">
        <v>96.618883636445801</v>
      </c>
      <c r="BB397" s="180">
        <v>43753</v>
      </c>
      <c r="BC397" s="180"/>
    </row>
    <row r="398" spans="1:55" s="44" customFormat="1" ht="60">
      <c r="A398" s="18" t="s">
        <v>160</v>
      </c>
      <c r="B398" s="18" t="s">
        <v>1818</v>
      </c>
      <c r="C398" s="23" t="s">
        <v>10</v>
      </c>
      <c r="D398" s="23" t="s">
        <v>10</v>
      </c>
      <c r="E398" s="23" t="s">
        <v>10</v>
      </c>
      <c r="F398" s="23" t="s">
        <v>11</v>
      </c>
      <c r="G398" s="18" t="s">
        <v>1797</v>
      </c>
      <c r="H398" s="19">
        <v>0.32200000000000001</v>
      </c>
      <c r="I398" s="37">
        <v>208</v>
      </c>
      <c r="J398" s="19">
        <v>96.4</v>
      </c>
      <c r="K398" s="20" t="s">
        <v>1219</v>
      </c>
      <c r="L398" s="49" t="s">
        <v>1793</v>
      </c>
      <c r="M398" s="38" t="s">
        <v>1794</v>
      </c>
      <c r="N398" s="124">
        <v>43753</v>
      </c>
      <c r="O398" s="38" t="s">
        <v>1793</v>
      </c>
      <c r="P398" s="38" t="s">
        <v>17</v>
      </c>
      <c r="Q398" s="38" t="s">
        <v>17</v>
      </c>
      <c r="R398" s="151" t="s">
        <v>162</v>
      </c>
      <c r="S398" s="39" t="s">
        <v>11</v>
      </c>
      <c r="T398" s="39" t="s">
        <v>10</v>
      </c>
      <c r="U398" s="153">
        <v>0.11</v>
      </c>
      <c r="V398" s="153"/>
      <c r="W398" s="153"/>
      <c r="X398" s="153">
        <v>32</v>
      </c>
      <c r="Y398" s="153">
        <v>35</v>
      </c>
      <c r="Z398" s="153">
        <v>42</v>
      </c>
      <c r="AA398" s="40">
        <v>3.2245584333333376E-2</v>
      </c>
      <c r="AB398" s="40">
        <v>6.4491168666666751E-2</v>
      </c>
      <c r="AC398" s="40">
        <v>9.6736753000000106E-2</v>
      </c>
      <c r="AD398" s="40">
        <v>0.16122792166666686</v>
      </c>
      <c r="AE398" s="40">
        <v>0.24184188250000027</v>
      </c>
      <c r="AF398" s="40">
        <v>0.32245584333333371</v>
      </c>
      <c r="AG398" s="40">
        <v>93.501750276243101</v>
      </c>
      <c r="AH398" s="40">
        <v>96.119155590916733</v>
      </c>
      <c r="AI398" s="40">
        <v>96.21239116022106</v>
      </c>
      <c r="AJ398" s="40">
        <v>96.933422099447512</v>
      </c>
      <c r="AK398" s="40">
        <v>96.761991160220816</v>
      </c>
      <c r="AL398" s="40">
        <v>95.823264640884048</v>
      </c>
      <c r="AM398" s="40">
        <v>96.5225519176673</v>
      </c>
      <c r="AN398" s="40">
        <v>93.31171160220994</v>
      </c>
      <c r="AO398" s="40">
        <v>95.996981552164812</v>
      </c>
      <c r="AP398" s="40">
        <v>95.993242541436459</v>
      </c>
      <c r="AQ398" s="40">
        <v>96.829142019643868</v>
      </c>
      <c r="AR398" s="40">
        <v>96.710827071823189</v>
      </c>
      <c r="AS398" s="40">
        <v>96.017313259668299</v>
      </c>
      <c r="AT398" s="40">
        <v>96.443230481843926</v>
      </c>
      <c r="AU398" s="40">
        <v>92.760658011049742</v>
      </c>
      <c r="AV398" s="40">
        <v>95.72480220994477</v>
      </c>
      <c r="AW398" s="40">
        <v>95.529522651933647</v>
      </c>
      <c r="AX398" s="40">
        <v>96.597681215469635</v>
      </c>
      <c r="AY398" s="40">
        <v>96.567816022099379</v>
      </c>
      <c r="AZ398" s="40">
        <v>96.093392265193287</v>
      </c>
      <c r="BA398" s="40">
        <v>96.231334309392224</v>
      </c>
      <c r="BB398" s="180">
        <v>43753</v>
      </c>
      <c r="BC398" s="180"/>
    </row>
    <row r="399" spans="1:55" s="44" customFormat="1" ht="60">
      <c r="A399" s="18" t="s">
        <v>160</v>
      </c>
      <c r="B399" s="18" t="s">
        <v>1814</v>
      </c>
      <c r="C399" s="23" t="s">
        <v>10</v>
      </c>
      <c r="D399" s="23" t="s">
        <v>10</v>
      </c>
      <c r="E399" s="23" t="s">
        <v>10</v>
      </c>
      <c r="F399" s="23" t="s">
        <v>11</v>
      </c>
      <c r="G399" s="18" t="s">
        <v>1801</v>
      </c>
      <c r="H399" s="19">
        <v>0.32100000000000001</v>
      </c>
      <c r="I399" s="37">
        <v>240</v>
      </c>
      <c r="J399" s="19">
        <v>96.8</v>
      </c>
      <c r="K399" s="20" t="s">
        <v>1219</v>
      </c>
      <c r="L399" s="49" t="s">
        <v>1793</v>
      </c>
      <c r="M399" s="38" t="s">
        <v>1794</v>
      </c>
      <c r="N399" s="124">
        <v>43753</v>
      </c>
      <c r="O399" s="38" t="s">
        <v>1793</v>
      </c>
      <c r="P399" s="38" t="s">
        <v>17</v>
      </c>
      <c r="Q399" s="38" t="s">
        <v>17</v>
      </c>
      <c r="R399" s="151" t="s">
        <v>162</v>
      </c>
      <c r="S399" s="39" t="s">
        <v>11</v>
      </c>
      <c r="T399" s="39" t="s">
        <v>10</v>
      </c>
      <c r="U399" s="153">
        <v>0.15</v>
      </c>
      <c r="V399" s="153"/>
      <c r="W399" s="153"/>
      <c r="X399" s="153">
        <v>32</v>
      </c>
      <c r="Y399" s="153">
        <v>35</v>
      </c>
      <c r="Z399" s="153">
        <v>42</v>
      </c>
      <c r="AA399" s="40">
        <v>3.2101461295681102E-2</v>
      </c>
      <c r="AB399" s="40">
        <v>6.4202922591362205E-2</v>
      </c>
      <c r="AC399" s="40">
        <v>9.6304383887043293E-2</v>
      </c>
      <c r="AD399" s="40">
        <v>0.1605073064784055</v>
      </c>
      <c r="AE399" s="40">
        <v>0.24076095971760825</v>
      </c>
      <c r="AF399" s="40">
        <v>0.321014612956811</v>
      </c>
      <c r="AG399" s="40">
        <v>92.781996685082845</v>
      </c>
      <c r="AH399" s="40">
        <v>96.016577900552448</v>
      </c>
      <c r="AI399" s="40">
        <v>96.712061325966872</v>
      </c>
      <c r="AJ399" s="40">
        <v>97.206571823204499</v>
      </c>
      <c r="AK399" s="40">
        <v>97.206013812154794</v>
      </c>
      <c r="AL399" s="40">
        <v>96.785938015947153</v>
      </c>
      <c r="AM399" s="40">
        <v>96.889420425659296</v>
      </c>
      <c r="AN399" s="40">
        <v>92.780040331491676</v>
      </c>
      <c r="AO399" s="40">
        <v>95.940045856353578</v>
      </c>
      <c r="AP399" s="40">
        <v>96.643065745856305</v>
      </c>
      <c r="AQ399" s="40">
        <v>97.121097790055131</v>
      </c>
      <c r="AR399" s="40">
        <v>97.151420441989018</v>
      </c>
      <c r="AS399" s="40">
        <v>96.856468508287477</v>
      </c>
      <c r="AT399" s="40">
        <v>96.833878591160243</v>
      </c>
      <c r="AU399" s="40">
        <v>92.188028176795584</v>
      </c>
      <c r="AV399" s="40">
        <v>95.705816022099413</v>
      </c>
      <c r="AW399" s="40">
        <v>96.460323756906035</v>
      </c>
      <c r="AX399" s="40">
        <v>96.832819337016616</v>
      </c>
      <c r="AY399" s="40">
        <v>96.973497237569191</v>
      </c>
      <c r="AZ399" s="40">
        <v>96.799745215102377</v>
      </c>
      <c r="BA399" s="40">
        <v>96.618883636445801</v>
      </c>
      <c r="BB399" s="180">
        <v>43753</v>
      </c>
      <c r="BC399" s="180"/>
    </row>
    <row r="400" spans="1:55" s="44" customFormat="1" ht="45">
      <c r="A400" s="140" t="s">
        <v>160</v>
      </c>
      <c r="B400" s="18" t="s">
        <v>961</v>
      </c>
      <c r="C400" s="23" t="s">
        <v>10</v>
      </c>
      <c r="D400" s="23" t="s">
        <v>10</v>
      </c>
      <c r="E400" s="23" t="s">
        <v>10</v>
      </c>
      <c r="F400" s="23" t="s">
        <v>11</v>
      </c>
      <c r="G400" s="147" t="s">
        <v>194</v>
      </c>
      <c r="H400" s="19">
        <v>0.32200000000000001</v>
      </c>
      <c r="I400" s="19">
        <v>208</v>
      </c>
      <c r="J400" s="19">
        <v>96.4</v>
      </c>
      <c r="K400" s="21" t="s">
        <v>1219</v>
      </c>
      <c r="L400" s="49" t="s">
        <v>1784</v>
      </c>
      <c r="M400" s="21" t="s">
        <v>1785</v>
      </c>
      <c r="N400" s="174">
        <v>43739</v>
      </c>
      <c r="O400" s="49" t="s">
        <v>513</v>
      </c>
      <c r="P400" s="23" t="s">
        <v>17</v>
      </c>
      <c r="Q400" s="23" t="s">
        <v>17</v>
      </c>
      <c r="R400" s="150"/>
      <c r="S400" s="20" t="s">
        <v>11</v>
      </c>
      <c r="T400" s="20" t="s">
        <v>10</v>
      </c>
      <c r="U400" s="19">
        <v>0.11</v>
      </c>
      <c r="V400" s="19"/>
      <c r="W400" s="19"/>
      <c r="X400" s="19">
        <v>32</v>
      </c>
      <c r="Y400" s="19">
        <v>35</v>
      </c>
      <c r="Z400" s="19">
        <v>42</v>
      </c>
      <c r="AA400" s="40">
        <v>3.2245584333333376E-2</v>
      </c>
      <c r="AB400" s="40">
        <v>6.4491168666666751E-2</v>
      </c>
      <c r="AC400" s="40">
        <v>9.6736753000000106E-2</v>
      </c>
      <c r="AD400" s="40">
        <v>0.16122792166666686</v>
      </c>
      <c r="AE400" s="40">
        <v>0.24184188250000027</v>
      </c>
      <c r="AF400" s="40">
        <v>0.32245584333333371</v>
      </c>
      <c r="AG400" s="40">
        <v>93.501750276243101</v>
      </c>
      <c r="AH400" s="40">
        <v>96.119155590916733</v>
      </c>
      <c r="AI400" s="40">
        <v>96.21239116022106</v>
      </c>
      <c r="AJ400" s="40">
        <v>96.933422099447512</v>
      </c>
      <c r="AK400" s="40">
        <v>96.761991160220816</v>
      </c>
      <c r="AL400" s="40">
        <v>95.823264640884048</v>
      </c>
      <c r="AM400" s="40">
        <v>96.5225519176673</v>
      </c>
      <c r="AN400" s="40">
        <v>93.31171160220994</v>
      </c>
      <c r="AO400" s="40">
        <v>95.996981552164812</v>
      </c>
      <c r="AP400" s="40">
        <v>95.993242541436459</v>
      </c>
      <c r="AQ400" s="40">
        <v>96.829142019643868</v>
      </c>
      <c r="AR400" s="40">
        <v>96.710827071823189</v>
      </c>
      <c r="AS400" s="40">
        <v>96.017313259668299</v>
      </c>
      <c r="AT400" s="40">
        <v>96.443230481843926</v>
      </c>
      <c r="AU400" s="40">
        <v>92.760658011049742</v>
      </c>
      <c r="AV400" s="40">
        <v>95.72480220994477</v>
      </c>
      <c r="AW400" s="40">
        <v>95.529522651933647</v>
      </c>
      <c r="AX400" s="40">
        <v>96.597681215469635</v>
      </c>
      <c r="AY400" s="40">
        <v>96.567816022099379</v>
      </c>
      <c r="AZ400" s="40">
        <v>96.093392265193287</v>
      </c>
      <c r="BA400" s="40">
        <v>96.231334309392224</v>
      </c>
      <c r="BB400" s="174">
        <v>43146</v>
      </c>
      <c r="BC400" s="178">
        <v>43739</v>
      </c>
    </row>
    <row r="401" spans="1:55" s="44" customFormat="1" ht="45">
      <c r="A401" s="140" t="s">
        <v>160</v>
      </c>
      <c r="B401" s="18" t="s">
        <v>962</v>
      </c>
      <c r="C401" s="23" t="s">
        <v>10</v>
      </c>
      <c r="D401" s="23" t="s">
        <v>10</v>
      </c>
      <c r="E401" s="23" t="s">
        <v>10</v>
      </c>
      <c r="F401" s="23" t="s">
        <v>11</v>
      </c>
      <c r="G401" s="147" t="s">
        <v>1786</v>
      </c>
      <c r="H401" s="19">
        <v>0.32100000000000001</v>
      </c>
      <c r="I401" s="19">
        <v>240</v>
      </c>
      <c r="J401" s="19">
        <v>96.8</v>
      </c>
      <c r="K401" s="21" t="s">
        <v>1219</v>
      </c>
      <c r="L401" s="49" t="s">
        <v>1784</v>
      </c>
      <c r="M401" s="21" t="s">
        <v>1785</v>
      </c>
      <c r="N401" s="174">
        <v>43739</v>
      </c>
      <c r="O401" s="49" t="s">
        <v>513</v>
      </c>
      <c r="P401" s="23" t="s">
        <v>17</v>
      </c>
      <c r="Q401" s="23" t="s">
        <v>17</v>
      </c>
      <c r="R401" s="150"/>
      <c r="S401" s="20" t="s">
        <v>11</v>
      </c>
      <c r="T401" s="20" t="s">
        <v>10</v>
      </c>
      <c r="U401" s="19">
        <v>0.15</v>
      </c>
      <c r="V401" s="19"/>
      <c r="W401" s="19"/>
      <c r="X401" s="19">
        <v>32</v>
      </c>
      <c r="Y401" s="19">
        <v>35</v>
      </c>
      <c r="Z401" s="19">
        <v>42</v>
      </c>
      <c r="AA401" s="40">
        <v>3.2101461295681102E-2</v>
      </c>
      <c r="AB401" s="40">
        <v>6.4202922591362205E-2</v>
      </c>
      <c r="AC401" s="40">
        <v>9.6304383887043293E-2</v>
      </c>
      <c r="AD401" s="40">
        <v>0.1605073064784055</v>
      </c>
      <c r="AE401" s="40">
        <v>0.24076095971760825</v>
      </c>
      <c r="AF401" s="40">
        <v>0.321014612956811</v>
      </c>
      <c r="AG401" s="40">
        <v>92.781996685082845</v>
      </c>
      <c r="AH401" s="40">
        <v>96.016577900552448</v>
      </c>
      <c r="AI401" s="40">
        <v>96.712061325966872</v>
      </c>
      <c r="AJ401" s="40">
        <v>97.206571823204499</v>
      </c>
      <c r="AK401" s="40">
        <v>97.206013812154794</v>
      </c>
      <c r="AL401" s="40">
        <v>96.785938015947153</v>
      </c>
      <c r="AM401" s="40">
        <v>96.889420425659296</v>
      </c>
      <c r="AN401" s="40">
        <v>92.780040331491676</v>
      </c>
      <c r="AO401" s="40">
        <v>95.940045856353578</v>
      </c>
      <c r="AP401" s="40">
        <v>96.643065745856305</v>
      </c>
      <c r="AQ401" s="40">
        <v>97.121097790055131</v>
      </c>
      <c r="AR401" s="40">
        <v>97.151420441989018</v>
      </c>
      <c r="AS401" s="40">
        <v>96.856468508287477</v>
      </c>
      <c r="AT401" s="40">
        <v>96.833878591160243</v>
      </c>
      <c r="AU401" s="40">
        <v>92.188028176795584</v>
      </c>
      <c r="AV401" s="40">
        <v>95.705816022099413</v>
      </c>
      <c r="AW401" s="40">
        <v>96.460323756906035</v>
      </c>
      <c r="AX401" s="40">
        <v>96.832819337016616</v>
      </c>
      <c r="AY401" s="40">
        <v>96.973497237569191</v>
      </c>
      <c r="AZ401" s="40">
        <v>96.799745215102377</v>
      </c>
      <c r="BA401" s="40">
        <v>96.618883636445801</v>
      </c>
      <c r="BB401" s="174">
        <v>43146</v>
      </c>
      <c r="BC401" s="178">
        <v>43739</v>
      </c>
    </row>
    <row r="402" spans="1:55" s="44" customFormat="1" ht="45">
      <c r="A402" s="18" t="s">
        <v>1384</v>
      </c>
      <c r="B402" s="18" t="s">
        <v>1396</v>
      </c>
      <c r="C402" s="23" t="s">
        <v>10</v>
      </c>
      <c r="D402" s="23" t="s">
        <v>10</v>
      </c>
      <c r="E402" s="23" t="s">
        <v>10</v>
      </c>
      <c r="F402" s="23" t="s">
        <v>11</v>
      </c>
      <c r="G402" s="18" t="s">
        <v>1385</v>
      </c>
      <c r="H402" s="19">
        <v>7.4473000000000003</v>
      </c>
      <c r="I402" s="37">
        <v>208</v>
      </c>
      <c r="J402" s="19">
        <v>96.5</v>
      </c>
      <c r="K402" s="21" t="s">
        <v>1386</v>
      </c>
      <c r="L402" s="49" t="s">
        <v>1387</v>
      </c>
      <c r="M402" s="38" t="s">
        <v>1388</v>
      </c>
      <c r="N402" s="174">
        <v>43539</v>
      </c>
      <c r="O402" s="38" t="s">
        <v>1387</v>
      </c>
      <c r="P402" s="38" t="s">
        <v>17</v>
      </c>
      <c r="Q402" s="38" t="s">
        <v>17</v>
      </c>
      <c r="R402" s="151"/>
      <c r="S402" s="39" t="s">
        <v>11</v>
      </c>
      <c r="T402" s="39" t="s">
        <v>11</v>
      </c>
      <c r="U402" s="171">
        <v>13.4</v>
      </c>
      <c r="V402" s="153"/>
      <c r="W402" s="153"/>
      <c r="X402" s="153">
        <v>240</v>
      </c>
      <c r="Y402" s="153">
        <v>370</v>
      </c>
      <c r="Z402" s="153">
        <v>425</v>
      </c>
      <c r="AA402" s="40">
        <v>0.74473167219999992</v>
      </c>
      <c r="AB402" s="40">
        <v>1.4894633443999998</v>
      </c>
      <c r="AC402" s="40">
        <v>2.2341950165999998</v>
      </c>
      <c r="AD402" s="40">
        <v>3.7236583609999996</v>
      </c>
      <c r="AE402" s="40">
        <v>5.5854875414999992</v>
      </c>
      <c r="AF402" s="40">
        <v>7.4473167219999992</v>
      </c>
      <c r="AG402" s="40">
        <v>91.486264550039337</v>
      </c>
      <c r="AH402" s="40">
        <v>94.760248969262392</v>
      </c>
      <c r="AI402" s="40">
        <v>95.352663162123591</v>
      </c>
      <c r="AJ402" s="40">
        <v>97.296267712149941</v>
      </c>
      <c r="AK402" s="40">
        <v>97.185123619139432</v>
      </c>
      <c r="AL402" s="40">
        <v>96.859870192303077</v>
      </c>
      <c r="AM402" s="40">
        <v>96.623107857230082</v>
      </c>
      <c r="AN402" s="40">
        <v>91.699965357816623</v>
      </c>
      <c r="AO402" s="40">
        <v>94.963850615122325</v>
      </c>
      <c r="AP402" s="40">
        <v>95.495711668085661</v>
      </c>
      <c r="AQ402" s="40">
        <v>97.428829723597843</v>
      </c>
      <c r="AR402" s="40">
        <v>97.231635305996946</v>
      </c>
      <c r="AS402" s="40">
        <v>96.929680695919046</v>
      </c>
      <c r="AT402" s="40">
        <v>96.714981534168942</v>
      </c>
      <c r="AU402" s="40">
        <v>91.907256517136105</v>
      </c>
      <c r="AV402" s="40">
        <v>94.928995056460167</v>
      </c>
      <c r="AW402" s="40">
        <v>95.369819427808693</v>
      </c>
      <c r="AX402" s="40">
        <v>97.318654328391062</v>
      </c>
      <c r="AY402" s="40">
        <v>96.925617369279323</v>
      </c>
      <c r="AZ402" s="40">
        <v>97.063119550059341</v>
      </c>
      <c r="BA402" s="40">
        <v>96.527768937028625</v>
      </c>
      <c r="BB402" s="178">
        <v>43539</v>
      </c>
      <c r="BC402" s="178"/>
    </row>
    <row r="403" spans="1:55" s="44" customFormat="1" ht="45">
      <c r="A403" s="18" t="s">
        <v>1384</v>
      </c>
      <c r="B403" s="18" t="s">
        <v>1397</v>
      </c>
      <c r="C403" s="23" t="s">
        <v>10</v>
      </c>
      <c r="D403" s="23" t="s">
        <v>10</v>
      </c>
      <c r="E403" s="23" t="s">
        <v>10</v>
      </c>
      <c r="F403" s="23" t="s">
        <v>11</v>
      </c>
      <c r="G403" s="18" t="s">
        <v>1389</v>
      </c>
      <c r="H403" s="19">
        <v>7.657</v>
      </c>
      <c r="I403" s="37">
        <v>240</v>
      </c>
      <c r="J403" s="19">
        <v>96.5</v>
      </c>
      <c r="K403" s="21" t="s">
        <v>1386</v>
      </c>
      <c r="L403" s="49" t="s">
        <v>1387</v>
      </c>
      <c r="M403" s="38" t="s">
        <v>1388</v>
      </c>
      <c r="N403" s="174" t="s">
        <v>17</v>
      </c>
      <c r="O403" s="38" t="s">
        <v>1387</v>
      </c>
      <c r="P403" s="38" t="s">
        <v>17</v>
      </c>
      <c r="Q403" s="38" t="s">
        <v>17</v>
      </c>
      <c r="R403" s="151"/>
      <c r="S403" s="39" t="s">
        <v>11</v>
      </c>
      <c r="T403" s="39" t="s">
        <v>11</v>
      </c>
      <c r="U403" s="171">
        <v>13.4</v>
      </c>
      <c r="V403" s="153"/>
      <c r="W403" s="153"/>
      <c r="X403" s="153">
        <v>240</v>
      </c>
      <c r="Y403" s="153">
        <v>370</v>
      </c>
      <c r="Z403" s="153">
        <v>425</v>
      </c>
      <c r="AA403" s="40">
        <v>0.76571188991999994</v>
      </c>
      <c r="AB403" s="40">
        <v>1.5314237798399999</v>
      </c>
      <c r="AC403" s="40">
        <v>2.2971356697599994</v>
      </c>
      <c r="AD403" s="40">
        <v>3.8285594495999993</v>
      </c>
      <c r="AE403" s="40">
        <v>5.7428391743999985</v>
      </c>
      <c r="AF403" s="40">
        <v>7.6571188991999986</v>
      </c>
      <c r="AG403" s="40">
        <v>91.819615795312856</v>
      </c>
      <c r="AH403" s="40">
        <v>94.910997776364283</v>
      </c>
      <c r="AI403" s="40">
        <v>95.520513772204296</v>
      </c>
      <c r="AJ403" s="40">
        <v>97.079550873826477</v>
      </c>
      <c r="AK403" s="40">
        <v>96.988012087484861</v>
      </c>
      <c r="AL403" s="40">
        <v>97.130498991107089</v>
      </c>
      <c r="AM403" s="40">
        <v>96.527673212721126</v>
      </c>
      <c r="AN403" s="40">
        <v>91.670908997205146</v>
      </c>
      <c r="AO403" s="40">
        <v>95.000841359179049</v>
      </c>
      <c r="AP403" s="40">
        <v>95.707732171504404</v>
      </c>
      <c r="AQ403" s="40">
        <v>97.546548492774008</v>
      </c>
      <c r="AR403" s="40">
        <v>97.445862228404309</v>
      </c>
      <c r="AS403" s="40">
        <v>97.08346102095264</v>
      </c>
      <c r="AT403" s="40">
        <v>96.887061504012152</v>
      </c>
      <c r="AU403" s="40">
        <v>91.551333333333318</v>
      </c>
      <c r="AV403" s="40">
        <v>95.071706716631525</v>
      </c>
      <c r="AW403" s="40">
        <v>95.858438563503356</v>
      </c>
      <c r="AX403" s="40">
        <v>97.600636400067273</v>
      </c>
      <c r="AY403" s="40">
        <v>97.273962762904389</v>
      </c>
      <c r="AZ403" s="40">
        <v>97.086789328574284</v>
      </c>
      <c r="BA403" s="40">
        <v>96.824324671567467</v>
      </c>
      <c r="BB403" s="178">
        <v>43539</v>
      </c>
      <c r="BC403" s="178"/>
    </row>
    <row r="404" spans="1:55" s="44" customFormat="1" ht="60">
      <c r="A404" s="140" t="s">
        <v>236</v>
      </c>
      <c r="B404" s="18" t="s">
        <v>1780</v>
      </c>
      <c r="C404" s="23" t="s">
        <v>10</v>
      </c>
      <c r="D404" s="23" t="s">
        <v>10</v>
      </c>
      <c r="E404" s="23" t="s">
        <v>10</v>
      </c>
      <c r="F404" s="23" t="s">
        <v>11</v>
      </c>
      <c r="G404" s="18" t="s">
        <v>1772</v>
      </c>
      <c r="H404" s="19">
        <v>100</v>
      </c>
      <c r="I404" s="37">
        <v>600</v>
      </c>
      <c r="J404" s="19">
        <v>98.5</v>
      </c>
      <c r="K404" s="20" t="s">
        <v>1216</v>
      </c>
      <c r="L404" s="49" t="s">
        <v>1773</v>
      </c>
      <c r="M404" s="38" t="s">
        <v>1774</v>
      </c>
      <c r="N404" s="124">
        <v>43692</v>
      </c>
      <c r="O404" s="38" t="s">
        <v>1773</v>
      </c>
      <c r="P404" s="38" t="s">
        <v>17</v>
      </c>
      <c r="Q404" s="38" t="s">
        <v>17</v>
      </c>
      <c r="R404" s="151"/>
      <c r="S404" s="39" t="s">
        <v>11</v>
      </c>
      <c r="T404" s="39" t="s">
        <v>11</v>
      </c>
      <c r="U404" s="153">
        <v>1</v>
      </c>
      <c r="V404" s="153"/>
      <c r="W404" s="153"/>
      <c r="X404" s="153">
        <v>860</v>
      </c>
      <c r="Y404" s="153">
        <v>950</v>
      </c>
      <c r="Z404" s="153">
        <v>1250</v>
      </c>
      <c r="AA404" s="40">
        <v>10.008376872392056</v>
      </c>
      <c r="AB404" s="40">
        <v>20.016753744784111</v>
      </c>
      <c r="AC404" s="40">
        <v>30.025130617176167</v>
      </c>
      <c r="AD404" s="40">
        <v>50.041884361960278</v>
      </c>
      <c r="AE404" s="40">
        <v>75.062826542940414</v>
      </c>
      <c r="AF404" s="40">
        <v>100.08376872392056</v>
      </c>
      <c r="AG404" s="40">
        <v>98.966206181997933</v>
      </c>
      <c r="AH404" s="40">
        <v>99.044217530422429</v>
      </c>
      <c r="AI404" s="40">
        <v>98.885922188641686</v>
      </c>
      <c r="AJ404" s="40">
        <v>98.972176695033994</v>
      </c>
      <c r="AK404" s="40">
        <v>98.899974942737515</v>
      </c>
      <c r="AL404" s="40">
        <v>98.647465567515411</v>
      </c>
      <c r="AM404" s="40">
        <v>98.910686890421829</v>
      </c>
      <c r="AN404" s="40">
        <v>98.598342692264168</v>
      </c>
      <c r="AO404" s="40">
        <v>98.791343607577886</v>
      </c>
      <c r="AP404" s="40">
        <v>98.872108977472607</v>
      </c>
      <c r="AQ404" s="40">
        <v>98.800420700553374</v>
      </c>
      <c r="AR404" s="40">
        <v>98.612276160528239</v>
      </c>
      <c r="AS404" s="40">
        <v>98.635953773920761</v>
      </c>
      <c r="AT404" s="40">
        <v>98.692546366258384</v>
      </c>
      <c r="AU404" s="40">
        <v>98.276747082484334</v>
      </c>
      <c r="AV404" s="40">
        <v>98.628147930574329</v>
      </c>
      <c r="AW404" s="40">
        <v>98.640594611755773</v>
      </c>
      <c r="AX404" s="40">
        <v>98.629605304272232</v>
      </c>
      <c r="AY404" s="40">
        <v>98.467752882813357</v>
      </c>
      <c r="AZ404" s="40">
        <v>98.264444444464772</v>
      </c>
      <c r="BA404" s="40">
        <v>98.512696997250274</v>
      </c>
      <c r="BB404" s="180">
        <v>43692</v>
      </c>
      <c r="BC404" s="180">
        <v>43784</v>
      </c>
    </row>
    <row r="405" spans="1:55" s="44" customFormat="1" ht="45">
      <c r="A405" s="140" t="s">
        <v>236</v>
      </c>
      <c r="B405" s="18" t="s">
        <v>1781</v>
      </c>
      <c r="C405" s="23" t="s">
        <v>10</v>
      </c>
      <c r="D405" s="23" t="s">
        <v>10</v>
      </c>
      <c r="E405" s="23" t="s">
        <v>10</v>
      </c>
      <c r="F405" s="23" t="s">
        <v>11</v>
      </c>
      <c r="G405" s="18" t="s">
        <v>1775</v>
      </c>
      <c r="H405" s="19">
        <v>125</v>
      </c>
      <c r="I405" s="37">
        <v>600</v>
      </c>
      <c r="J405" s="19">
        <v>98.5</v>
      </c>
      <c r="K405" s="20" t="s">
        <v>1216</v>
      </c>
      <c r="L405" s="49" t="s">
        <v>1773</v>
      </c>
      <c r="M405" s="38" t="s">
        <v>1774</v>
      </c>
      <c r="N405" s="124">
        <v>43692</v>
      </c>
      <c r="O405" s="38" t="s">
        <v>1773</v>
      </c>
      <c r="P405" s="38" t="s">
        <v>17</v>
      </c>
      <c r="Q405" s="38" t="s">
        <v>17</v>
      </c>
      <c r="R405" s="151" t="s">
        <v>1776</v>
      </c>
      <c r="S405" s="39" t="s">
        <v>11</v>
      </c>
      <c r="T405" s="39" t="s">
        <v>11</v>
      </c>
      <c r="U405" s="153">
        <v>1</v>
      </c>
      <c r="V405" s="153"/>
      <c r="W405" s="153"/>
      <c r="X405" s="153">
        <v>860</v>
      </c>
      <c r="Y405" s="153">
        <v>950</v>
      </c>
      <c r="Z405" s="153">
        <v>1250</v>
      </c>
      <c r="AA405" s="40">
        <v>12.508265174439627</v>
      </c>
      <c r="AB405" s="40">
        <v>25.016530348879254</v>
      </c>
      <c r="AC405" s="40">
        <v>37.524795523318879</v>
      </c>
      <c r="AD405" s="40">
        <v>62.541325872198129</v>
      </c>
      <c r="AE405" s="40">
        <v>93.811988808297201</v>
      </c>
      <c r="AF405" s="40">
        <v>125.08265174439626</v>
      </c>
      <c r="AG405" s="40">
        <v>98.91665522812005</v>
      </c>
      <c r="AH405" s="40">
        <v>99.027907871118359</v>
      </c>
      <c r="AI405" s="40">
        <v>98.940968438394933</v>
      </c>
      <c r="AJ405" s="40">
        <v>98.94618560587287</v>
      </c>
      <c r="AK405" s="40">
        <v>98.85207356138136</v>
      </c>
      <c r="AL405" s="40">
        <v>98.746414168721444</v>
      </c>
      <c r="AM405" s="40">
        <v>98.888596488489611</v>
      </c>
      <c r="AN405" s="40">
        <v>98.5469464246206</v>
      </c>
      <c r="AO405" s="40">
        <v>98.840474251603069</v>
      </c>
      <c r="AP405" s="40">
        <v>98.772193840490829</v>
      </c>
      <c r="AQ405" s="40">
        <v>98.80392771433803</v>
      </c>
      <c r="AR405" s="40">
        <v>98.633809068909542</v>
      </c>
      <c r="AS405" s="40">
        <v>98.62883538295489</v>
      </c>
      <c r="AT405" s="40">
        <v>98.692750226104664</v>
      </c>
      <c r="AU405" s="40">
        <v>98.280518048463477</v>
      </c>
      <c r="AV405" s="40">
        <v>98.699974088322037</v>
      </c>
      <c r="AW405" s="40">
        <v>98.794745388070737</v>
      </c>
      <c r="AX405" s="40">
        <v>98.661885226486504</v>
      </c>
      <c r="AY405" s="40">
        <v>98.467930647761705</v>
      </c>
      <c r="AZ405" s="40">
        <v>98.300639692202196</v>
      </c>
      <c r="BA405" s="40">
        <v>98.543619998409113</v>
      </c>
      <c r="BB405" s="180">
        <v>43692</v>
      </c>
      <c r="BC405" s="180">
        <v>43784</v>
      </c>
    </row>
    <row r="406" spans="1:55" s="44" customFormat="1" ht="45">
      <c r="A406" s="140" t="s">
        <v>236</v>
      </c>
      <c r="B406" s="18" t="s">
        <v>979</v>
      </c>
      <c r="C406" s="23" t="s">
        <v>10</v>
      </c>
      <c r="D406" s="23" t="s">
        <v>10</v>
      </c>
      <c r="E406" s="23" t="s">
        <v>10</v>
      </c>
      <c r="F406" s="23" t="s">
        <v>11</v>
      </c>
      <c r="G406" s="18" t="s">
        <v>46</v>
      </c>
      <c r="H406" s="125">
        <v>10</v>
      </c>
      <c r="I406" s="37">
        <v>240</v>
      </c>
      <c r="J406" s="136">
        <v>97.5</v>
      </c>
      <c r="K406" s="21" t="s">
        <v>1217</v>
      </c>
      <c r="L406" s="49" t="s">
        <v>447</v>
      </c>
      <c r="M406" s="23" t="s">
        <v>448</v>
      </c>
      <c r="N406" s="174">
        <v>43388</v>
      </c>
      <c r="O406" s="49" t="s">
        <v>447</v>
      </c>
      <c r="P406" s="23" t="s">
        <v>17</v>
      </c>
      <c r="Q406" s="23" t="s">
        <v>17</v>
      </c>
      <c r="R406" s="151" t="s">
        <v>252</v>
      </c>
      <c r="S406" s="39" t="s">
        <v>11</v>
      </c>
      <c r="T406" s="39" t="s">
        <v>11</v>
      </c>
      <c r="U406" s="19">
        <v>7</v>
      </c>
      <c r="V406" s="153"/>
      <c r="W406" s="153"/>
      <c r="X406" s="153">
        <v>250</v>
      </c>
      <c r="Y406" s="153">
        <v>380</v>
      </c>
      <c r="Z406" s="153">
        <v>500</v>
      </c>
      <c r="AA406" s="40">
        <v>1</v>
      </c>
      <c r="AB406" s="40">
        <v>2</v>
      </c>
      <c r="AC406" s="40">
        <v>3</v>
      </c>
      <c r="AD406" s="40">
        <v>5</v>
      </c>
      <c r="AE406" s="40">
        <v>7.5</v>
      </c>
      <c r="AF406" s="40">
        <v>10</v>
      </c>
      <c r="AG406" s="40">
        <v>95.2</v>
      </c>
      <c r="AH406" s="40">
        <v>96.8</v>
      </c>
      <c r="AI406" s="40">
        <v>97.1</v>
      </c>
      <c r="AJ406" s="40">
        <v>97.5</v>
      </c>
      <c r="AK406" s="40">
        <v>97.6</v>
      </c>
      <c r="AL406" s="40">
        <v>97.1</v>
      </c>
      <c r="AM406" s="40">
        <v>97.4</v>
      </c>
      <c r="AN406" s="40">
        <v>95.3</v>
      </c>
      <c r="AO406" s="40">
        <v>96.3</v>
      </c>
      <c r="AP406" s="40">
        <v>97.6</v>
      </c>
      <c r="AQ406" s="40">
        <v>97.7</v>
      </c>
      <c r="AR406" s="40">
        <v>97.7</v>
      </c>
      <c r="AS406" s="40">
        <v>97.2</v>
      </c>
      <c r="AT406" s="40">
        <v>97.5</v>
      </c>
      <c r="AU406" s="40">
        <v>95.6</v>
      </c>
      <c r="AV406" s="40">
        <v>96.8</v>
      </c>
      <c r="AW406" s="40">
        <v>97.7</v>
      </c>
      <c r="AX406" s="40">
        <v>97.8</v>
      </c>
      <c r="AY406" s="40">
        <v>97.8</v>
      </c>
      <c r="AZ406" s="40">
        <v>97.7</v>
      </c>
      <c r="BA406" s="40">
        <v>97.6</v>
      </c>
      <c r="BB406" s="174">
        <v>43024</v>
      </c>
      <c r="BC406" s="174">
        <v>43388</v>
      </c>
    </row>
    <row r="407" spans="1:55" s="44" customFormat="1" ht="45">
      <c r="A407" s="140" t="s">
        <v>236</v>
      </c>
      <c r="B407" s="18" t="s">
        <v>967</v>
      </c>
      <c r="C407" s="23" t="s">
        <v>10</v>
      </c>
      <c r="D407" s="23" t="s">
        <v>10</v>
      </c>
      <c r="E407" s="23" t="s">
        <v>10</v>
      </c>
      <c r="F407" s="23" t="s">
        <v>11</v>
      </c>
      <c r="G407" s="18" t="s">
        <v>237</v>
      </c>
      <c r="H407" s="19">
        <v>2.5</v>
      </c>
      <c r="I407" s="37">
        <v>240</v>
      </c>
      <c r="J407" s="136">
        <v>97</v>
      </c>
      <c r="K407" s="21" t="s">
        <v>1217</v>
      </c>
      <c r="L407" s="49" t="s">
        <v>433</v>
      </c>
      <c r="M407" s="128" t="s">
        <v>446</v>
      </c>
      <c r="N407" s="174">
        <v>43388</v>
      </c>
      <c r="O407" s="49" t="s">
        <v>433</v>
      </c>
      <c r="P407" s="23" t="s">
        <v>17</v>
      </c>
      <c r="Q407" s="23" t="s">
        <v>17</v>
      </c>
      <c r="R407" s="151"/>
      <c r="S407" s="39" t="s">
        <v>11</v>
      </c>
      <c r="T407" s="39" t="s">
        <v>11</v>
      </c>
      <c r="U407" s="19">
        <v>3.2</v>
      </c>
      <c r="V407" s="153"/>
      <c r="W407" s="153"/>
      <c r="X407" s="153">
        <v>120</v>
      </c>
      <c r="Y407" s="153">
        <v>330</v>
      </c>
      <c r="Z407" s="153">
        <v>500</v>
      </c>
      <c r="AA407" s="40">
        <v>0.25</v>
      </c>
      <c r="AB407" s="40">
        <v>0.5</v>
      </c>
      <c r="AC407" s="40">
        <v>0.75</v>
      </c>
      <c r="AD407" s="40">
        <v>1.25</v>
      </c>
      <c r="AE407" s="40">
        <v>1.875</v>
      </c>
      <c r="AF407" s="40">
        <v>2.5</v>
      </c>
      <c r="AG407" s="40">
        <v>93.64009089369759</v>
      </c>
      <c r="AH407" s="40">
        <v>94.645664421270453</v>
      </c>
      <c r="AI407" s="40">
        <v>95.691972893334565</v>
      </c>
      <c r="AJ407" s="40">
        <v>96.836310056469273</v>
      </c>
      <c r="AK407" s="40">
        <v>96.713026788043152</v>
      </c>
      <c r="AL407" s="40">
        <v>96.48326444893533</v>
      </c>
      <c r="AM407" s="40">
        <v>96.378616135979769</v>
      </c>
      <c r="AN407" s="40">
        <v>93.91585626132742</v>
      </c>
      <c r="AO407" s="40">
        <v>95.504317848279925</v>
      </c>
      <c r="AP407" s="40">
        <v>96.592125759970912</v>
      </c>
      <c r="AQ407" s="40">
        <v>97.689552553141795</v>
      </c>
      <c r="AR407" s="40">
        <v>97.43791276303179</v>
      </c>
      <c r="AS407" s="40">
        <v>97.114041199272336</v>
      </c>
      <c r="AT407" s="40">
        <v>97.135507094593848</v>
      </c>
      <c r="AU407" s="40">
        <v>93.7984174193098</v>
      </c>
      <c r="AV407" s="40">
        <v>95.168450902035602</v>
      </c>
      <c r="AW407" s="40">
        <v>96.329719819008758</v>
      </c>
      <c r="AX407" s="40">
        <v>97.426891666506009</v>
      </c>
      <c r="AY407" s="40">
        <v>96.998939128665057</v>
      </c>
      <c r="AZ407" s="40">
        <v>96.804719815047363</v>
      </c>
      <c r="BA407" s="40">
        <v>96.77924659906634</v>
      </c>
      <c r="BB407" s="174">
        <v>43024</v>
      </c>
      <c r="BC407" s="174">
        <v>43388</v>
      </c>
    </row>
    <row r="408" spans="1:55" s="44" customFormat="1" ht="45">
      <c r="A408" s="140" t="s">
        <v>236</v>
      </c>
      <c r="B408" s="18" t="s">
        <v>969</v>
      </c>
      <c r="C408" s="23" t="s">
        <v>10</v>
      </c>
      <c r="D408" s="23" t="s">
        <v>10</v>
      </c>
      <c r="E408" s="23" t="s">
        <v>10</v>
      </c>
      <c r="F408" s="23" t="s">
        <v>11</v>
      </c>
      <c r="G408" s="18" t="s">
        <v>239</v>
      </c>
      <c r="H408" s="125">
        <v>3.6</v>
      </c>
      <c r="I408" s="37">
        <v>240</v>
      </c>
      <c r="J408" s="136">
        <v>97</v>
      </c>
      <c r="K408" s="21" t="s">
        <v>1217</v>
      </c>
      <c r="L408" s="49" t="s">
        <v>433</v>
      </c>
      <c r="M408" s="128" t="s">
        <v>446</v>
      </c>
      <c r="N408" s="174">
        <v>43388</v>
      </c>
      <c r="O408" s="49" t="s">
        <v>433</v>
      </c>
      <c r="P408" s="23" t="s">
        <v>17</v>
      </c>
      <c r="Q408" s="23" t="s">
        <v>17</v>
      </c>
      <c r="R408" s="151"/>
      <c r="S408" s="39" t="s">
        <v>11</v>
      </c>
      <c r="T408" s="39" t="s">
        <v>11</v>
      </c>
      <c r="U408" s="19">
        <v>3.5</v>
      </c>
      <c r="V408" s="153"/>
      <c r="W408" s="153"/>
      <c r="X408" s="153">
        <v>180</v>
      </c>
      <c r="Y408" s="153">
        <v>330</v>
      </c>
      <c r="Z408" s="153">
        <v>500</v>
      </c>
      <c r="AA408" s="40">
        <v>0.36000000000000004</v>
      </c>
      <c r="AB408" s="40">
        <v>0.72000000000000008</v>
      </c>
      <c r="AC408" s="40">
        <v>1.08</v>
      </c>
      <c r="AD408" s="40">
        <v>1.8</v>
      </c>
      <c r="AE408" s="40">
        <v>2.7</v>
      </c>
      <c r="AF408" s="40">
        <v>3.6</v>
      </c>
      <c r="AG408" s="40">
        <v>93.880410809405305</v>
      </c>
      <c r="AH408" s="40">
        <v>94.744608833229535</v>
      </c>
      <c r="AI408" s="40">
        <v>95.630247875517895</v>
      </c>
      <c r="AJ408" s="40">
        <v>97.090449873016482</v>
      </c>
      <c r="AK408" s="40">
        <v>96.83855793667837</v>
      </c>
      <c r="AL408" s="40">
        <v>96.490700570558161</v>
      </c>
      <c r="AM408" s="40">
        <v>96.50604182740075</v>
      </c>
      <c r="AN408" s="40">
        <v>93.901739048725005</v>
      </c>
      <c r="AO408" s="40">
        <v>95.672168517006114</v>
      </c>
      <c r="AP408" s="40">
        <v>96.897284438541305</v>
      </c>
      <c r="AQ408" s="40">
        <v>97.795929191459606</v>
      </c>
      <c r="AR408" s="40">
        <v>97.421390868668482</v>
      </c>
      <c r="AS408" s="40">
        <v>97.062195260477367</v>
      </c>
      <c r="AT408" s="40">
        <v>97.190944174048951</v>
      </c>
      <c r="AU408" s="40">
        <v>93.879160915135756</v>
      </c>
      <c r="AV408" s="40">
        <v>95.494696539050523</v>
      </c>
      <c r="AW408" s="40">
        <v>96.552192472215637</v>
      </c>
      <c r="AX408" s="40">
        <v>97.483113722441473</v>
      </c>
      <c r="AY408" s="40">
        <v>97.151107276255416</v>
      </c>
      <c r="AZ408" s="40">
        <v>96.764456505784935</v>
      </c>
      <c r="BA408" s="40">
        <v>96.915927923641163</v>
      </c>
      <c r="BB408" s="174">
        <v>43024</v>
      </c>
      <c r="BC408" s="174">
        <v>43388</v>
      </c>
    </row>
    <row r="409" spans="1:55" s="44" customFormat="1" ht="45">
      <c r="A409" s="140" t="s">
        <v>236</v>
      </c>
      <c r="B409" s="18" t="s">
        <v>968</v>
      </c>
      <c r="C409" s="23" t="s">
        <v>10</v>
      </c>
      <c r="D409" s="23" t="s">
        <v>10</v>
      </c>
      <c r="E409" s="23" t="s">
        <v>10</v>
      </c>
      <c r="F409" s="23" t="s">
        <v>11</v>
      </c>
      <c r="G409" s="18" t="s">
        <v>238</v>
      </c>
      <c r="H409" s="19">
        <v>3</v>
      </c>
      <c r="I409" s="37">
        <v>240</v>
      </c>
      <c r="J409" s="136">
        <v>97</v>
      </c>
      <c r="K409" s="21" t="s">
        <v>1217</v>
      </c>
      <c r="L409" s="49" t="s">
        <v>433</v>
      </c>
      <c r="M409" s="128" t="s">
        <v>446</v>
      </c>
      <c r="N409" s="174">
        <v>43388</v>
      </c>
      <c r="O409" s="49" t="s">
        <v>433</v>
      </c>
      <c r="P409" s="23" t="s">
        <v>17</v>
      </c>
      <c r="Q409" s="23" t="s">
        <v>17</v>
      </c>
      <c r="R409" s="151"/>
      <c r="S409" s="39" t="s">
        <v>11</v>
      </c>
      <c r="T409" s="39" t="s">
        <v>11</v>
      </c>
      <c r="U409" s="19">
        <v>3.3</v>
      </c>
      <c r="V409" s="153"/>
      <c r="W409" s="153"/>
      <c r="X409" s="153">
        <v>140</v>
      </c>
      <c r="Y409" s="153">
        <v>330</v>
      </c>
      <c r="Z409" s="153">
        <v>500</v>
      </c>
      <c r="AA409" s="40">
        <v>0.30000000000000004</v>
      </c>
      <c r="AB409" s="40">
        <v>0.60000000000000009</v>
      </c>
      <c r="AC409" s="40">
        <v>0.89999999999999991</v>
      </c>
      <c r="AD409" s="40">
        <v>1.5</v>
      </c>
      <c r="AE409" s="40">
        <v>2.25</v>
      </c>
      <c r="AF409" s="40">
        <v>3</v>
      </c>
      <c r="AG409" s="40">
        <v>93.866362045573325</v>
      </c>
      <c r="AH409" s="40">
        <v>94.713615226317359</v>
      </c>
      <c r="AI409" s="40">
        <v>95.611436841133582</v>
      </c>
      <c r="AJ409" s="40">
        <v>97.057414007214888</v>
      </c>
      <c r="AK409" s="40">
        <v>96.812186600936343</v>
      </c>
      <c r="AL409" s="40">
        <v>96.476965657638644</v>
      </c>
      <c r="AM409" s="40">
        <v>96.480071786968153</v>
      </c>
      <c r="AN409" s="40">
        <v>94.066710820970357</v>
      </c>
      <c r="AO409" s="40">
        <v>95.669654965023668</v>
      </c>
      <c r="AP409" s="40">
        <v>96.553873307195644</v>
      </c>
      <c r="AQ409" s="40">
        <v>97.767540234850273</v>
      </c>
      <c r="AR409" s="40">
        <v>97.426406382654449</v>
      </c>
      <c r="AS409" s="40">
        <v>97.001242413635239</v>
      </c>
      <c r="AT409" s="40">
        <v>97.149856930760677</v>
      </c>
      <c r="AU409" s="40">
        <v>93.844991582308452</v>
      </c>
      <c r="AV409" s="40">
        <v>95.296862689394715</v>
      </c>
      <c r="AW409" s="40">
        <v>96.17578739336723</v>
      </c>
      <c r="AX409" s="40">
        <v>97.440775457825168</v>
      </c>
      <c r="AY409" s="40">
        <v>97.173306206173294</v>
      </c>
      <c r="AZ409" s="40">
        <v>96.696956371666118</v>
      </c>
      <c r="BA409" s="40">
        <v>96.859000238964569</v>
      </c>
      <c r="BB409" s="174">
        <v>43024</v>
      </c>
      <c r="BC409" s="174">
        <v>43388</v>
      </c>
    </row>
    <row r="410" spans="1:55" s="44" customFormat="1" ht="45">
      <c r="A410" s="140" t="s">
        <v>236</v>
      </c>
      <c r="B410" s="18" t="s">
        <v>971</v>
      </c>
      <c r="C410" s="23" t="s">
        <v>10</v>
      </c>
      <c r="D410" s="23" t="s">
        <v>10</v>
      </c>
      <c r="E410" s="23" t="s">
        <v>10</v>
      </c>
      <c r="F410" s="23" t="s">
        <v>11</v>
      </c>
      <c r="G410" s="18" t="s">
        <v>241</v>
      </c>
      <c r="H410" s="125">
        <v>4.5999999999999996</v>
      </c>
      <c r="I410" s="37">
        <v>240</v>
      </c>
      <c r="J410" s="136">
        <v>97</v>
      </c>
      <c r="K410" s="21" t="s">
        <v>1217</v>
      </c>
      <c r="L410" s="49" t="s">
        <v>433</v>
      </c>
      <c r="M410" s="128" t="s">
        <v>446</v>
      </c>
      <c r="N410" s="174">
        <v>43388</v>
      </c>
      <c r="O410" s="49" t="s">
        <v>433</v>
      </c>
      <c r="P410" s="23" t="s">
        <v>17</v>
      </c>
      <c r="Q410" s="23" t="s">
        <v>17</v>
      </c>
      <c r="R410" s="151"/>
      <c r="S410" s="39" t="s">
        <v>11</v>
      </c>
      <c r="T410" s="39" t="s">
        <v>11</v>
      </c>
      <c r="U410" s="19">
        <v>3.6</v>
      </c>
      <c r="V410" s="153"/>
      <c r="W410" s="153"/>
      <c r="X410" s="153">
        <v>200</v>
      </c>
      <c r="Y410" s="153">
        <v>360</v>
      </c>
      <c r="Z410" s="153">
        <v>500</v>
      </c>
      <c r="AA410" s="40">
        <v>0.45999999999999996</v>
      </c>
      <c r="AB410" s="40">
        <v>0.91999999999999993</v>
      </c>
      <c r="AC410" s="40">
        <v>1.38</v>
      </c>
      <c r="AD410" s="40">
        <v>2.2999999999999998</v>
      </c>
      <c r="AE410" s="40">
        <v>3.4499999999999997</v>
      </c>
      <c r="AF410" s="40">
        <v>4.5999999999999996</v>
      </c>
      <c r="AG410" s="40">
        <v>93.028195734313769</v>
      </c>
      <c r="AH410" s="40">
        <v>94.339053526325344</v>
      </c>
      <c r="AI410" s="40">
        <v>95.735856633384714</v>
      </c>
      <c r="AJ410" s="40">
        <v>96.904337586749961</v>
      </c>
      <c r="AK410" s="40">
        <v>96.800085399999944</v>
      </c>
      <c r="AL410" s="40">
        <v>96.532524653481389</v>
      </c>
      <c r="AM410" s="40">
        <v>96.406965689586514</v>
      </c>
      <c r="AN410" s="40">
        <v>94.065488340627752</v>
      </c>
      <c r="AO410" s="40">
        <v>95.574073479004198</v>
      </c>
      <c r="AP410" s="40">
        <v>96.907410827882686</v>
      </c>
      <c r="AQ410" s="40">
        <v>97.937545089780741</v>
      </c>
      <c r="AR410" s="40">
        <v>97.542723225222645</v>
      </c>
      <c r="AS410" s="40">
        <v>97.311778641122601</v>
      </c>
      <c r="AT410" s="40">
        <v>97.300329217199334</v>
      </c>
      <c r="AU410" s="40">
        <v>93.787640256380428</v>
      </c>
      <c r="AV410" s="40">
        <v>95.100883560474969</v>
      </c>
      <c r="AW410" s="40">
        <v>96.546118688323915</v>
      </c>
      <c r="AX410" s="40">
        <v>97.43737176295663</v>
      </c>
      <c r="AY410" s="40">
        <v>97.266633540859203</v>
      </c>
      <c r="AZ410" s="40">
        <v>96.964009895307953</v>
      </c>
      <c r="BA410" s="40">
        <v>96.953448372519489</v>
      </c>
      <c r="BB410" s="174">
        <v>43024</v>
      </c>
      <c r="BC410" s="174">
        <v>43388</v>
      </c>
    </row>
    <row r="411" spans="1:55" s="44" customFormat="1" ht="45">
      <c r="A411" s="140" t="s">
        <v>236</v>
      </c>
      <c r="B411" s="18" t="s">
        <v>970</v>
      </c>
      <c r="C411" s="23" t="s">
        <v>10</v>
      </c>
      <c r="D411" s="23" t="s">
        <v>10</v>
      </c>
      <c r="E411" s="23" t="s">
        <v>10</v>
      </c>
      <c r="F411" s="23" t="s">
        <v>11</v>
      </c>
      <c r="G411" s="18" t="s">
        <v>240</v>
      </c>
      <c r="H411" s="125">
        <v>4</v>
      </c>
      <c r="I411" s="37">
        <v>240</v>
      </c>
      <c r="J411" s="136">
        <v>97</v>
      </c>
      <c r="K411" s="21" t="s">
        <v>1217</v>
      </c>
      <c r="L411" s="49" t="s">
        <v>433</v>
      </c>
      <c r="M411" s="128" t="s">
        <v>446</v>
      </c>
      <c r="N411" s="174">
        <v>43388</v>
      </c>
      <c r="O411" s="49" t="s">
        <v>433</v>
      </c>
      <c r="P411" s="23" t="s">
        <v>17</v>
      </c>
      <c r="Q411" s="23" t="s">
        <v>17</v>
      </c>
      <c r="R411" s="151"/>
      <c r="S411" s="39" t="s">
        <v>11</v>
      </c>
      <c r="T411" s="39" t="s">
        <v>11</v>
      </c>
      <c r="U411" s="19">
        <v>3.5</v>
      </c>
      <c r="V411" s="153"/>
      <c r="W411" s="153"/>
      <c r="X411" s="153">
        <v>190</v>
      </c>
      <c r="Y411" s="153">
        <v>330</v>
      </c>
      <c r="Z411" s="153">
        <v>500</v>
      </c>
      <c r="AA411" s="40">
        <v>0.4</v>
      </c>
      <c r="AB411" s="40">
        <v>0.8</v>
      </c>
      <c r="AC411" s="40">
        <v>1.2</v>
      </c>
      <c r="AD411" s="40">
        <v>2</v>
      </c>
      <c r="AE411" s="40">
        <v>3</v>
      </c>
      <c r="AF411" s="40">
        <v>4</v>
      </c>
      <c r="AG411" s="40">
        <v>93.871501231104475</v>
      </c>
      <c r="AH411" s="40">
        <v>94.72553599271626</v>
      </c>
      <c r="AI411" s="40">
        <v>96.090842051821781</v>
      </c>
      <c r="AJ411" s="40">
        <v>97.086947612260346</v>
      </c>
      <c r="AK411" s="40">
        <v>96.821654862153054</v>
      </c>
      <c r="AL411" s="40">
        <v>96.403999272846008</v>
      </c>
      <c r="AM411" s="40">
        <v>96.545973934256693</v>
      </c>
      <c r="AN411" s="40">
        <v>94.029282316330082</v>
      </c>
      <c r="AO411" s="40">
        <v>95.720601543272863</v>
      </c>
      <c r="AP411" s="40">
        <v>96.983668557667372</v>
      </c>
      <c r="AQ411" s="40">
        <v>97.919211293239186</v>
      </c>
      <c r="AR411" s="40">
        <v>97.490918959368486</v>
      </c>
      <c r="AS411" s="40">
        <v>97.321626545023875</v>
      </c>
      <c r="AT411" s="40">
        <v>97.284544344033648</v>
      </c>
      <c r="AU411" s="40">
        <v>93.876077058123798</v>
      </c>
      <c r="AV411" s="40">
        <v>95.472535553669402</v>
      </c>
      <c r="AW411" s="40">
        <v>96.556757132693718</v>
      </c>
      <c r="AX411" s="40">
        <v>97.531072371253103</v>
      </c>
      <c r="AY411" s="40">
        <v>97.144393942024223</v>
      </c>
      <c r="AZ411" s="40">
        <v>96.779604374883647</v>
      </c>
      <c r="BA411" s="40">
        <v>96.922514921911841</v>
      </c>
      <c r="BB411" s="174">
        <v>43024</v>
      </c>
      <c r="BC411" s="174">
        <v>43388</v>
      </c>
    </row>
    <row r="412" spans="1:55" s="44" customFormat="1" ht="45">
      <c r="A412" s="140" t="s">
        <v>236</v>
      </c>
      <c r="B412" s="18" t="s">
        <v>972</v>
      </c>
      <c r="C412" s="23" t="s">
        <v>10</v>
      </c>
      <c r="D412" s="23" t="s">
        <v>10</v>
      </c>
      <c r="E412" s="23" t="s">
        <v>10</v>
      </c>
      <c r="F412" s="23" t="s">
        <v>11</v>
      </c>
      <c r="G412" s="18" t="s">
        <v>48</v>
      </c>
      <c r="H412" s="125">
        <v>5</v>
      </c>
      <c r="I412" s="37">
        <v>240</v>
      </c>
      <c r="J412" s="136">
        <v>97</v>
      </c>
      <c r="K412" s="21" t="s">
        <v>1217</v>
      </c>
      <c r="L412" s="49" t="s">
        <v>433</v>
      </c>
      <c r="M412" s="128" t="s">
        <v>446</v>
      </c>
      <c r="N412" s="174">
        <v>43388</v>
      </c>
      <c r="O412" s="49" t="s">
        <v>433</v>
      </c>
      <c r="P412" s="23" t="s">
        <v>17</v>
      </c>
      <c r="Q412" s="23" t="s">
        <v>17</v>
      </c>
      <c r="R412" s="151"/>
      <c r="S412" s="39" t="s">
        <v>11</v>
      </c>
      <c r="T412" s="39" t="s">
        <v>11</v>
      </c>
      <c r="U412" s="19">
        <v>3.6</v>
      </c>
      <c r="V412" s="153"/>
      <c r="W412" s="153"/>
      <c r="X412" s="153">
        <v>240</v>
      </c>
      <c r="Y412" s="153">
        <v>360</v>
      </c>
      <c r="Z412" s="153">
        <v>500</v>
      </c>
      <c r="AA412" s="40">
        <v>0.5</v>
      </c>
      <c r="AB412" s="40">
        <v>1</v>
      </c>
      <c r="AC412" s="40">
        <v>1.5</v>
      </c>
      <c r="AD412" s="40">
        <v>2.5</v>
      </c>
      <c r="AE412" s="40">
        <v>3.75</v>
      </c>
      <c r="AF412" s="40">
        <v>5</v>
      </c>
      <c r="AG412" s="40">
        <v>93.996706641031309</v>
      </c>
      <c r="AH412" s="40">
        <v>94.597949603710674</v>
      </c>
      <c r="AI412" s="40">
        <v>95.717205535843362</v>
      </c>
      <c r="AJ412" s="40">
        <v>97.316091933001459</v>
      </c>
      <c r="AK412" s="40">
        <v>97.015499351932007</v>
      </c>
      <c r="AL412" s="40">
        <v>96.516651627649978</v>
      </c>
      <c r="AM412" s="40">
        <v>96.656256953964757</v>
      </c>
      <c r="AN412" s="40">
        <v>94.541781172499185</v>
      </c>
      <c r="AO412" s="40">
        <v>95.737381698898545</v>
      </c>
      <c r="AP412" s="40">
        <v>96.595282460935181</v>
      </c>
      <c r="AQ412" s="40">
        <v>97.931932459613151</v>
      </c>
      <c r="AR412" s="40">
        <v>97.616770874423452</v>
      </c>
      <c r="AS412" s="40">
        <v>97.432986097884552</v>
      </c>
      <c r="AT412" s="40">
        <v>97.334217912014552</v>
      </c>
      <c r="AU412" s="40">
        <v>94.009381120970076</v>
      </c>
      <c r="AV412" s="40">
        <v>94.97515884697296</v>
      </c>
      <c r="AW412" s="40">
        <v>96.144960399912321</v>
      </c>
      <c r="AX412" s="40">
        <v>97.470538103970014</v>
      </c>
      <c r="AY412" s="40">
        <v>97.330846738964055</v>
      </c>
      <c r="AZ412" s="40">
        <v>96.848085910197412</v>
      </c>
      <c r="BA412" s="40">
        <v>96.943094504171441</v>
      </c>
      <c r="BB412" s="174">
        <v>43024</v>
      </c>
      <c r="BC412" s="174">
        <v>43388</v>
      </c>
    </row>
    <row r="413" spans="1:55" s="44" customFormat="1" ht="45">
      <c r="A413" s="140" t="s">
        <v>236</v>
      </c>
      <c r="B413" s="18" t="s">
        <v>973</v>
      </c>
      <c r="C413" s="23" t="s">
        <v>10</v>
      </c>
      <c r="D413" s="23" t="s">
        <v>10</v>
      </c>
      <c r="E413" s="23" t="s">
        <v>10</v>
      </c>
      <c r="F413" s="23" t="s">
        <v>11</v>
      </c>
      <c r="G413" s="18" t="s">
        <v>242</v>
      </c>
      <c r="H413" s="125">
        <v>6</v>
      </c>
      <c r="I413" s="37">
        <v>240</v>
      </c>
      <c r="J413" s="136">
        <v>97</v>
      </c>
      <c r="K413" s="21" t="s">
        <v>1217</v>
      </c>
      <c r="L413" s="49" t="s">
        <v>433</v>
      </c>
      <c r="M413" s="128" t="s">
        <v>446</v>
      </c>
      <c r="N413" s="174">
        <v>43388</v>
      </c>
      <c r="O413" s="49" t="s">
        <v>433</v>
      </c>
      <c r="P413" s="23" t="s">
        <v>17</v>
      </c>
      <c r="Q413" s="23" t="s">
        <v>17</v>
      </c>
      <c r="R413" s="151"/>
      <c r="S413" s="39" t="s">
        <v>11</v>
      </c>
      <c r="T413" s="39" t="s">
        <v>11</v>
      </c>
      <c r="U413" s="19">
        <v>3.5</v>
      </c>
      <c r="V413" s="153"/>
      <c r="W413" s="153"/>
      <c r="X413" s="153">
        <v>300</v>
      </c>
      <c r="Y413" s="153">
        <v>360</v>
      </c>
      <c r="Z413" s="153">
        <v>500</v>
      </c>
      <c r="AA413" s="40">
        <v>0.60000000000000009</v>
      </c>
      <c r="AB413" s="40">
        <v>1.2000000000000002</v>
      </c>
      <c r="AC413" s="40">
        <v>1.7999999999999998</v>
      </c>
      <c r="AD413" s="40">
        <v>3</v>
      </c>
      <c r="AE413" s="40">
        <v>4.5</v>
      </c>
      <c r="AF413" s="40">
        <v>6</v>
      </c>
      <c r="AG413" s="40">
        <v>94.197535726830296</v>
      </c>
      <c r="AH413" s="40">
        <v>94.803353761468742</v>
      </c>
      <c r="AI413" s="40">
        <v>95.916149598193371</v>
      </c>
      <c r="AJ413" s="40">
        <v>97.43250288564505</v>
      </c>
      <c r="AK413" s="40">
        <v>97.212299328519038</v>
      </c>
      <c r="AL413" s="40">
        <v>96.712185326395939</v>
      </c>
      <c r="AM413" s="40">
        <v>96.836960585350198</v>
      </c>
      <c r="AN413" s="40">
        <v>94.433517737300264</v>
      </c>
      <c r="AO413" s="40">
        <v>95.64157274756991</v>
      </c>
      <c r="AP413" s="40">
        <v>96.52690498184333</v>
      </c>
      <c r="AQ413" s="40">
        <v>97.830342345040066</v>
      </c>
      <c r="AR413" s="40">
        <v>97.713908618607121</v>
      </c>
      <c r="AS413" s="40">
        <v>97.336335950188385</v>
      </c>
      <c r="AT413" s="40">
        <v>97.342208202521306</v>
      </c>
      <c r="AU413" s="40">
        <v>94.212599552420215</v>
      </c>
      <c r="AV413" s="40">
        <v>95.176308210388456</v>
      </c>
      <c r="AW413" s="40">
        <v>96.348919315137366</v>
      </c>
      <c r="AX413" s="40">
        <v>97.666307646143125</v>
      </c>
      <c r="AY413" s="40">
        <v>97.526579814015747</v>
      </c>
      <c r="AZ413" s="40">
        <v>97.042708604417626</v>
      </c>
      <c r="BA413" s="40">
        <v>97.140337047772007</v>
      </c>
      <c r="BB413" s="174">
        <v>43024</v>
      </c>
      <c r="BC413" s="174">
        <v>43388</v>
      </c>
    </row>
    <row r="414" spans="1:55" s="44" customFormat="1" ht="45">
      <c r="A414" s="140" t="s">
        <v>236</v>
      </c>
      <c r="B414" s="18" t="s">
        <v>974</v>
      </c>
      <c r="C414" s="23" t="s">
        <v>10</v>
      </c>
      <c r="D414" s="23" t="s">
        <v>10</v>
      </c>
      <c r="E414" s="23" t="s">
        <v>10</v>
      </c>
      <c r="F414" s="23" t="s">
        <v>11</v>
      </c>
      <c r="G414" s="18" t="s">
        <v>243</v>
      </c>
      <c r="H414" s="125">
        <v>6</v>
      </c>
      <c r="I414" s="37">
        <v>240</v>
      </c>
      <c r="J414" s="136">
        <v>97.5</v>
      </c>
      <c r="K414" s="21" t="s">
        <v>1217</v>
      </c>
      <c r="L414" s="49" t="s">
        <v>447</v>
      </c>
      <c r="M414" s="23" t="s">
        <v>448</v>
      </c>
      <c r="N414" s="174">
        <v>43388</v>
      </c>
      <c r="O414" s="49" t="s">
        <v>447</v>
      </c>
      <c r="P414" s="23" t="s">
        <v>17</v>
      </c>
      <c r="Q414" s="23" t="s">
        <v>17</v>
      </c>
      <c r="R414" s="150" t="s">
        <v>244</v>
      </c>
      <c r="S414" s="39" t="s">
        <v>11</v>
      </c>
      <c r="T414" s="39" t="s">
        <v>11</v>
      </c>
      <c r="U414" s="19">
        <v>6</v>
      </c>
      <c r="V414" s="153"/>
      <c r="W414" s="153"/>
      <c r="X414" s="153">
        <v>200</v>
      </c>
      <c r="Y414" s="153">
        <v>380</v>
      </c>
      <c r="Z414" s="153">
        <v>500</v>
      </c>
      <c r="AA414" s="40">
        <v>0.60000000000000009</v>
      </c>
      <c r="AB414" s="40">
        <v>1.2000000000000002</v>
      </c>
      <c r="AC414" s="40">
        <v>1.7999999999999998</v>
      </c>
      <c r="AD414" s="40">
        <v>3</v>
      </c>
      <c r="AE414" s="40">
        <v>4.5</v>
      </c>
      <c r="AF414" s="40">
        <v>6</v>
      </c>
      <c r="AG414" s="40">
        <v>94.899770164528803</v>
      </c>
      <c r="AH414" s="40">
        <v>96.120754598027418</v>
      </c>
      <c r="AI414" s="40">
        <v>96.764537644534499</v>
      </c>
      <c r="AJ414" s="40">
        <v>97.304464686096452</v>
      </c>
      <c r="AK414" s="40">
        <v>97.323418673708375</v>
      </c>
      <c r="AL414" s="40">
        <v>96.476132204853485</v>
      </c>
      <c r="AM414" s="40">
        <v>97.052929145215032</v>
      </c>
      <c r="AN414" s="40">
        <v>95.548667212840428</v>
      </c>
      <c r="AO414" s="40">
        <v>96.981255211095871</v>
      </c>
      <c r="AP414" s="40">
        <v>97.396397632963414</v>
      </c>
      <c r="AQ414" s="40">
        <v>97.422751793816218</v>
      </c>
      <c r="AR414" s="40">
        <v>97.371743747168495</v>
      </c>
      <c r="AS414" s="40">
        <v>97.952511725361148</v>
      </c>
      <c r="AT414" s="40">
        <v>97.322004813992791</v>
      </c>
      <c r="AU414" s="40">
        <v>95.308252818866848</v>
      </c>
      <c r="AV414" s="40">
        <v>96.91462083439346</v>
      </c>
      <c r="AW414" s="40">
        <v>97.479407193637854</v>
      </c>
      <c r="AX414" s="40">
        <v>97.587301167885428</v>
      </c>
      <c r="AY414" s="40">
        <v>97.579454798035869</v>
      </c>
      <c r="AZ414" s="40">
        <v>97.582808566643422</v>
      </c>
      <c r="BA414" s="40">
        <v>97.445174734258018</v>
      </c>
      <c r="BB414" s="174">
        <v>43024</v>
      </c>
      <c r="BC414" s="174">
        <v>43388</v>
      </c>
    </row>
    <row r="415" spans="1:55" s="44" customFormat="1" ht="45">
      <c r="A415" s="140" t="s">
        <v>236</v>
      </c>
      <c r="B415" s="18" t="s">
        <v>976</v>
      </c>
      <c r="C415" s="23" t="s">
        <v>10</v>
      </c>
      <c r="D415" s="23" t="s">
        <v>10</v>
      </c>
      <c r="E415" s="23" t="s">
        <v>10</v>
      </c>
      <c r="F415" s="23" t="s">
        <v>11</v>
      </c>
      <c r="G415" s="18" t="s">
        <v>44</v>
      </c>
      <c r="H415" s="125">
        <v>7.6</v>
      </c>
      <c r="I415" s="37">
        <v>240</v>
      </c>
      <c r="J415" s="136">
        <v>97.5</v>
      </c>
      <c r="K415" s="21" t="s">
        <v>1217</v>
      </c>
      <c r="L415" s="49" t="s">
        <v>447</v>
      </c>
      <c r="M415" s="23" t="s">
        <v>448</v>
      </c>
      <c r="N415" s="174">
        <v>43388</v>
      </c>
      <c r="O415" s="49" t="s">
        <v>447</v>
      </c>
      <c r="P415" s="23" t="s">
        <v>17</v>
      </c>
      <c r="Q415" s="23" t="s">
        <v>17</v>
      </c>
      <c r="R415" s="151" t="s">
        <v>247</v>
      </c>
      <c r="S415" s="39" t="s">
        <v>11</v>
      </c>
      <c r="T415" s="39" t="s">
        <v>11</v>
      </c>
      <c r="U415" s="19">
        <v>7</v>
      </c>
      <c r="V415" s="153"/>
      <c r="W415" s="153"/>
      <c r="X415" s="153">
        <v>200</v>
      </c>
      <c r="Y415" s="153">
        <v>380</v>
      </c>
      <c r="Z415" s="153">
        <v>500</v>
      </c>
      <c r="AA415" s="40">
        <v>0.76</v>
      </c>
      <c r="AB415" s="40">
        <v>1.52</v>
      </c>
      <c r="AC415" s="40">
        <v>2.2799999999999998</v>
      </c>
      <c r="AD415" s="40">
        <v>3.8</v>
      </c>
      <c r="AE415" s="40">
        <v>5.6999999999999993</v>
      </c>
      <c r="AF415" s="40">
        <v>7.6</v>
      </c>
      <c r="AG415" s="40">
        <v>95.054544778915016</v>
      </c>
      <c r="AH415" s="40">
        <v>96.16013372200068</v>
      </c>
      <c r="AI415" s="40">
        <v>96.88851941562136</v>
      </c>
      <c r="AJ415" s="40">
        <v>97.343299079676314</v>
      </c>
      <c r="AK415" s="40">
        <v>97.146845964984067</v>
      </c>
      <c r="AL415" s="40">
        <v>96.576007736626707</v>
      </c>
      <c r="AM415" s="40">
        <v>96.995532362136117</v>
      </c>
      <c r="AN415" s="40">
        <v>95.630951815313068</v>
      </c>
      <c r="AO415" s="40">
        <v>97.183559291499847</v>
      </c>
      <c r="AP415" s="40">
        <v>97.475293348378585</v>
      </c>
      <c r="AQ415" s="40">
        <v>97.779406666709733</v>
      </c>
      <c r="AR415" s="40">
        <v>97.346973662421036</v>
      </c>
      <c r="AS415" s="40">
        <v>97.896154149605167</v>
      </c>
      <c r="AT415" s="40">
        <v>97.403830387565392</v>
      </c>
      <c r="AU415" s="40">
        <v>95.358595879365339</v>
      </c>
      <c r="AV415" s="40">
        <v>96.753366238298483</v>
      </c>
      <c r="AW415" s="40">
        <v>97.605982628900193</v>
      </c>
      <c r="AX415" s="40">
        <v>97.82415064028558</v>
      </c>
      <c r="AY415" s="40">
        <v>97.854089025575689</v>
      </c>
      <c r="AZ415" s="40">
        <v>97.709442999404004</v>
      </c>
      <c r="BA415" s="40">
        <v>97.655941030542849</v>
      </c>
      <c r="BB415" s="174">
        <v>43024</v>
      </c>
      <c r="BC415" s="174">
        <v>43388</v>
      </c>
    </row>
    <row r="416" spans="1:55" s="44" customFormat="1" ht="45">
      <c r="A416" s="140" t="s">
        <v>236</v>
      </c>
      <c r="B416" s="18" t="s">
        <v>975</v>
      </c>
      <c r="C416" s="23" t="s">
        <v>10</v>
      </c>
      <c r="D416" s="23" t="s">
        <v>10</v>
      </c>
      <c r="E416" s="23" t="s">
        <v>10</v>
      </c>
      <c r="F416" s="23" t="s">
        <v>11</v>
      </c>
      <c r="G416" s="18" t="s">
        <v>245</v>
      </c>
      <c r="H416" s="125">
        <v>7</v>
      </c>
      <c r="I416" s="37">
        <v>240</v>
      </c>
      <c r="J416" s="136">
        <v>97.5</v>
      </c>
      <c r="K416" s="21" t="s">
        <v>1217</v>
      </c>
      <c r="L416" s="49" t="s">
        <v>447</v>
      </c>
      <c r="M416" s="23" t="s">
        <v>448</v>
      </c>
      <c r="N416" s="174">
        <v>43388</v>
      </c>
      <c r="O416" s="49" t="s">
        <v>447</v>
      </c>
      <c r="P416" s="23" t="s">
        <v>17</v>
      </c>
      <c r="Q416" s="23" t="s">
        <v>17</v>
      </c>
      <c r="R416" s="151" t="s">
        <v>246</v>
      </c>
      <c r="S416" s="39" t="s">
        <v>10</v>
      </c>
      <c r="T416" s="39" t="s">
        <v>11</v>
      </c>
      <c r="U416" s="19">
        <v>7</v>
      </c>
      <c r="V416" s="153"/>
      <c r="W416" s="153"/>
      <c r="X416" s="153">
        <v>250</v>
      </c>
      <c r="Y416" s="153">
        <v>380</v>
      </c>
      <c r="Z416" s="153">
        <v>500</v>
      </c>
      <c r="AA416" s="40">
        <v>0.70000000000000007</v>
      </c>
      <c r="AB416" s="40">
        <v>1.4000000000000001</v>
      </c>
      <c r="AC416" s="40">
        <v>2.1</v>
      </c>
      <c r="AD416" s="40">
        <v>3.5</v>
      </c>
      <c r="AE416" s="40">
        <v>5.25</v>
      </c>
      <c r="AF416" s="40">
        <v>7</v>
      </c>
      <c r="AG416" s="40">
        <v>94.960672962684697</v>
      </c>
      <c r="AH416" s="40">
        <v>96.155042573333731</v>
      </c>
      <c r="AI416" s="40">
        <v>96.831370621296372</v>
      </c>
      <c r="AJ416" s="40">
        <v>97.356481029596281</v>
      </c>
      <c r="AK416" s="40">
        <v>97.353815384428287</v>
      </c>
      <c r="AL416" s="40">
        <v>96.539846188084397</v>
      </c>
      <c r="AM416" s="40">
        <v>97.095319001096072</v>
      </c>
      <c r="AN416" s="40">
        <v>95.584550496798755</v>
      </c>
      <c r="AO416" s="40">
        <v>97.012296652157914</v>
      </c>
      <c r="AP416" s="40">
        <v>97.429006533355562</v>
      </c>
      <c r="AQ416" s="40">
        <v>97.5</v>
      </c>
      <c r="AR416" s="40">
        <v>97.509041106010642</v>
      </c>
      <c r="AS416" s="40">
        <v>97.043716045573291</v>
      </c>
      <c r="AT416" s="40">
        <v>97.372455224946819</v>
      </c>
      <c r="AU416" s="40">
        <v>95.320789193775596</v>
      </c>
      <c r="AV416" s="40">
        <v>96.955133599404505</v>
      </c>
      <c r="AW416" s="40">
        <v>97.520125461640987</v>
      </c>
      <c r="AX416" s="40">
        <v>97.663923408425362</v>
      </c>
      <c r="AY416" s="40">
        <v>97.598820047351609</v>
      </c>
      <c r="AZ416" s="40">
        <v>97.595908209399227</v>
      </c>
      <c r="BA416" s="40">
        <v>97.479597254453807</v>
      </c>
      <c r="BB416" s="174">
        <v>43024</v>
      </c>
      <c r="BC416" s="174">
        <v>43388</v>
      </c>
    </row>
    <row r="417" spans="1:55" s="44" customFormat="1" ht="45">
      <c r="A417" s="140" t="s">
        <v>236</v>
      </c>
      <c r="B417" s="18" t="s">
        <v>977</v>
      </c>
      <c r="C417" s="23" t="s">
        <v>10</v>
      </c>
      <c r="D417" s="23" t="s">
        <v>10</v>
      </c>
      <c r="E417" s="23" t="s">
        <v>10</v>
      </c>
      <c r="F417" s="23" t="s">
        <v>11</v>
      </c>
      <c r="G417" s="18" t="s">
        <v>248</v>
      </c>
      <c r="H417" s="125">
        <v>8</v>
      </c>
      <c r="I417" s="37">
        <v>240</v>
      </c>
      <c r="J417" s="136">
        <v>97.5</v>
      </c>
      <c r="K417" s="21" t="s">
        <v>1217</v>
      </c>
      <c r="L417" s="49" t="s">
        <v>447</v>
      </c>
      <c r="M417" s="23" t="s">
        <v>448</v>
      </c>
      <c r="N417" s="174">
        <v>43388</v>
      </c>
      <c r="O417" s="49" t="s">
        <v>447</v>
      </c>
      <c r="P417" s="23" t="s">
        <v>17</v>
      </c>
      <c r="Q417" s="23" t="s">
        <v>17</v>
      </c>
      <c r="R417" s="151" t="s">
        <v>249</v>
      </c>
      <c r="S417" s="39" t="s">
        <v>11</v>
      </c>
      <c r="T417" s="39" t="s">
        <v>11</v>
      </c>
      <c r="U417" s="19">
        <v>6</v>
      </c>
      <c r="V417" s="153"/>
      <c r="W417" s="153"/>
      <c r="X417" s="153">
        <v>250</v>
      </c>
      <c r="Y417" s="153">
        <v>380</v>
      </c>
      <c r="Z417" s="153">
        <v>500</v>
      </c>
      <c r="AA417" s="40">
        <v>0.8</v>
      </c>
      <c r="AB417" s="40">
        <v>1.6</v>
      </c>
      <c r="AC417" s="40">
        <v>2.4</v>
      </c>
      <c r="AD417" s="40">
        <v>4</v>
      </c>
      <c r="AE417" s="40">
        <v>6</v>
      </c>
      <c r="AF417" s="40">
        <v>8</v>
      </c>
      <c r="AG417" s="40">
        <v>95.115332913266315</v>
      </c>
      <c r="AH417" s="40">
        <v>96.175462439271996</v>
      </c>
      <c r="AI417" s="40">
        <v>96.938998105272361</v>
      </c>
      <c r="AJ417" s="40">
        <v>97.369277320040268</v>
      </c>
      <c r="AK417" s="40">
        <v>97.182721638284903</v>
      </c>
      <c r="AL417" s="40">
        <v>96.631909451106281</v>
      </c>
      <c r="AM417" s="40">
        <v>97.0320523891817</v>
      </c>
      <c r="AN417" s="40">
        <v>95.656514167277948</v>
      </c>
      <c r="AO417" s="40">
        <v>97.239896453210392</v>
      </c>
      <c r="AP417" s="40">
        <v>97.421688340363517</v>
      </c>
      <c r="AQ417" s="40">
        <v>97.547855541188852</v>
      </c>
      <c r="AR417" s="40">
        <v>97.702384479805346</v>
      </c>
      <c r="AS417" s="40">
        <v>96.955872352369511</v>
      </c>
      <c r="AT417" s="40">
        <v>97.493965045760234</v>
      </c>
      <c r="AU417" s="40">
        <v>95.375683381401501</v>
      </c>
      <c r="AV417" s="40">
        <v>96.746576974605176</v>
      </c>
      <c r="AW417" s="40">
        <v>97.610663471114009</v>
      </c>
      <c r="AX417" s="40">
        <v>97.817300881360168</v>
      </c>
      <c r="AY417" s="40">
        <v>97.852795609423126</v>
      </c>
      <c r="AZ417" s="40">
        <v>97.705330884128529</v>
      </c>
      <c r="BA417" s="40">
        <v>97.654517202806332</v>
      </c>
      <c r="BB417" s="174">
        <v>43024</v>
      </c>
      <c r="BC417" s="174">
        <v>43388</v>
      </c>
    </row>
    <row r="418" spans="1:55" s="44" customFormat="1" ht="45">
      <c r="A418" s="140" t="s">
        <v>236</v>
      </c>
      <c r="B418" s="18" t="s">
        <v>978</v>
      </c>
      <c r="C418" s="23" t="s">
        <v>10</v>
      </c>
      <c r="D418" s="23" t="s">
        <v>10</v>
      </c>
      <c r="E418" s="23" t="s">
        <v>10</v>
      </c>
      <c r="F418" s="23" t="s">
        <v>11</v>
      </c>
      <c r="G418" s="18" t="s">
        <v>250</v>
      </c>
      <c r="H418" s="125">
        <v>9</v>
      </c>
      <c r="I418" s="37">
        <v>240</v>
      </c>
      <c r="J418" s="136">
        <v>97.5</v>
      </c>
      <c r="K418" s="21" t="s">
        <v>1217</v>
      </c>
      <c r="L418" s="49" t="s">
        <v>447</v>
      </c>
      <c r="M418" s="23" t="s">
        <v>448</v>
      </c>
      <c r="N418" s="174">
        <v>43388</v>
      </c>
      <c r="O418" s="49" t="s">
        <v>447</v>
      </c>
      <c r="P418" s="23" t="s">
        <v>17</v>
      </c>
      <c r="Q418" s="23" t="s">
        <v>17</v>
      </c>
      <c r="R418" s="151" t="s">
        <v>251</v>
      </c>
      <c r="S418" s="39" t="s">
        <v>11</v>
      </c>
      <c r="T418" s="39" t="s">
        <v>11</v>
      </c>
      <c r="U418" s="19">
        <v>7</v>
      </c>
      <c r="V418" s="153"/>
      <c r="W418" s="153"/>
      <c r="X418" s="153">
        <v>250</v>
      </c>
      <c r="Y418" s="153">
        <v>380</v>
      </c>
      <c r="Z418" s="153">
        <v>500</v>
      </c>
      <c r="AA418" s="40">
        <v>0.9</v>
      </c>
      <c r="AB418" s="40">
        <v>1.8</v>
      </c>
      <c r="AC418" s="40">
        <v>2.6999999999999997</v>
      </c>
      <c r="AD418" s="40">
        <v>4.5</v>
      </c>
      <c r="AE418" s="40">
        <v>6.75</v>
      </c>
      <c r="AF418" s="40">
        <v>9</v>
      </c>
      <c r="AG418" s="40">
        <v>95.141976475572321</v>
      </c>
      <c r="AH418" s="40">
        <v>96.753278905181432</v>
      </c>
      <c r="AI418" s="40">
        <v>96.999162712106937</v>
      </c>
      <c r="AJ418" s="40">
        <v>97.486554101075555</v>
      </c>
      <c r="AK418" s="40">
        <v>97.37298741629192</v>
      </c>
      <c r="AL418" s="40">
        <v>96.995723796850655</v>
      </c>
      <c r="AM418" s="40">
        <v>97.212888411437916</v>
      </c>
      <c r="AN418" s="40">
        <v>95.717959215198519</v>
      </c>
      <c r="AO418" s="40">
        <v>97.274406726890376</v>
      </c>
      <c r="AP418" s="40">
        <v>97.447757410264941</v>
      </c>
      <c r="AQ418" s="40">
        <v>97.608752800446155</v>
      </c>
      <c r="AR418" s="40">
        <v>97.75013123951851</v>
      </c>
      <c r="AS418" s="40">
        <v>97.106407965630538</v>
      </c>
      <c r="AT418" s="40">
        <v>97.546897637504287</v>
      </c>
      <c r="AU418" s="40">
        <v>95.577424654150192</v>
      </c>
      <c r="AV418" s="40">
        <v>96.739230404181313</v>
      </c>
      <c r="AW418" s="40">
        <v>97.661059952596048</v>
      </c>
      <c r="AX418" s="40">
        <v>97.821299906822475</v>
      </c>
      <c r="AY418" s="40">
        <v>97.821478007725091</v>
      </c>
      <c r="AZ418" s="40">
        <v>97.707574028943398</v>
      </c>
      <c r="BA418" s="40">
        <v>97.652620726660786</v>
      </c>
      <c r="BB418" s="174">
        <v>43024</v>
      </c>
      <c r="BC418" s="174">
        <v>43388</v>
      </c>
    </row>
    <row r="419" spans="1:55" s="44" customFormat="1" ht="45">
      <c r="A419" s="140" t="s">
        <v>236</v>
      </c>
      <c r="B419" s="18" t="s">
        <v>980</v>
      </c>
      <c r="C419" s="23" t="s">
        <v>10</v>
      </c>
      <c r="D419" s="23" t="s">
        <v>10</v>
      </c>
      <c r="E419" s="23" t="s">
        <v>10</v>
      </c>
      <c r="F419" s="23" t="s">
        <v>11</v>
      </c>
      <c r="G419" s="147" t="s">
        <v>1326</v>
      </c>
      <c r="H419" s="19">
        <v>25</v>
      </c>
      <c r="I419" s="19">
        <v>480</v>
      </c>
      <c r="J419" s="19">
        <v>98</v>
      </c>
      <c r="K419" s="21" t="s">
        <v>1217</v>
      </c>
      <c r="L419" s="49" t="s">
        <v>524</v>
      </c>
      <c r="M419" s="21" t="s">
        <v>525</v>
      </c>
      <c r="N419" s="174">
        <v>43388</v>
      </c>
      <c r="O419" s="49" t="s">
        <v>524</v>
      </c>
      <c r="P419" s="23" t="s">
        <v>17</v>
      </c>
      <c r="Q419" s="23" t="s">
        <v>17</v>
      </c>
      <c r="R419" s="150"/>
      <c r="S419" s="20" t="s">
        <v>11</v>
      </c>
      <c r="T419" s="20" t="s">
        <v>11</v>
      </c>
      <c r="U419" s="19">
        <v>14</v>
      </c>
      <c r="V419" s="19"/>
      <c r="W419" s="19"/>
      <c r="X419" s="19">
        <v>580</v>
      </c>
      <c r="Y419" s="19">
        <v>650</v>
      </c>
      <c r="Z419" s="19">
        <v>780</v>
      </c>
      <c r="AA419" s="40">
        <v>2.5</v>
      </c>
      <c r="AB419" s="40">
        <v>5</v>
      </c>
      <c r="AC419" s="40">
        <v>7.5</v>
      </c>
      <c r="AD419" s="40">
        <v>12.5</v>
      </c>
      <c r="AE419" s="40">
        <v>18.75</v>
      </c>
      <c r="AF419" s="40">
        <v>25</v>
      </c>
      <c r="AG419" s="40">
        <v>97.1</v>
      </c>
      <c r="AH419" s="40">
        <v>97.4</v>
      </c>
      <c r="AI419" s="40">
        <v>97.6</v>
      </c>
      <c r="AJ419" s="40">
        <v>97.9</v>
      </c>
      <c r="AK419" s="40">
        <v>98</v>
      </c>
      <c r="AL419" s="40">
        <v>97.8</v>
      </c>
      <c r="AM419" s="40">
        <v>97.9</v>
      </c>
      <c r="AN419" s="40">
        <v>97.1</v>
      </c>
      <c r="AO419" s="40">
        <v>97.3</v>
      </c>
      <c r="AP419" s="40">
        <v>97.6</v>
      </c>
      <c r="AQ419" s="40">
        <v>97.8</v>
      </c>
      <c r="AR419" s="40">
        <v>98.3</v>
      </c>
      <c r="AS419" s="40">
        <v>97.6</v>
      </c>
      <c r="AT419" s="40">
        <v>98</v>
      </c>
      <c r="AU419" s="40">
        <v>97.2</v>
      </c>
      <c r="AV419" s="40">
        <v>97.4</v>
      </c>
      <c r="AW419" s="40">
        <v>97.7</v>
      </c>
      <c r="AX419" s="40">
        <v>97.8</v>
      </c>
      <c r="AY419" s="40">
        <v>98</v>
      </c>
      <c r="AZ419" s="40">
        <v>97.5</v>
      </c>
      <c r="BA419" s="40">
        <v>97.9</v>
      </c>
      <c r="BB419" s="174">
        <v>43146</v>
      </c>
      <c r="BC419" s="174">
        <v>43784</v>
      </c>
    </row>
    <row r="420" spans="1:55" s="44" customFormat="1" ht="45">
      <c r="A420" s="18" t="s">
        <v>236</v>
      </c>
      <c r="B420" s="18" t="s">
        <v>1369</v>
      </c>
      <c r="C420" s="23" t="s">
        <v>10</v>
      </c>
      <c r="D420" s="23" t="s">
        <v>10</v>
      </c>
      <c r="E420" s="23" t="s">
        <v>10</v>
      </c>
      <c r="F420" s="23" t="s">
        <v>11</v>
      </c>
      <c r="G420" s="18" t="s">
        <v>1336</v>
      </c>
      <c r="H420" s="19">
        <v>25</v>
      </c>
      <c r="I420" s="37">
        <v>480</v>
      </c>
      <c r="J420" s="19">
        <v>98</v>
      </c>
      <c r="K420" s="21" t="s">
        <v>1217</v>
      </c>
      <c r="L420" s="49" t="s">
        <v>1337</v>
      </c>
      <c r="M420" s="38" t="s">
        <v>525</v>
      </c>
      <c r="N420" s="174">
        <v>43525</v>
      </c>
      <c r="O420" s="38" t="s">
        <v>1337</v>
      </c>
      <c r="P420" s="38" t="s">
        <v>17</v>
      </c>
      <c r="Q420" s="38" t="s">
        <v>17</v>
      </c>
      <c r="R420" s="151" t="s">
        <v>1551</v>
      </c>
      <c r="S420" s="39" t="s">
        <v>11</v>
      </c>
      <c r="T420" s="39" t="s">
        <v>11</v>
      </c>
      <c r="U420" s="153">
        <v>14</v>
      </c>
      <c r="V420" s="153"/>
      <c r="W420" s="153"/>
      <c r="X420" s="153">
        <v>580</v>
      </c>
      <c r="Y420" s="153">
        <v>650</v>
      </c>
      <c r="Z420" s="153">
        <v>770</v>
      </c>
      <c r="AA420" s="40">
        <v>2.5</v>
      </c>
      <c r="AB420" s="40">
        <v>5</v>
      </c>
      <c r="AC420" s="40">
        <v>7.5</v>
      </c>
      <c r="AD420" s="40">
        <v>12.5</v>
      </c>
      <c r="AE420" s="40">
        <v>18.75</v>
      </c>
      <c r="AF420" s="40">
        <v>25</v>
      </c>
      <c r="AG420" s="40">
        <v>97.142964722609719</v>
      </c>
      <c r="AH420" s="40">
        <v>97.310266944970607</v>
      </c>
      <c r="AI420" s="40">
        <v>97.558210787909843</v>
      </c>
      <c r="AJ420" s="40">
        <v>97.902019188713425</v>
      </c>
      <c r="AK420" s="40">
        <v>98.186266472133454</v>
      </c>
      <c r="AL420" s="40">
        <v>97.785643565531629</v>
      </c>
      <c r="AM420" s="40">
        <v>97.945644668839236</v>
      </c>
      <c r="AN420" s="40">
        <v>97.136908002620146</v>
      </c>
      <c r="AO420" s="40">
        <v>97.294740203904553</v>
      </c>
      <c r="AP420" s="40">
        <v>97.401291401475831</v>
      </c>
      <c r="AQ420" s="40">
        <v>97.883743867106773</v>
      </c>
      <c r="AR420" s="40">
        <v>98.295370114052176</v>
      </c>
      <c r="AS420" s="40">
        <v>97.750866187372679</v>
      </c>
      <c r="AT420" s="40">
        <v>97.978043980385848</v>
      </c>
      <c r="AU420" s="40">
        <v>97.236056040998633</v>
      </c>
      <c r="AV420" s="40">
        <v>97.395994266218807</v>
      </c>
      <c r="AW420" s="40">
        <v>97.543490263387042</v>
      </c>
      <c r="AX420" s="40">
        <v>97.692214831859445</v>
      </c>
      <c r="AY420" s="40">
        <v>98.001190746739226</v>
      </c>
      <c r="AZ420" s="40">
        <v>97.48550403188284</v>
      </c>
      <c r="BA420" s="40">
        <v>97.794732198613758</v>
      </c>
      <c r="BB420" s="178">
        <v>43525</v>
      </c>
      <c r="BC420" s="178">
        <v>43586</v>
      </c>
    </row>
    <row r="421" spans="1:55" s="44" customFormat="1" ht="45">
      <c r="A421" s="140" t="s">
        <v>236</v>
      </c>
      <c r="B421" s="18" t="s">
        <v>981</v>
      </c>
      <c r="C421" s="23" t="s">
        <v>10</v>
      </c>
      <c r="D421" s="23" t="s">
        <v>10</v>
      </c>
      <c r="E421" s="23" t="s">
        <v>10</v>
      </c>
      <c r="F421" s="23" t="s">
        <v>11</v>
      </c>
      <c r="G421" s="147" t="s">
        <v>300</v>
      </c>
      <c r="H421" s="19">
        <v>30</v>
      </c>
      <c r="I421" s="19">
        <v>480</v>
      </c>
      <c r="J421" s="19">
        <v>98</v>
      </c>
      <c r="K421" s="21" t="s">
        <v>1217</v>
      </c>
      <c r="L421" s="49" t="s">
        <v>524</v>
      </c>
      <c r="M421" s="21" t="s">
        <v>525</v>
      </c>
      <c r="N421" s="174">
        <v>43388</v>
      </c>
      <c r="O421" s="49" t="s">
        <v>524</v>
      </c>
      <c r="P421" s="23" t="s">
        <v>17</v>
      </c>
      <c r="Q421" s="23" t="s">
        <v>17</v>
      </c>
      <c r="R421" s="150"/>
      <c r="S421" s="20" t="s">
        <v>11</v>
      </c>
      <c r="T421" s="20" t="s">
        <v>11</v>
      </c>
      <c r="U421" s="19">
        <v>15</v>
      </c>
      <c r="V421" s="19"/>
      <c r="W421" s="19"/>
      <c r="X421" s="19">
        <v>580</v>
      </c>
      <c r="Y421" s="19">
        <v>650</v>
      </c>
      <c r="Z421" s="19">
        <v>780</v>
      </c>
      <c r="AA421" s="40">
        <v>3</v>
      </c>
      <c r="AB421" s="40">
        <v>6</v>
      </c>
      <c r="AC421" s="40">
        <v>9</v>
      </c>
      <c r="AD421" s="40">
        <v>15</v>
      </c>
      <c r="AE421" s="40">
        <v>22.5</v>
      </c>
      <c r="AF421" s="40">
        <v>30</v>
      </c>
      <c r="AG421" s="40">
        <v>97.1</v>
      </c>
      <c r="AH421" s="40">
        <v>97.9</v>
      </c>
      <c r="AI421" s="40">
        <v>97.9</v>
      </c>
      <c r="AJ421" s="40">
        <v>98.3</v>
      </c>
      <c r="AK421" s="40">
        <v>97.5</v>
      </c>
      <c r="AL421" s="40">
        <v>97.9</v>
      </c>
      <c r="AM421" s="40">
        <v>97.8</v>
      </c>
      <c r="AN421" s="40">
        <v>97.4</v>
      </c>
      <c r="AO421" s="40">
        <v>98.1</v>
      </c>
      <c r="AP421" s="40">
        <v>98.1</v>
      </c>
      <c r="AQ421" s="40">
        <v>98.4</v>
      </c>
      <c r="AR421" s="40">
        <v>98.1</v>
      </c>
      <c r="AS421" s="40">
        <v>97.9</v>
      </c>
      <c r="AT421" s="40">
        <v>98.1</v>
      </c>
      <c r="AU421" s="40">
        <v>97.1</v>
      </c>
      <c r="AV421" s="40">
        <v>97.9</v>
      </c>
      <c r="AW421" s="40">
        <v>98</v>
      </c>
      <c r="AX421" s="40">
        <v>98.3</v>
      </c>
      <c r="AY421" s="40">
        <v>98</v>
      </c>
      <c r="AZ421" s="40">
        <v>97.8</v>
      </c>
      <c r="BA421" s="40">
        <v>98</v>
      </c>
      <c r="BB421" s="174">
        <v>43146</v>
      </c>
      <c r="BC421" s="174">
        <v>43784</v>
      </c>
    </row>
    <row r="422" spans="1:55" s="44" customFormat="1" ht="45">
      <c r="A422" s="18" t="s">
        <v>236</v>
      </c>
      <c r="B422" s="18" t="s">
        <v>1370</v>
      </c>
      <c r="C422" s="23" t="s">
        <v>10</v>
      </c>
      <c r="D422" s="23" t="s">
        <v>10</v>
      </c>
      <c r="E422" s="23" t="s">
        <v>10</v>
      </c>
      <c r="F422" s="23" t="s">
        <v>11</v>
      </c>
      <c r="G422" s="18" t="s">
        <v>1338</v>
      </c>
      <c r="H422" s="19">
        <v>30</v>
      </c>
      <c r="I422" s="37">
        <v>480</v>
      </c>
      <c r="J422" s="19">
        <v>98</v>
      </c>
      <c r="K422" s="21" t="s">
        <v>1217</v>
      </c>
      <c r="L422" s="49" t="s">
        <v>1337</v>
      </c>
      <c r="M422" s="38" t="s">
        <v>525</v>
      </c>
      <c r="N422" s="174">
        <v>43526</v>
      </c>
      <c r="O422" s="38" t="s">
        <v>1337</v>
      </c>
      <c r="P422" s="38" t="s">
        <v>17</v>
      </c>
      <c r="Q422" s="38" t="s">
        <v>17</v>
      </c>
      <c r="R422" s="151" t="s">
        <v>1552</v>
      </c>
      <c r="S422" s="39" t="s">
        <v>11</v>
      </c>
      <c r="T422" s="39" t="s">
        <v>11</v>
      </c>
      <c r="U422" s="153">
        <v>15</v>
      </c>
      <c r="V422" s="153"/>
      <c r="W422" s="153"/>
      <c r="X422" s="153">
        <v>580</v>
      </c>
      <c r="Y422" s="153">
        <v>650</v>
      </c>
      <c r="Z422" s="153">
        <v>780</v>
      </c>
      <c r="AA422" s="40">
        <v>3</v>
      </c>
      <c r="AB422" s="40">
        <v>6</v>
      </c>
      <c r="AC422" s="40">
        <v>9</v>
      </c>
      <c r="AD422" s="40">
        <v>15</v>
      </c>
      <c r="AE422" s="40">
        <v>22.5</v>
      </c>
      <c r="AF422" s="40">
        <v>30</v>
      </c>
      <c r="AG422" s="40">
        <v>97.136729034962897</v>
      </c>
      <c r="AH422" s="40">
        <v>97.91235168892814</v>
      </c>
      <c r="AI422" s="40">
        <v>97.904963869081769</v>
      </c>
      <c r="AJ422" s="40">
        <v>98.308894833573305</v>
      </c>
      <c r="AK422" s="40">
        <v>97.870536038966534</v>
      </c>
      <c r="AL422" s="40">
        <v>97.917405124902231</v>
      </c>
      <c r="AM422" s="40">
        <v>97.94180468208252</v>
      </c>
      <c r="AN422" s="40">
        <v>97.378314041689322</v>
      </c>
      <c r="AO422" s="40">
        <v>98.038837889530924</v>
      </c>
      <c r="AP422" s="40">
        <v>98.035886776299634</v>
      </c>
      <c r="AQ422" s="40">
        <v>98.347723576110241</v>
      </c>
      <c r="AR422" s="40">
        <v>98.11389303563567</v>
      </c>
      <c r="AS422" s="40">
        <v>97.915010820497599</v>
      </c>
      <c r="AT422" s="40">
        <v>98.110516670195011</v>
      </c>
      <c r="AU422" s="40">
        <v>97.119954609958342</v>
      </c>
      <c r="AV422" s="40">
        <v>97.865597999954872</v>
      </c>
      <c r="AW422" s="40">
        <v>97.961685543933498</v>
      </c>
      <c r="AX422" s="40">
        <v>98.238894650235139</v>
      </c>
      <c r="AY422" s="40">
        <v>97.96866928700517</v>
      </c>
      <c r="AZ422" s="40">
        <v>97.810325302197526</v>
      </c>
      <c r="BA422" s="40">
        <v>97.977559213440088</v>
      </c>
      <c r="BB422" s="178">
        <v>43525</v>
      </c>
      <c r="BC422" s="178">
        <v>43586</v>
      </c>
    </row>
    <row r="423" spans="1:55" s="44" customFormat="1" ht="45">
      <c r="A423" s="140" t="s">
        <v>236</v>
      </c>
      <c r="B423" s="18" t="s">
        <v>982</v>
      </c>
      <c r="C423" s="23" t="s">
        <v>10</v>
      </c>
      <c r="D423" s="23" t="s">
        <v>10</v>
      </c>
      <c r="E423" s="23" t="s">
        <v>10</v>
      </c>
      <c r="F423" s="23" t="s">
        <v>11</v>
      </c>
      <c r="G423" s="147" t="s">
        <v>1327</v>
      </c>
      <c r="H423" s="19">
        <v>36</v>
      </c>
      <c r="I423" s="19">
        <v>480</v>
      </c>
      <c r="J423" s="19">
        <v>98</v>
      </c>
      <c r="K423" s="21" t="s">
        <v>1217</v>
      </c>
      <c r="L423" s="49" t="s">
        <v>524</v>
      </c>
      <c r="M423" s="21" t="s">
        <v>525</v>
      </c>
      <c r="N423" s="174">
        <v>43388</v>
      </c>
      <c r="O423" s="49" t="s">
        <v>524</v>
      </c>
      <c r="P423" s="23" t="s">
        <v>17</v>
      </c>
      <c r="Q423" s="23" t="s">
        <v>17</v>
      </c>
      <c r="R423" s="150"/>
      <c r="S423" s="20" t="s">
        <v>11</v>
      </c>
      <c r="T423" s="20" t="s">
        <v>11</v>
      </c>
      <c r="U423" s="19">
        <v>15</v>
      </c>
      <c r="V423" s="19"/>
      <c r="W423" s="19"/>
      <c r="X423" s="19">
        <v>580</v>
      </c>
      <c r="Y423" s="19">
        <v>650</v>
      </c>
      <c r="Z423" s="19">
        <v>780</v>
      </c>
      <c r="AA423" s="40">
        <v>3.6</v>
      </c>
      <c r="AB423" s="40">
        <v>7.2</v>
      </c>
      <c r="AC423" s="40">
        <v>10.8</v>
      </c>
      <c r="AD423" s="40">
        <v>18</v>
      </c>
      <c r="AE423" s="40">
        <v>27</v>
      </c>
      <c r="AF423" s="40">
        <v>36</v>
      </c>
      <c r="AG423" s="40">
        <v>97.3</v>
      </c>
      <c r="AH423" s="40">
        <v>98.2</v>
      </c>
      <c r="AI423" s="40">
        <v>98.1</v>
      </c>
      <c r="AJ423" s="40">
        <v>98.4</v>
      </c>
      <c r="AK423" s="40">
        <v>97.6</v>
      </c>
      <c r="AL423" s="40">
        <v>98.1</v>
      </c>
      <c r="AM423" s="40">
        <v>97.9</v>
      </c>
      <c r="AN423" s="40">
        <v>97.7</v>
      </c>
      <c r="AO423" s="40">
        <v>98.3</v>
      </c>
      <c r="AP423" s="40">
        <v>98.3</v>
      </c>
      <c r="AQ423" s="40">
        <v>98.4</v>
      </c>
      <c r="AR423" s="40">
        <v>98.3</v>
      </c>
      <c r="AS423" s="40">
        <v>98.1</v>
      </c>
      <c r="AT423" s="40">
        <v>98.3</v>
      </c>
      <c r="AU423" s="40">
        <v>97.4</v>
      </c>
      <c r="AV423" s="40">
        <v>98.1</v>
      </c>
      <c r="AW423" s="40">
        <v>98.2</v>
      </c>
      <c r="AX423" s="40">
        <v>98.3</v>
      </c>
      <c r="AY423" s="40">
        <v>98.2</v>
      </c>
      <c r="AZ423" s="40">
        <v>98.1</v>
      </c>
      <c r="BA423" s="40">
        <v>98.2</v>
      </c>
      <c r="BB423" s="174">
        <v>43146</v>
      </c>
      <c r="BC423" s="174">
        <v>43784</v>
      </c>
    </row>
    <row r="424" spans="1:55" s="44" customFormat="1" ht="45">
      <c r="A424" s="18" t="s">
        <v>236</v>
      </c>
      <c r="B424" s="18" t="s">
        <v>1371</v>
      </c>
      <c r="C424" s="23" t="s">
        <v>10</v>
      </c>
      <c r="D424" s="23" t="s">
        <v>10</v>
      </c>
      <c r="E424" s="23" t="s">
        <v>10</v>
      </c>
      <c r="F424" s="23" t="s">
        <v>11</v>
      </c>
      <c r="G424" s="18" t="s">
        <v>1341</v>
      </c>
      <c r="H424" s="19">
        <v>36</v>
      </c>
      <c r="I424" s="37">
        <v>480</v>
      </c>
      <c r="J424" s="19">
        <v>98</v>
      </c>
      <c r="K424" s="21" t="s">
        <v>1217</v>
      </c>
      <c r="L424" s="49" t="s">
        <v>1337</v>
      </c>
      <c r="M424" s="38" t="s">
        <v>525</v>
      </c>
      <c r="N424" s="174">
        <v>43525</v>
      </c>
      <c r="O424" s="38" t="s">
        <v>1337</v>
      </c>
      <c r="P424" s="38" t="s">
        <v>17</v>
      </c>
      <c r="Q424" s="38" t="s">
        <v>17</v>
      </c>
      <c r="R424" s="151"/>
      <c r="S424" s="39" t="s">
        <v>11</v>
      </c>
      <c r="T424" s="39" t="s">
        <v>11</v>
      </c>
      <c r="U424" s="153">
        <v>15</v>
      </c>
      <c r="V424" s="153"/>
      <c r="W424" s="153"/>
      <c r="X424" s="153">
        <v>580</v>
      </c>
      <c r="Y424" s="153">
        <v>650</v>
      </c>
      <c r="Z424" s="153">
        <v>780</v>
      </c>
      <c r="AA424" s="40">
        <v>3.6</v>
      </c>
      <c r="AB424" s="40">
        <v>7.2</v>
      </c>
      <c r="AC424" s="40">
        <v>10.799999999999999</v>
      </c>
      <c r="AD424" s="40">
        <v>18</v>
      </c>
      <c r="AE424" s="40">
        <v>27</v>
      </c>
      <c r="AF424" s="40">
        <v>36</v>
      </c>
      <c r="AG424" s="40">
        <v>97.352610179015386</v>
      </c>
      <c r="AH424" s="40">
        <v>98.152707488253839</v>
      </c>
      <c r="AI424" s="40">
        <v>98.120660490393703</v>
      </c>
      <c r="AJ424" s="40">
        <v>98.34565406369245</v>
      </c>
      <c r="AK424" s="40">
        <v>98.025094302751029</v>
      </c>
      <c r="AL424" s="40">
        <v>98.157804634629812</v>
      </c>
      <c r="AM424" s="40">
        <v>98.08999660598549</v>
      </c>
      <c r="AN424" s="40">
        <v>97.637315799515903</v>
      </c>
      <c r="AO424" s="40">
        <v>98.323917384796545</v>
      </c>
      <c r="AP424" s="40">
        <v>98.259065626094156</v>
      </c>
      <c r="AQ424" s="40">
        <v>98.423751785147246</v>
      </c>
      <c r="AR424" s="40">
        <v>98.357299529090184</v>
      </c>
      <c r="AS424" s="40">
        <v>98.144570884666294</v>
      </c>
      <c r="AT424" s="40">
        <v>98.318361545883803</v>
      </c>
      <c r="AU424" s="40">
        <v>97.374218812243754</v>
      </c>
      <c r="AV424" s="40">
        <v>98.154013131424975</v>
      </c>
      <c r="AW424" s="40">
        <v>98.208865571837634</v>
      </c>
      <c r="AX424" s="40">
        <v>98.375693057759193</v>
      </c>
      <c r="AY424" s="40">
        <v>98.170440747004449</v>
      </c>
      <c r="AZ424" s="40">
        <v>98.083298315932467</v>
      </c>
      <c r="BA424" s="40">
        <v>98.181127331519932</v>
      </c>
      <c r="BB424" s="178">
        <v>43525</v>
      </c>
      <c r="BC424" s="178"/>
    </row>
    <row r="425" spans="1:55" s="44" customFormat="1" ht="45">
      <c r="A425" s="18" t="s">
        <v>236</v>
      </c>
      <c r="B425" s="18" t="s">
        <v>1372</v>
      </c>
      <c r="C425" s="23" t="s">
        <v>10</v>
      </c>
      <c r="D425" s="23" t="s">
        <v>10</v>
      </c>
      <c r="E425" s="23" t="s">
        <v>10</v>
      </c>
      <c r="F425" s="23" t="s">
        <v>11</v>
      </c>
      <c r="G425" s="18" t="s">
        <v>1339</v>
      </c>
      <c r="H425" s="19">
        <v>36</v>
      </c>
      <c r="I425" s="37">
        <v>480</v>
      </c>
      <c r="J425" s="19">
        <v>98</v>
      </c>
      <c r="K425" s="21" t="s">
        <v>1217</v>
      </c>
      <c r="L425" s="49" t="s">
        <v>1337</v>
      </c>
      <c r="M425" s="38" t="s">
        <v>525</v>
      </c>
      <c r="N425" s="174">
        <v>43525</v>
      </c>
      <c r="O425" s="38" t="s">
        <v>1337</v>
      </c>
      <c r="P425" s="38" t="s">
        <v>17</v>
      </c>
      <c r="Q425" s="38" t="s">
        <v>17</v>
      </c>
      <c r="R425" s="151" t="s">
        <v>1553</v>
      </c>
      <c r="S425" s="39" t="s">
        <v>11</v>
      </c>
      <c r="T425" s="39" t="s">
        <v>11</v>
      </c>
      <c r="U425" s="153">
        <v>15</v>
      </c>
      <c r="V425" s="153"/>
      <c r="W425" s="153"/>
      <c r="X425" s="153">
        <v>580</v>
      </c>
      <c r="Y425" s="153">
        <v>650</v>
      </c>
      <c r="Z425" s="153">
        <v>780</v>
      </c>
      <c r="AA425" s="40">
        <v>3.6</v>
      </c>
      <c r="AB425" s="40">
        <v>7.2</v>
      </c>
      <c r="AC425" s="40">
        <v>10.799999999999999</v>
      </c>
      <c r="AD425" s="40">
        <v>18</v>
      </c>
      <c r="AE425" s="40">
        <v>27</v>
      </c>
      <c r="AF425" s="40">
        <v>36</v>
      </c>
      <c r="AG425" s="40">
        <v>97.355578045132162</v>
      </c>
      <c r="AH425" s="40">
        <v>98.146917292221246</v>
      </c>
      <c r="AI425" s="40">
        <v>98.113242472029853</v>
      </c>
      <c r="AJ425" s="40">
        <v>98.345701137831327</v>
      </c>
      <c r="AK425" s="40">
        <v>98.021452704297786</v>
      </c>
      <c r="AL425" s="40">
        <v>98.148305437610048</v>
      </c>
      <c r="AM425" s="40">
        <v>98.086540527162839</v>
      </c>
      <c r="AN425" s="40">
        <v>97.654488278356141</v>
      </c>
      <c r="AO425" s="40">
        <v>98.316398063259214</v>
      </c>
      <c r="AP425" s="40">
        <v>98.259121423086086</v>
      </c>
      <c r="AQ425" s="40">
        <v>98.438016064841605</v>
      </c>
      <c r="AR425" s="40">
        <v>98.34302453004014</v>
      </c>
      <c r="AS425" s="40">
        <v>98.1379196196186</v>
      </c>
      <c r="AT425" s="40">
        <v>98.313776360586488</v>
      </c>
      <c r="AU425" s="40">
        <v>97.362390657069383</v>
      </c>
      <c r="AV425" s="40">
        <v>98.153961833334407</v>
      </c>
      <c r="AW425" s="40">
        <v>98.213796105992046</v>
      </c>
      <c r="AX425" s="40">
        <v>98.374901951968553</v>
      </c>
      <c r="AY425" s="40">
        <v>98.171535410091963</v>
      </c>
      <c r="AZ425" s="40">
        <v>98.075769292291866</v>
      </c>
      <c r="BA425" s="40">
        <v>98.18128089254526</v>
      </c>
      <c r="BB425" s="178">
        <v>43525</v>
      </c>
      <c r="BC425" s="178">
        <v>43586</v>
      </c>
    </row>
    <row r="426" spans="1:55" s="44" customFormat="1" ht="45">
      <c r="A426" s="140" t="s">
        <v>236</v>
      </c>
      <c r="B426" s="18" t="s">
        <v>983</v>
      </c>
      <c r="C426" s="23" t="s">
        <v>10</v>
      </c>
      <c r="D426" s="23" t="s">
        <v>10</v>
      </c>
      <c r="E426" s="23" t="s">
        <v>10</v>
      </c>
      <c r="F426" s="23" t="s">
        <v>11</v>
      </c>
      <c r="G426" s="147" t="s">
        <v>1328</v>
      </c>
      <c r="H426" s="19">
        <v>40</v>
      </c>
      <c r="I426" s="19">
        <v>480</v>
      </c>
      <c r="J426" s="19">
        <v>98.5</v>
      </c>
      <c r="K426" s="21" t="s">
        <v>1217</v>
      </c>
      <c r="L426" s="49" t="s">
        <v>524</v>
      </c>
      <c r="M426" s="21" t="s">
        <v>525</v>
      </c>
      <c r="N426" s="174">
        <v>43388</v>
      </c>
      <c r="O426" s="49" t="s">
        <v>524</v>
      </c>
      <c r="P426" s="23" t="s">
        <v>17</v>
      </c>
      <c r="Q426" s="23" t="s">
        <v>17</v>
      </c>
      <c r="R426" s="150"/>
      <c r="S426" s="20" t="s">
        <v>11</v>
      </c>
      <c r="T426" s="20" t="s">
        <v>11</v>
      </c>
      <c r="U426" s="19">
        <v>1</v>
      </c>
      <c r="V426" s="19"/>
      <c r="W426" s="19"/>
      <c r="X426" s="19">
        <v>580</v>
      </c>
      <c r="Y426" s="19">
        <v>650</v>
      </c>
      <c r="Z426" s="19">
        <v>780</v>
      </c>
      <c r="AA426" s="40">
        <v>4</v>
      </c>
      <c r="AB426" s="40">
        <v>8</v>
      </c>
      <c r="AC426" s="40">
        <v>12</v>
      </c>
      <c r="AD426" s="40">
        <v>20</v>
      </c>
      <c r="AE426" s="40">
        <v>30</v>
      </c>
      <c r="AF426" s="40">
        <v>40</v>
      </c>
      <c r="AG426" s="40">
        <v>97.5</v>
      </c>
      <c r="AH426" s="40">
        <v>98</v>
      </c>
      <c r="AI426" s="40">
        <v>98.1</v>
      </c>
      <c r="AJ426" s="40">
        <v>98.2</v>
      </c>
      <c r="AK426" s="40">
        <v>98.1</v>
      </c>
      <c r="AL426" s="40">
        <v>98</v>
      </c>
      <c r="AM426" s="40">
        <v>98.1</v>
      </c>
      <c r="AN426" s="40">
        <v>97.9</v>
      </c>
      <c r="AO426" s="40">
        <v>98.3</v>
      </c>
      <c r="AP426" s="40">
        <v>98.4</v>
      </c>
      <c r="AQ426" s="40">
        <v>98.7</v>
      </c>
      <c r="AR426" s="40">
        <v>98.6</v>
      </c>
      <c r="AS426" s="40">
        <v>98.3</v>
      </c>
      <c r="AT426" s="40">
        <v>98.5</v>
      </c>
      <c r="AU426" s="40">
        <v>97.6</v>
      </c>
      <c r="AV426" s="40">
        <v>98.2</v>
      </c>
      <c r="AW426" s="40">
        <v>98.2</v>
      </c>
      <c r="AX426" s="40">
        <v>98.4</v>
      </c>
      <c r="AY426" s="40">
        <v>98.3</v>
      </c>
      <c r="AZ426" s="40">
        <v>98.2</v>
      </c>
      <c r="BA426" s="40">
        <v>98.3</v>
      </c>
      <c r="BB426" s="174">
        <v>43146</v>
      </c>
      <c r="BC426" s="174">
        <v>43784</v>
      </c>
    </row>
    <row r="427" spans="1:55" s="44" customFormat="1" ht="45">
      <c r="A427" s="140" t="s">
        <v>236</v>
      </c>
      <c r="B427" s="18" t="s">
        <v>379</v>
      </c>
      <c r="C427" s="23" t="s">
        <v>10</v>
      </c>
      <c r="D427" s="23" t="s">
        <v>10</v>
      </c>
      <c r="E427" s="23" t="s">
        <v>10</v>
      </c>
      <c r="F427" s="23" t="s">
        <v>11</v>
      </c>
      <c r="G427" s="147" t="s">
        <v>1329</v>
      </c>
      <c r="H427" s="19">
        <v>40</v>
      </c>
      <c r="I427" s="19">
        <v>480</v>
      </c>
      <c r="J427" s="19">
        <v>98.5</v>
      </c>
      <c r="K427" s="21" t="s">
        <v>1217</v>
      </c>
      <c r="L427" s="49" t="s">
        <v>524</v>
      </c>
      <c r="M427" s="21" t="s">
        <v>525</v>
      </c>
      <c r="N427" s="174">
        <v>43388</v>
      </c>
      <c r="O427" s="49" t="s">
        <v>524</v>
      </c>
      <c r="P427" s="23" t="s">
        <v>17</v>
      </c>
      <c r="Q427" s="23" t="s">
        <v>17</v>
      </c>
      <c r="R427" s="150"/>
      <c r="S427" s="20" t="s">
        <v>11</v>
      </c>
      <c r="T427" s="20" t="s">
        <v>11</v>
      </c>
      <c r="U427" s="19">
        <v>1</v>
      </c>
      <c r="V427" s="19"/>
      <c r="W427" s="19"/>
      <c r="X427" s="19">
        <v>580</v>
      </c>
      <c r="Y427" s="19">
        <v>650</v>
      </c>
      <c r="Z427" s="19">
        <v>780</v>
      </c>
      <c r="AA427" s="40">
        <v>4</v>
      </c>
      <c r="AB427" s="40">
        <v>8</v>
      </c>
      <c r="AC427" s="40">
        <v>12</v>
      </c>
      <c r="AD427" s="40">
        <v>20</v>
      </c>
      <c r="AE427" s="40">
        <v>30</v>
      </c>
      <c r="AF427" s="40">
        <v>40</v>
      </c>
      <c r="AG427" s="40">
        <v>97.5</v>
      </c>
      <c r="AH427" s="40">
        <v>98</v>
      </c>
      <c r="AI427" s="40">
        <v>98.1</v>
      </c>
      <c r="AJ427" s="40">
        <v>98.2</v>
      </c>
      <c r="AK427" s="40">
        <v>98.1</v>
      </c>
      <c r="AL427" s="40">
        <v>97.7</v>
      </c>
      <c r="AM427" s="40">
        <v>98.1</v>
      </c>
      <c r="AN427" s="40">
        <v>97.8</v>
      </c>
      <c r="AO427" s="40">
        <v>98.3</v>
      </c>
      <c r="AP427" s="40">
        <v>98.4</v>
      </c>
      <c r="AQ427" s="40">
        <v>98.6</v>
      </c>
      <c r="AR427" s="40">
        <v>98.5</v>
      </c>
      <c r="AS427" s="40">
        <v>98.3</v>
      </c>
      <c r="AT427" s="40">
        <v>98.5</v>
      </c>
      <c r="AU427" s="40">
        <v>97.6</v>
      </c>
      <c r="AV427" s="40">
        <v>98.1</v>
      </c>
      <c r="AW427" s="40">
        <v>98.2</v>
      </c>
      <c r="AX427" s="40">
        <v>98.4</v>
      </c>
      <c r="AY427" s="40">
        <v>98.3</v>
      </c>
      <c r="AZ427" s="40">
        <v>98</v>
      </c>
      <c r="BA427" s="40">
        <v>98.3</v>
      </c>
      <c r="BB427" s="174">
        <v>43146</v>
      </c>
      <c r="BC427" s="174">
        <v>43784</v>
      </c>
    </row>
    <row r="428" spans="1:55" s="44" customFormat="1" ht="45">
      <c r="A428" s="18" t="s">
        <v>236</v>
      </c>
      <c r="B428" s="18" t="s">
        <v>1373</v>
      </c>
      <c r="C428" s="23" t="s">
        <v>10</v>
      </c>
      <c r="D428" s="23" t="s">
        <v>10</v>
      </c>
      <c r="E428" s="23" t="s">
        <v>10</v>
      </c>
      <c r="F428" s="23" t="s">
        <v>11</v>
      </c>
      <c r="G428" s="18" t="s">
        <v>1342</v>
      </c>
      <c r="H428" s="19">
        <v>40</v>
      </c>
      <c r="I428" s="37">
        <v>480</v>
      </c>
      <c r="J428" s="19">
        <v>98.5</v>
      </c>
      <c r="K428" s="21" t="s">
        <v>1217</v>
      </c>
      <c r="L428" s="49" t="s">
        <v>1337</v>
      </c>
      <c r="M428" s="38" t="s">
        <v>525</v>
      </c>
      <c r="N428" s="174">
        <v>43526</v>
      </c>
      <c r="O428" s="38" t="s">
        <v>1337</v>
      </c>
      <c r="P428" s="38" t="s">
        <v>17</v>
      </c>
      <c r="Q428" s="38" t="s">
        <v>17</v>
      </c>
      <c r="R428" s="151" t="s">
        <v>1605</v>
      </c>
      <c r="S428" s="39" t="s">
        <v>11</v>
      </c>
      <c r="T428" s="39" t="s">
        <v>11</v>
      </c>
      <c r="U428" s="153">
        <v>1</v>
      </c>
      <c r="V428" s="153"/>
      <c r="W428" s="153"/>
      <c r="X428" s="153">
        <v>580</v>
      </c>
      <c r="Y428" s="153">
        <v>650</v>
      </c>
      <c r="Z428" s="153">
        <v>780</v>
      </c>
      <c r="AA428" s="40">
        <v>4</v>
      </c>
      <c r="AB428" s="40">
        <v>8</v>
      </c>
      <c r="AC428" s="40">
        <v>12</v>
      </c>
      <c r="AD428" s="40">
        <v>20</v>
      </c>
      <c r="AE428" s="40">
        <v>30</v>
      </c>
      <c r="AF428" s="40">
        <v>40</v>
      </c>
      <c r="AG428" s="40">
        <v>97.470025307598263</v>
      </c>
      <c r="AH428" s="40">
        <v>98.006823686121322</v>
      </c>
      <c r="AI428" s="40">
        <v>98.057428071819388</v>
      </c>
      <c r="AJ428" s="40">
        <v>98.197211562051521</v>
      </c>
      <c r="AK428" s="40">
        <v>98.113980664562945</v>
      </c>
      <c r="AL428" s="40">
        <v>98.029180485035397</v>
      </c>
      <c r="AM428" s="40">
        <v>98.089316769729265</v>
      </c>
      <c r="AN428" s="40">
        <v>97.925867299237069</v>
      </c>
      <c r="AO428" s="40">
        <v>98.308888937177215</v>
      </c>
      <c r="AP428" s="40">
        <v>98.392001764941469</v>
      </c>
      <c r="AQ428" s="40">
        <v>98.714528238058236</v>
      </c>
      <c r="AR428" s="40">
        <v>98.572481627994733</v>
      </c>
      <c r="AS428" s="40">
        <v>98.34230976222382</v>
      </c>
      <c r="AT428" s="40">
        <v>98.530101031561941</v>
      </c>
      <c r="AU428" s="40">
        <v>97.582250848768538</v>
      </c>
      <c r="AV428" s="40">
        <v>98.156490052565275</v>
      </c>
      <c r="AW428" s="40">
        <v>98.193182081593463</v>
      </c>
      <c r="AX428" s="40">
        <v>98.435303308923267</v>
      </c>
      <c r="AY428" s="40">
        <v>98.348895960607109</v>
      </c>
      <c r="AZ428" s="40">
        <v>98.244441064517957</v>
      </c>
      <c r="BA428" s="40">
        <v>98.302846993591785</v>
      </c>
      <c r="BB428" s="178">
        <v>43525</v>
      </c>
      <c r="BC428" s="178">
        <v>43600</v>
      </c>
    </row>
    <row r="429" spans="1:55" s="44" customFormat="1" ht="45">
      <c r="A429" s="18" t="s">
        <v>236</v>
      </c>
      <c r="B429" s="18" t="s">
        <v>1374</v>
      </c>
      <c r="C429" s="23" t="s">
        <v>10</v>
      </c>
      <c r="D429" s="23" t="s">
        <v>10</v>
      </c>
      <c r="E429" s="23" t="s">
        <v>10</v>
      </c>
      <c r="F429" s="23" t="s">
        <v>11</v>
      </c>
      <c r="G429" s="18" t="s">
        <v>1340</v>
      </c>
      <c r="H429" s="19">
        <v>40</v>
      </c>
      <c r="I429" s="37">
        <v>480</v>
      </c>
      <c r="J429" s="19">
        <v>98.5</v>
      </c>
      <c r="K429" s="21" t="s">
        <v>1217</v>
      </c>
      <c r="L429" s="49" t="s">
        <v>1337</v>
      </c>
      <c r="M429" s="38" t="s">
        <v>525</v>
      </c>
      <c r="N429" s="174">
        <v>43526</v>
      </c>
      <c r="O429" s="38" t="s">
        <v>1337</v>
      </c>
      <c r="P429" s="38" t="s">
        <v>17</v>
      </c>
      <c r="Q429" s="38" t="s">
        <v>17</v>
      </c>
      <c r="R429" s="151" t="s">
        <v>1554</v>
      </c>
      <c r="S429" s="39" t="s">
        <v>11</v>
      </c>
      <c r="T429" s="39" t="s">
        <v>11</v>
      </c>
      <c r="U429" s="153">
        <v>1</v>
      </c>
      <c r="V429" s="153"/>
      <c r="W429" s="153"/>
      <c r="X429" s="153">
        <v>580</v>
      </c>
      <c r="Y429" s="153">
        <v>650</v>
      </c>
      <c r="Z429" s="153">
        <v>780</v>
      </c>
      <c r="AA429" s="40">
        <v>4</v>
      </c>
      <c r="AB429" s="40">
        <v>8</v>
      </c>
      <c r="AC429" s="40">
        <v>12</v>
      </c>
      <c r="AD429" s="40">
        <v>20</v>
      </c>
      <c r="AE429" s="40">
        <v>30</v>
      </c>
      <c r="AF429" s="40">
        <v>40</v>
      </c>
      <c r="AG429" s="40">
        <v>97.47774059338056</v>
      </c>
      <c r="AH429" s="40">
        <v>98.003904274929724</v>
      </c>
      <c r="AI429" s="40">
        <v>98.056390714442401</v>
      </c>
      <c r="AJ429" s="40">
        <v>98.19522213581763</v>
      </c>
      <c r="AK429" s="40">
        <v>98.12583970822547</v>
      </c>
      <c r="AL429" s="40">
        <v>98.027356845132402</v>
      </c>
      <c r="AM429" s="40">
        <v>98.095131259352613</v>
      </c>
      <c r="AN429" s="40">
        <v>97.924650523872657</v>
      </c>
      <c r="AO429" s="40">
        <v>98.310478358411089</v>
      </c>
      <c r="AP429" s="40">
        <v>98.400182583606565</v>
      </c>
      <c r="AQ429" s="40">
        <v>98.72105900754346</v>
      </c>
      <c r="AR429" s="40">
        <v>98.578524443130533</v>
      </c>
      <c r="AS429" s="40">
        <v>98.342023806171653</v>
      </c>
      <c r="AT429" s="40">
        <v>98.535673385660147</v>
      </c>
      <c r="AU429" s="40">
        <v>97.576353190610263</v>
      </c>
      <c r="AV429" s="40">
        <v>98.150441636686395</v>
      </c>
      <c r="AW429" s="40">
        <v>98.179486696378575</v>
      </c>
      <c r="AX429" s="40">
        <v>98.433666102320259</v>
      </c>
      <c r="AY429" s="40">
        <v>98.342812395871789</v>
      </c>
      <c r="AZ429" s="40">
        <v>98.244022499188716</v>
      </c>
      <c r="BA429" s="40">
        <v>98.297076189282905</v>
      </c>
      <c r="BB429" s="178">
        <v>43525</v>
      </c>
      <c r="BC429" s="178">
        <v>43586</v>
      </c>
    </row>
    <row r="430" spans="1:55" s="44" customFormat="1" ht="45">
      <c r="A430" s="140" t="s">
        <v>236</v>
      </c>
      <c r="B430" s="140" t="s">
        <v>380</v>
      </c>
      <c r="C430" s="26" t="s">
        <v>10</v>
      </c>
      <c r="D430" s="26" t="s">
        <v>10</v>
      </c>
      <c r="E430" s="23" t="s">
        <v>10</v>
      </c>
      <c r="F430" s="23" t="s">
        <v>11</v>
      </c>
      <c r="G430" s="140" t="s">
        <v>1331</v>
      </c>
      <c r="H430" s="132">
        <v>50</v>
      </c>
      <c r="I430" s="129">
        <v>480</v>
      </c>
      <c r="J430" s="137">
        <v>98.5</v>
      </c>
      <c r="K430" s="21" t="s">
        <v>1217</v>
      </c>
      <c r="L430" s="130" t="s">
        <v>491</v>
      </c>
      <c r="M430" s="26" t="s">
        <v>487</v>
      </c>
      <c r="N430" s="174">
        <v>43388</v>
      </c>
      <c r="O430" s="130" t="s">
        <v>491</v>
      </c>
      <c r="P430" s="23" t="s">
        <v>17</v>
      </c>
      <c r="Q430" s="23" t="s">
        <v>17</v>
      </c>
      <c r="R430" s="152" t="s">
        <v>1755</v>
      </c>
      <c r="S430" s="131" t="s">
        <v>11</v>
      </c>
      <c r="T430" s="131" t="s">
        <v>11</v>
      </c>
      <c r="U430" s="132">
        <v>1</v>
      </c>
      <c r="V430" s="133"/>
      <c r="W430" s="133"/>
      <c r="X430" s="133">
        <v>580</v>
      </c>
      <c r="Y430" s="133">
        <v>650</v>
      </c>
      <c r="Z430" s="133">
        <v>720</v>
      </c>
      <c r="AA430" s="134">
        <v>5</v>
      </c>
      <c r="AB430" s="134">
        <v>10</v>
      </c>
      <c r="AC430" s="134">
        <v>15</v>
      </c>
      <c r="AD430" s="134">
        <v>25</v>
      </c>
      <c r="AE430" s="134">
        <v>37.5</v>
      </c>
      <c r="AF430" s="134">
        <v>50</v>
      </c>
      <c r="AG430" s="134">
        <v>97.5</v>
      </c>
      <c r="AH430" s="134">
        <v>98.5</v>
      </c>
      <c r="AI430" s="134">
        <v>98.4</v>
      </c>
      <c r="AJ430" s="134">
        <v>98.6</v>
      </c>
      <c r="AK430" s="134">
        <v>98.3</v>
      </c>
      <c r="AL430" s="134">
        <v>98.5</v>
      </c>
      <c r="AM430" s="134">
        <v>98.4</v>
      </c>
      <c r="AN430" s="134">
        <v>97.8</v>
      </c>
      <c r="AO430" s="134">
        <v>98.6</v>
      </c>
      <c r="AP430" s="134">
        <v>98.5</v>
      </c>
      <c r="AQ430" s="134">
        <v>98.7</v>
      </c>
      <c r="AR430" s="134">
        <v>98.4</v>
      </c>
      <c r="AS430" s="134">
        <v>98.5</v>
      </c>
      <c r="AT430" s="134">
        <v>98.5</v>
      </c>
      <c r="AU430" s="134">
        <v>98</v>
      </c>
      <c r="AV430" s="134">
        <v>98.7</v>
      </c>
      <c r="AW430" s="134">
        <v>98.8</v>
      </c>
      <c r="AX430" s="134">
        <v>98.8</v>
      </c>
      <c r="AY430" s="134">
        <v>98.6</v>
      </c>
      <c r="AZ430" s="134">
        <v>98.5</v>
      </c>
      <c r="BA430" s="134">
        <v>98.6</v>
      </c>
      <c r="BB430" s="174">
        <v>43132</v>
      </c>
      <c r="BC430" s="174">
        <v>43784</v>
      </c>
    </row>
    <row r="431" spans="1:55" s="44" customFormat="1" ht="45">
      <c r="A431" s="140" t="s">
        <v>236</v>
      </c>
      <c r="B431" s="140" t="s">
        <v>381</v>
      </c>
      <c r="C431" s="26" t="s">
        <v>10</v>
      </c>
      <c r="D431" s="26" t="s">
        <v>10</v>
      </c>
      <c r="E431" s="23" t="s">
        <v>10</v>
      </c>
      <c r="F431" s="23" t="s">
        <v>11</v>
      </c>
      <c r="G431" s="140" t="s">
        <v>1330</v>
      </c>
      <c r="H431" s="132">
        <v>50</v>
      </c>
      <c r="I431" s="129">
        <v>480</v>
      </c>
      <c r="J431" s="137">
        <v>98.5</v>
      </c>
      <c r="K431" s="21" t="s">
        <v>1217</v>
      </c>
      <c r="L431" s="130" t="s">
        <v>491</v>
      </c>
      <c r="M431" s="26" t="s">
        <v>487</v>
      </c>
      <c r="N431" s="174">
        <v>43388</v>
      </c>
      <c r="O431" s="130" t="s">
        <v>491</v>
      </c>
      <c r="P431" s="23" t="s">
        <v>17</v>
      </c>
      <c r="Q431" s="23" t="s">
        <v>17</v>
      </c>
      <c r="R431" s="152" t="s">
        <v>1752</v>
      </c>
      <c r="S431" s="131" t="s">
        <v>11</v>
      </c>
      <c r="T431" s="131" t="s">
        <v>11</v>
      </c>
      <c r="U431" s="132">
        <v>1</v>
      </c>
      <c r="V431" s="133"/>
      <c r="W431" s="133"/>
      <c r="X431" s="133">
        <v>580</v>
      </c>
      <c r="Y431" s="133">
        <v>650</v>
      </c>
      <c r="Z431" s="133">
        <v>720</v>
      </c>
      <c r="AA431" s="134">
        <v>5</v>
      </c>
      <c r="AB431" s="134">
        <v>10</v>
      </c>
      <c r="AC431" s="134">
        <v>15</v>
      </c>
      <c r="AD431" s="134">
        <v>25</v>
      </c>
      <c r="AE431" s="134">
        <v>37.5</v>
      </c>
      <c r="AF431" s="134">
        <v>50</v>
      </c>
      <c r="AG431" s="40">
        <v>97.74</v>
      </c>
      <c r="AH431" s="40">
        <v>98.44</v>
      </c>
      <c r="AI431" s="40">
        <v>98.46</v>
      </c>
      <c r="AJ431" s="40">
        <v>98.58</v>
      </c>
      <c r="AK431" s="40">
        <v>98.45</v>
      </c>
      <c r="AL431" s="40">
        <v>98.35</v>
      </c>
      <c r="AM431" s="40">
        <v>98.44</v>
      </c>
      <c r="AN431" s="134">
        <v>97.8</v>
      </c>
      <c r="AO431" s="40">
        <v>98.53</v>
      </c>
      <c r="AP431" s="40">
        <v>98.55</v>
      </c>
      <c r="AQ431" s="40">
        <v>98.7</v>
      </c>
      <c r="AR431" s="40">
        <v>98.51</v>
      </c>
      <c r="AS431" s="40">
        <v>98.4</v>
      </c>
      <c r="AT431" s="40">
        <v>98.52</v>
      </c>
      <c r="AU431" s="40">
        <v>97.88</v>
      </c>
      <c r="AV431" s="40">
        <v>98.58</v>
      </c>
      <c r="AW431" s="40">
        <v>98.65</v>
      </c>
      <c r="AX431" s="40">
        <v>98.76</v>
      </c>
      <c r="AY431" s="40">
        <v>98.57</v>
      </c>
      <c r="AZ431" s="40">
        <v>98.46</v>
      </c>
      <c r="BA431" s="40">
        <v>98.59</v>
      </c>
      <c r="BB431" s="174">
        <v>43132</v>
      </c>
      <c r="BC431" s="174">
        <v>43784</v>
      </c>
    </row>
    <row r="432" spans="1:55" s="44" customFormat="1" ht="45">
      <c r="A432" s="140" t="s">
        <v>236</v>
      </c>
      <c r="B432" s="140" t="s">
        <v>984</v>
      </c>
      <c r="C432" s="26" t="s">
        <v>10</v>
      </c>
      <c r="D432" s="26" t="s">
        <v>10</v>
      </c>
      <c r="E432" s="23" t="s">
        <v>10</v>
      </c>
      <c r="F432" s="23" t="s">
        <v>11</v>
      </c>
      <c r="G432" s="140" t="s">
        <v>1330</v>
      </c>
      <c r="H432" s="132">
        <v>50</v>
      </c>
      <c r="I432" s="129">
        <v>480</v>
      </c>
      <c r="J432" s="137">
        <v>98.5</v>
      </c>
      <c r="K432" s="21" t="s">
        <v>1217</v>
      </c>
      <c r="L432" s="130" t="s">
        <v>486</v>
      </c>
      <c r="M432" s="26" t="s">
        <v>487</v>
      </c>
      <c r="N432" s="174">
        <v>43388</v>
      </c>
      <c r="O432" s="130" t="s">
        <v>486</v>
      </c>
      <c r="P432" s="23" t="s">
        <v>17</v>
      </c>
      <c r="Q432" s="23" t="s">
        <v>17</v>
      </c>
      <c r="R432" s="152" t="s">
        <v>1753</v>
      </c>
      <c r="S432" s="131" t="s">
        <v>11</v>
      </c>
      <c r="T432" s="131" t="s">
        <v>11</v>
      </c>
      <c r="U432" s="132">
        <v>1</v>
      </c>
      <c r="V432" s="133"/>
      <c r="W432" s="133"/>
      <c r="X432" s="133">
        <v>580</v>
      </c>
      <c r="Y432" s="133">
        <v>650</v>
      </c>
      <c r="Z432" s="133">
        <v>720</v>
      </c>
      <c r="AA432" s="134">
        <v>5</v>
      </c>
      <c r="AB432" s="134">
        <v>10</v>
      </c>
      <c r="AC432" s="134">
        <v>15</v>
      </c>
      <c r="AD432" s="134">
        <v>25</v>
      </c>
      <c r="AE432" s="134">
        <v>37.5</v>
      </c>
      <c r="AF432" s="134">
        <v>50</v>
      </c>
      <c r="AG432" s="134">
        <v>97.73621</v>
      </c>
      <c r="AH432" s="134">
        <v>98.444220000000001</v>
      </c>
      <c r="AI432" s="134">
        <v>98.455920000000006</v>
      </c>
      <c r="AJ432" s="134">
        <v>98.582179999999994</v>
      </c>
      <c r="AK432" s="134">
        <v>98.449969999999993</v>
      </c>
      <c r="AL432" s="134">
        <v>98.347470000000001</v>
      </c>
      <c r="AM432" s="134">
        <v>98.444490000000002</v>
      </c>
      <c r="AN432" s="134">
        <v>97.798339999999996</v>
      </c>
      <c r="AO432" s="134">
        <v>98.53134</v>
      </c>
      <c r="AP432" s="134">
        <v>98.552109999999999</v>
      </c>
      <c r="AQ432" s="134">
        <v>98.700419999999994</v>
      </c>
      <c r="AR432" s="134">
        <v>98.512280000000004</v>
      </c>
      <c r="AS432" s="134">
        <v>98.395949999999999</v>
      </c>
      <c r="AT432" s="134">
        <v>98.523150000000001</v>
      </c>
      <c r="AU432" s="134">
        <v>97.876750000000001</v>
      </c>
      <c r="AV432" s="134">
        <v>98.578149999999994</v>
      </c>
      <c r="AW432" s="134">
        <v>98.650589999999994</v>
      </c>
      <c r="AX432" s="134">
        <v>98.759609999999995</v>
      </c>
      <c r="AY432" s="134">
        <v>98.567750000000004</v>
      </c>
      <c r="AZ432" s="134">
        <v>98.464439999999996</v>
      </c>
      <c r="BA432" s="134">
        <v>98.585700000000003</v>
      </c>
      <c r="BB432" s="174">
        <v>43132</v>
      </c>
      <c r="BC432" s="174">
        <v>43784</v>
      </c>
    </row>
    <row r="433" spans="1:55" s="44" customFormat="1" ht="45">
      <c r="A433" s="140" t="s">
        <v>236</v>
      </c>
      <c r="B433" s="140" t="s">
        <v>985</v>
      </c>
      <c r="C433" s="26" t="s">
        <v>10</v>
      </c>
      <c r="D433" s="26" t="s">
        <v>10</v>
      </c>
      <c r="E433" s="23" t="s">
        <v>10</v>
      </c>
      <c r="F433" s="23" t="s">
        <v>11</v>
      </c>
      <c r="G433" s="140" t="s">
        <v>1331</v>
      </c>
      <c r="H433" s="132">
        <v>50</v>
      </c>
      <c r="I433" s="129">
        <v>480</v>
      </c>
      <c r="J433" s="137">
        <v>98.5</v>
      </c>
      <c r="K433" s="21" t="s">
        <v>1217</v>
      </c>
      <c r="L433" s="130" t="s">
        <v>486</v>
      </c>
      <c r="M433" s="26" t="s">
        <v>487</v>
      </c>
      <c r="N433" s="174">
        <v>43388</v>
      </c>
      <c r="O433" s="130" t="s">
        <v>486</v>
      </c>
      <c r="P433" s="23" t="s">
        <v>17</v>
      </c>
      <c r="Q433" s="23" t="s">
        <v>17</v>
      </c>
      <c r="R433" s="152" t="s">
        <v>1754</v>
      </c>
      <c r="S433" s="131" t="s">
        <v>11</v>
      </c>
      <c r="T433" s="131" t="s">
        <v>11</v>
      </c>
      <c r="U433" s="132">
        <v>1</v>
      </c>
      <c r="V433" s="133"/>
      <c r="W433" s="133"/>
      <c r="X433" s="133">
        <v>580</v>
      </c>
      <c r="Y433" s="133">
        <v>650</v>
      </c>
      <c r="Z433" s="133">
        <v>720</v>
      </c>
      <c r="AA433" s="134">
        <v>5</v>
      </c>
      <c r="AB433" s="134">
        <v>10</v>
      </c>
      <c r="AC433" s="134">
        <v>15</v>
      </c>
      <c r="AD433" s="134">
        <v>25</v>
      </c>
      <c r="AE433" s="134">
        <v>37.5</v>
      </c>
      <c r="AF433" s="134">
        <v>50</v>
      </c>
      <c r="AG433" s="134">
        <v>97.516660000000002</v>
      </c>
      <c r="AH433" s="134">
        <v>98.527910000000006</v>
      </c>
      <c r="AI433" s="134">
        <v>98.440969999999993</v>
      </c>
      <c r="AJ433" s="134">
        <v>98.556190000000001</v>
      </c>
      <c r="AK433" s="134">
        <v>98.322069999999997</v>
      </c>
      <c r="AL433" s="134">
        <v>98.44641</v>
      </c>
      <c r="AM433" s="134">
        <v>98.369799999999998</v>
      </c>
      <c r="AN433" s="134">
        <v>97.746949999999998</v>
      </c>
      <c r="AO433" s="134">
        <v>98.550470000000004</v>
      </c>
      <c r="AP433" s="134">
        <v>98.522189999999995</v>
      </c>
      <c r="AQ433" s="134">
        <v>98.653930000000003</v>
      </c>
      <c r="AR433" s="134">
        <v>98.433809999999994</v>
      </c>
      <c r="AS433" s="134">
        <v>98.488839999999996</v>
      </c>
      <c r="AT433" s="134">
        <v>98.47175</v>
      </c>
      <c r="AU433" s="134">
        <v>97.980519999999999</v>
      </c>
      <c r="AV433" s="134">
        <v>98.699969999999993</v>
      </c>
      <c r="AW433" s="134">
        <v>98.804749999999999</v>
      </c>
      <c r="AX433" s="134">
        <v>98.791889999999995</v>
      </c>
      <c r="AY433" s="134">
        <v>98.567930000000004</v>
      </c>
      <c r="AZ433" s="134">
        <v>98.500640000000004</v>
      </c>
      <c r="BA433" s="134">
        <v>98.62312</v>
      </c>
      <c r="BB433" s="174">
        <v>43132</v>
      </c>
      <c r="BC433" s="174">
        <v>43784</v>
      </c>
    </row>
    <row r="434" spans="1:55" s="44" customFormat="1" ht="45">
      <c r="A434" s="140" t="s">
        <v>236</v>
      </c>
      <c r="B434" s="140" t="s">
        <v>382</v>
      </c>
      <c r="C434" s="26" t="s">
        <v>10</v>
      </c>
      <c r="D434" s="26" t="s">
        <v>10</v>
      </c>
      <c r="E434" s="23" t="s">
        <v>10</v>
      </c>
      <c r="F434" s="23" t="s">
        <v>11</v>
      </c>
      <c r="G434" s="140" t="s">
        <v>1332</v>
      </c>
      <c r="H434" s="132">
        <v>60</v>
      </c>
      <c r="I434" s="129">
        <v>480</v>
      </c>
      <c r="J434" s="137">
        <v>98.5</v>
      </c>
      <c r="K434" s="21" t="s">
        <v>1217</v>
      </c>
      <c r="L434" s="130" t="s">
        <v>491</v>
      </c>
      <c r="M434" s="26" t="s">
        <v>487</v>
      </c>
      <c r="N434" s="174">
        <v>43388</v>
      </c>
      <c r="O434" s="130" t="s">
        <v>491</v>
      </c>
      <c r="P434" s="23" t="s">
        <v>17</v>
      </c>
      <c r="Q434" s="23" t="s">
        <v>17</v>
      </c>
      <c r="R434" s="152" t="s">
        <v>1756</v>
      </c>
      <c r="S434" s="131" t="s">
        <v>11</v>
      </c>
      <c r="T434" s="131" t="s">
        <v>11</v>
      </c>
      <c r="U434" s="132">
        <v>1</v>
      </c>
      <c r="V434" s="133"/>
      <c r="W434" s="133"/>
      <c r="X434" s="133">
        <v>580</v>
      </c>
      <c r="Y434" s="133">
        <v>650</v>
      </c>
      <c r="Z434" s="133">
        <v>720</v>
      </c>
      <c r="AA434" s="134">
        <v>6</v>
      </c>
      <c r="AB434" s="134">
        <v>12</v>
      </c>
      <c r="AC434" s="134">
        <v>18</v>
      </c>
      <c r="AD434" s="134">
        <v>30</v>
      </c>
      <c r="AE434" s="134">
        <v>45</v>
      </c>
      <c r="AF434" s="134">
        <v>60</v>
      </c>
      <c r="AG434" s="40">
        <v>97.73</v>
      </c>
      <c r="AH434" s="40">
        <v>98.31</v>
      </c>
      <c r="AI434" s="40">
        <v>98.42</v>
      </c>
      <c r="AJ434" s="40">
        <v>98.55</v>
      </c>
      <c r="AK434" s="40">
        <v>98.37</v>
      </c>
      <c r="AL434" s="40">
        <v>98.22</v>
      </c>
      <c r="AM434" s="40">
        <v>98.38</v>
      </c>
      <c r="AN434" s="40">
        <v>97.82</v>
      </c>
      <c r="AO434" s="40">
        <v>98.45</v>
      </c>
      <c r="AP434" s="40">
        <v>98.54</v>
      </c>
      <c r="AQ434" s="40">
        <v>98.63</v>
      </c>
      <c r="AR434" s="40">
        <v>98.5</v>
      </c>
      <c r="AS434" s="40">
        <v>98.33</v>
      </c>
      <c r="AT434" s="40">
        <v>98.49</v>
      </c>
      <c r="AU434" s="40">
        <v>97.86</v>
      </c>
      <c r="AV434" s="40">
        <v>98.53</v>
      </c>
      <c r="AW434" s="40">
        <v>98.59</v>
      </c>
      <c r="AX434" s="40">
        <v>98.7</v>
      </c>
      <c r="AY434" s="40">
        <v>98.55</v>
      </c>
      <c r="AZ434" s="40">
        <v>98.45</v>
      </c>
      <c r="BA434" s="40">
        <v>98.55</v>
      </c>
      <c r="BB434" s="174">
        <v>43132</v>
      </c>
      <c r="BC434" s="174">
        <v>43784</v>
      </c>
    </row>
    <row r="435" spans="1:55" s="44" customFormat="1" ht="45">
      <c r="A435" s="140" t="s">
        <v>236</v>
      </c>
      <c r="B435" s="140" t="s">
        <v>986</v>
      </c>
      <c r="C435" s="26" t="s">
        <v>10</v>
      </c>
      <c r="D435" s="26" t="s">
        <v>10</v>
      </c>
      <c r="E435" s="23" t="s">
        <v>10</v>
      </c>
      <c r="F435" s="23" t="s">
        <v>11</v>
      </c>
      <c r="G435" s="140" t="s">
        <v>1332</v>
      </c>
      <c r="H435" s="132">
        <v>60</v>
      </c>
      <c r="I435" s="129">
        <v>480</v>
      </c>
      <c r="J435" s="137">
        <v>98.5</v>
      </c>
      <c r="K435" s="21" t="s">
        <v>1217</v>
      </c>
      <c r="L435" s="130" t="s">
        <v>486</v>
      </c>
      <c r="M435" s="26" t="s">
        <v>487</v>
      </c>
      <c r="N435" s="174">
        <v>43388</v>
      </c>
      <c r="O435" s="130" t="s">
        <v>486</v>
      </c>
      <c r="P435" s="23" t="s">
        <v>17</v>
      </c>
      <c r="Q435" s="23" t="s">
        <v>17</v>
      </c>
      <c r="R435" s="152" t="s">
        <v>1757</v>
      </c>
      <c r="S435" s="131" t="s">
        <v>11</v>
      </c>
      <c r="T435" s="131" t="s">
        <v>11</v>
      </c>
      <c r="U435" s="132">
        <v>1</v>
      </c>
      <c r="V435" s="133"/>
      <c r="W435" s="133"/>
      <c r="X435" s="133">
        <v>580</v>
      </c>
      <c r="Y435" s="133">
        <v>650</v>
      </c>
      <c r="Z435" s="133">
        <v>720</v>
      </c>
      <c r="AA435" s="134">
        <v>6</v>
      </c>
      <c r="AB435" s="134">
        <v>12</v>
      </c>
      <c r="AC435" s="134">
        <v>18</v>
      </c>
      <c r="AD435" s="134">
        <v>30</v>
      </c>
      <c r="AE435" s="134">
        <v>45</v>
      </c>
      <c r="AF435" s="134">
        <v>60</v>
      </c>
      <c r="AG435" s="134">
        <v>97.725110000000001</v>
      </c>
      <c r="AH435" s="134">
        <v>98.310810000000004</v>
      </c>
      <c r="AI435" s="134">
        <v>98.418899999999994</v>
      </c>
      <c r="AJ435" s="134">
        <v>98.550129999999996</v>
      </c>
      <c r="AK435" s="134">
        <v>98.371089999999995</v>
      </c>
      <c r="AL435" s="134">
        <v>98.223780000000005</v>
      </c>
      <c r="AM435" s="134">
        <v>98.378209999999996</v>
      </c>
      <c r="AN435" s="134">
        <v>97.822659999999999</v>
      </c>
      <c r="AO435" s="134">
        <v>98.449550000000002</v>
      </c>
      <c r="AP435" s="134">
        <v>98.540400000000005</v>
      </c>
      <c r="AQ435" s="134">
        <v>98.626189999999994</v>
      </c>
      <c r="AR435" s="134">
        <v>98.49897</v>
      </c>
      <c r="AS435" s="134">
        <v>98.329369999999997</v>
      </c>
      <c r="AT435" s="134">
        <v>98.492649999999998</v>
      </c>
      <c r="AU435" s="134">
        <v>97.862219999999994</v>
      </c>
      <c r="AV435" s="134">
        <v>98.525220000000004</v>
      </c>
      <c r="AW435" s="134">
        <v>98.586510000000004</v>
      </c>
      <c r="AX435" s="134">
        <v>98.699969999999993</v>
      </c>
      <c r="AY435" s="134">
        <v>98.55256</v>
      </c>
      <c r="AZ435" s="134">
        <v>98.449910000000003</v>
      </c>
      <c r="BA435" s="134">
        <v>98.553479999999993</v>
      </c>
      <c r="BB435" s="174">
        <v>43132</v>
      </c>
      <c r="BC435" s="174">
        <v>43784</v>
      </c>
    </row>
    <row r="436" spans="1:55" s="44" customFormat="1" ht="45">
      <c r="A436" s="140" t="s">
        <v>236</v>
      </c>
      <c r="B436" s="140" t="s">
        <v>383</v>
      </c>
      <c r="C436" s="26" t="s">
        <v>10</v>
      </c>
      <c r="D436" s="26" t="s">
        <v>10</v>
      </c>
      <c r="E436" s="23" t="s">
        <v>10</v>
      </c>
      <c r="F436" s="23" t="s">
        <v>11</v>
      </c>
      <c r="G436" s="140" t="s">
        <v>1333</v>
      </c>
      <c r="H436" s="132">
        <v>66</v>
      </c>
      <c r="I436" s="129">
        <v>480</v>
      </c>
      <c r="J436" s="137">
        <v>98.5</v>
      </c>
      <c r="K436" s="21" t="s">
        <v>1217</v>
      </c>
      <c r="L436" s="130" t="s">
        <v>491</v>
      </c>
      <c r="M436" s="26" t="s">
        <v>487</v>
      </c>
      <c r="N436" s="174">
        <v>43388</v>
      </c>
      <c r="O436" s="130" t="s">
        <v>491</v>
      </c>
      <c r="P436" s="23" t="s">
        <v>17</v>
      </c>
      <c r="Q436" s="23" t="s">
        <v>17</v>
      </c>
      <c r="R436" s="152" t="s">
        <v>1758</v>
      </c>
      <c r="S436" s="131" t="s">
        <v>11</v>
      </c>
      <c r="T436" s="131" t="s">
        <v>11</v>
      </c>
      <c r="U436" s="132">
        <v>1</v>
      </c>
      <c r="V436" s="133"/>
      <c r="W436" s="133"/>
      <c r="X436" s="133">
        <v>580</v>
      </c>
      <c r="Y436" s="133">
        <v>650</v>
      </c>
      <c r="Z436" s="133">
        <v>720</v>
      </c>
      <c r="AA436" s="134">
        <v>6.6</v>
      </c>
      <c r="AB436" s="134">
        <v>13.2</v>
      </c>
      <c r="AC436" s="134">
        <v>19.8</v>
      </c>
      <c r="AD436" s="134">
        <v>33</v>
      </c>
      <c r="AE436" s="134">
        <v>49.5</v>
      </c>
      <c r="AF436" s="134">
        <v>66</v>
      </c>
      <c r="AG436" s="40">
        <v>97.57</v>
      </c>
      <c r="AH436" s="40">
        <v>98.38</v>
      </c>
      <c r="AI436" s="40">
        <v>98.48</v>
      </c>
      <c r="AJ436" s="40">
        <v>98.56</v>
      </c>
      <c r="AK436" s="40">
        <v>98.42</v>
      </c>
      <c r="AL436" s="40">
        <v>98.31</v>
      </c>
      <c r="AM436" s="40">
        <v>98.42</v>
      </c>
      <c r="AN436" s="40">
        <v>97.74</v>
      </c>
      <c r="AO436" s="40">
        <v>98.5</v>
      </c>
      <c r="AP436" s="40">
        <v>98.55</v>
      </c>
      <c r="AQ436" s="40">
        <v>98.7</v>
      </c>
      <c r="AR436" s="40">
        <v>98.5</v>
      </c>
      <c r="AS436" s="40">
        <v>98.39</v>
      </c>
      <c r="AT436" s="40">
        <v>98.51</v>
      </c>
      <c r="AU436" s="40">
        <v>97.77</v>
      </c>
      <c r="AV436" s="40">
        <v>98.67</v>
      </c>
      <c r="AW436" s="40">
        <v>98.65</v>
      </c>
      <c r="AX436" s="40">
        <v>98.77</v>
      </c>
      <c r="AY436" s="40">
        <v>98.56</v>
      </c>
      <c r="AZ436" s="40">
        <v>98.49</v>
      </c>
      <c r="BA436" s="40">
        <v>98.58</v>
      </c>
      <c r="BB436" s="174">
        <v>43132</v>
      </c>
      <c r="BC436" s="174">
        <v>43784</v>
      </c>
    </row>
    <row r="437" spans="1:55" s="44" customFormat="1" ht="45">
      <c r="A437" s="140" t="s">
        <v>236</v>
      </c>
      <c r="B437" s="140" t="s">
        <v>987</v>
      </c>
      <c r="C437" s="26" t="s">
        <v>10</v>
      </c>
      <c r="D437" s="26" t="s">
        <v>10</v>
      </c>
      <c r="E437" s="23" t="s">
        <v>10</v>
      </c>
      <c r="F437" s="23" t="s">
        <v>11</v>
      </c>
      <c r="G437" s="140" t="s">
        <v>490</v>
      </c>
      <c r="H437" s="132">
        <v>66</v>
      </c>
      <c r="I437" s="129">
        <v>480</v>
      </c>
      <c r="J437" s="137">
        <v>98.5</v>
      </c>
      <c r="K437" s="21" t="s">
        <v>1217</v>
      </c>
      <c r="L437" s="130" t="s">
        <v>486</v>
      </c>
      <c r="M437" s="26" t="s">
        <v>487</v>
      </c>
      <c r="N437" s="174">
        <v>43388</v>
      </c>
      <c r="O437" s="130" t="s">
        <v>486</v>
      </c>
      <c r="P437" s="23" t="s">
        <v>17</v>
      </c>
      <c r="Q437" s="23" t="s">
        <v>17</v>
      </c>
      <c r="R437" s="18" t="s">
        <v>17</v>
      </c>
      <c r="S437" s="131" t="s">
        <v>11</v>
      </c>
      <c r="T437" s="131" t="s">
        <v>11</v>
      </c>
      <c r="U437" s="132">
        <v>1</v>
      </c>
      <c r="V437" s="133"/>
      <c r="W437" s="133"/>
      <c r="X437" s="133">
        <v>580</v>
      </c>
      <c r="Y437" s="133">
        <v>650</v>
      </c>
      <c r="Z437" s="133">
        <v>720</v>
      </c>
      <c r="AA437" s="134">
        <v>6.6</v>
      </c>
      <c r="AB437" s="134">
        <v>13.2</v>
      </c>
      <c r="AC437" s="134">
        <v>19.8</v>
      </c>
      <c r="AD437" s="134">
        <v>33</v>
      </c>
      <c r="AE437" s="134">
        <v>49.5</v>
      </c>
      <c r="AF437" s="134">
        <v>66</v>
      </c>
      <c r="AG437" s="134">
        <v>97.571680000000001</v>
      </c>
      <c r="AH437" s="134">
        <v>98.376260000000002</v>
      </c>
      <c r="AI437" s="134">
        <v>98.476309999999998</v>
      </c>
      <c r="AJ437" s="134">
        <v>98.563289999999995</v>
      </c>
      <c r="AK437" s="134">
        <v>98.421390000000002</v>
      </c>
      <c r="AL437" s="134">
        <v>98.311779999999999</v>
      </c>
      <c r="AM437" s="134">
        <v>98.416049999999998</v>
      </c>
      <c r="AN437" s="134">
        <v>97.744069999999994</v>
      </c>
      <c r="AO437" s="134">
        <v>98.500609999999995</v>
      </c>
      <c r="AP437" s="134">
        <v>98.553719999999998</v>
      </c>
      <c r="AQ437" s="134">
        <v>98.7042</v>
      </c>
      <c r="AR437" s="134">
        <v>98.498869999999997</v>
      </c>
      <c r="AS437" s="134">
        <v>98.390150000000006</v>
      </c>
      <c r="AT437" s="134">
        <v>98.513030000000001</v>
      </c>
      <c r="AU437" s="134">
        <v>97.772109999999998</v>
      </c>
      <c r="AV437" s="134">
        <v>98.671279999999996</v>
      </c>
      <c r="AW437" s="134">
        <v>98.653779999999998</v>
      </c>
      <c r="AX437" s="134">
        <v>98.773750000000007</v>
      </c>
      <c r="AY437" s="134">
        <v>98.556129999999996</v>
      </c>
      <c r="AZ437" s="134">
        <v>98.491799999999998</v>
      </c>
      <c r="BA437" s="134">
        <v>98.584729999999993</v>
      </c>
      <c r="BB437" s="174">
        <v>43132</v>
      </c>
      <c r="BC437" s="174">
        <v>43784</v>
      </c>
    </row>
    <row r="438" spans="1:55" s="44" customFormat="1" ht="45">
      <c r="A438" s="140" t="s">
        <v>1181</v>
      </c>
      <c r="B438" s="140" t="s">
        <v>1182</v>
      </c>
      <c r="C438" s="26" t="s">
        <v>10</v>
      </c>
      <c r="D438" s="26" t="s">
        <v>10</v>
      </c>
      <c r="E438" s="23" t="s">
        <v>10</v>
      </c>
      <c r="F438" s="23" t="s">
        <v>11</v>
      </c>
      <c r="G438" s="140" t="s">
        <v>1183</v>
      </c>
      <c r="H438" s="149">
        <v>9.9749999999999996</v>
      </c>
      <c r="I438" s="129">
        <v>480</v>
      </c>
      <c r="J438" s="137">
        <v>97.5</v>
      </c>
      <c r="K438" s="21" t="s">
        <v>1219</v>
      </c>
      <c r="L438" s="58" t="s">
        <v>1184</v>
      </c>
      <c r="M438" s="26" t="s">
        <v>1133</v>
      </c>
      <c r="N438" s="175">
        <v>43419</v>
      </c>
      <c r="O438" s="58" t="s">
        <v>1184</v>
      </c>
      <c r="P438" s="23" t="s">
        <v>17</v>
      </c>
      <c r="Q438" s="23" t="s">
        <v>17</v>
      </c>
      <c r="R438" s="152" t="s">
        <v>1185</v>
      </c>
      <c r="S438" s="131" t="s">
        <v>11</v>
      </c>
      <c r="T438" s="131" t="s">
        <v>11</v>
      </c>
      <c r="U438" s="132">
        <v>8.3000000000000007</v>
      </c>
      <c r="V438" s="133"/>
      <c r="W438" s="133"/>
      <c r="X438" s="133">
        <v>450</v>
      </c>
      <c r="Y438" s="133">
        <v>750</v>
      </c>
      <c r="Z438" s="133">
        <v>850</v>
      </c>
      <c r="AA438" s="132">
        <v>0.99750000000000005</v>
      </c>
      <c r="AB438" s="132">
        <v>1.9950000000000001</v>
      </c>
      <c r="AC438" s="132">
        <v>2.9924999999999997</v>
      </c>
      <c r="AD438" s="132">
        <v>4.9874999999999998</v>
      </c>
      <c r="AE438" s="132">
        <v>7.4812499999999993</v>
      </c>
      <c r="AF438" s="132">
        <v>9.9749999999999996</v>
      </c>
      <c r="AG438" s="137">
        <v>94.115714285714276</v>
      </c>
      <c r="AH438" s="137">
        <v>96.777142857142849</v>
      </c>
      <c r="AI438" s="137">
        <v>97.342857142857142</v>
      </c>
      <c r="AJ438" s="137">
        <v>97.727142857142866</v>
      </c>
      <c r="AK438" s="137">
        <v>97.695714285714303</v>
      </c>
      <c r="AL438" s="137">
        <v>97.517142857142858</v>
      </c>
      <c r="AM438" s="137">
        <v>97.4619142857143</v>
      </c>
      <c r="AN438" s="137">
        <v>94.11</v>
      </c>
      <c r="AO438" s="137">
        <v>96.84571428571428</v>
      </c>
      <c r="AP438" s="137">
        <v>97.644285714285701</v>
      </c>
      <c r="AQ438" s="137">
        <v>98.161428571428573</v>
      </c>
      <c r="AR438" s="137">
        <v>98.220000000000013</v>
      </c>
      <c r="AS438" s="137">
        <v>98.139999999999986</v>
      </c>
      <c r="AT438" s="137">
        <v>97.901500000000013</v>
      </c>
      <c r="AU438" s="137">
        <v>93.187142857142859</v>
      </c>
      <c r="AV438" s="137">
        <v>96.460000000000008</v>
      </c>
      <c r="AW438" s="137">
        <v>97.455714285714294</v>
      </c>
      <c r="AX438" s="137">
        <v>98.102857142857147</v>
      </c>
      <c r="AY438" s="137">
        <v>98.238571428571433</v>
      </c>
      <c r="AZ438" s="137">
        <v>98.200000000000017</v>
      </c>
      <c r="BA438" s="137">
        <v>97.823214285714286</v>
      </c>
      <c r="BB438" s="176">
        <v>43419</v>
      </c>
      <c r="BC438" s="176"/>
    </row>
    <row r="439" spans="1:55" s="44" customFormat="1" ht="45">
      <c r="A439" s="18" t="s">
        <v>288</v>
      </c>
      <c r="B439" s="18" t="s">
        <v>988</v>
      </c>
      <c r="C439" s="23" t="s">
        <v>10</v>
      </c>
      <c r="D439" s="23" t="s">
        <v>10</v>
      </c>
      <c r="E439" s="23" t="s">
        <v>10</v>
      </c>
      <c r="F439" s="23" t="s">
        <v>11</v>
      </c>
      <c r="G439" s="18" t="s">
        <v>290</v>
      </c>
      <c r="H439" s="125">
        <v>2.56</v>
      </c>
      <c r="I439" s="127">
        <v>120</v>
      </c>
      <c r="J439" s="125">
        <v>91</v>
      </c>
      <c r="K439" s="21" t="s">
        <v>1217</v>
      </c>
      <c r="L439" s="49" t="s">
        <v>449</v>
      </c>
      <c r="M439" s="23" t="s">
        <v>450</v>
      </c>
      <c r="N439" s="174">
        <v>43388</v>
      </c>
      <c r="O439" s="49" t="s">
        <v>449</v>
      </c>
      <c r="P439" s="23" t="s">
        <v>17</v>
      </c>
      <c r="Q439" s="23" t="s">
        <v>17</v>
      </c>
      <c r="R439" s="151"/>
      <c r="S439" s="23" t="s">
        <v>10</v>
      </c>
      <c r="T439" s="23" t="s">
        <v>11</v>
      </c>
      <c r="U439" s="125">
        <v>0</v>
      </c>
      <c r="V439" s="135"/>
      <c r="W439" s="135"/>
      <c r="X439" s="19">
        <v>40</v>
      </c>
      <c r="Y439" s="19">
        <v>52</v>
      </c>
      <c r="Z439" s="19">
        <v>60</v>
      </c>
      <c r="AA439" s="40">
        <v>0.26</v>
      </c>
      <c r="AB439" s="40">
        <v>0.51</v>
      </c>
      <c r="AC439" s="40">
        <v>0.77</v>
      </c>
      <c r="AD439" s="40">
        <v>1.28</v>
      </c>
      <c r="AE439" s="40">
        <v>1.92</v>
      </c>
      <c r="AF439" s="40">
        <v>2.56</v>
      </c>
      <c r="AG439" s="40">
        <v>83.7</v>
      </c>
      <c r="AH439" s="40">
        <v>90.2</v>
      </c>
      <c r="AI439" s="40">
        <v>92.2</v>
      </c>
      <c r="AJ439" s="40">
        <v>93.3</v>
      </c>
      <c r="AK439" s="40">
        <v>92.6</v>
      </c>
      <c r="AL439" s="40">
        <v>91.6</v>
      </c>
      <c r="AM439" s="40">
        <v>92.2</v>
      </c>
      <c r="AN439" s="40">
        <v>79.8</v>
      </c>
      <c r="AO439" s="40">
        <v>87.1</v>
      </c>
      <c r="AP439" s="40">
        <v>90</v>
      </c>
      <c r="AQ439" s="40">
        <v>92</v>
      </c>
      <c r="AR439" s="40">
        <v>92</v>
      </c>
      <c r="AS439" s="40">
        <v>91.2</v>
      </c>
      <c r="AT439" s="40">
        <v>91</v>
      </c>
      <c r="AU439" s="40">
        <v>77.3</v>
      </c>
      <c r="AV439" s="40">
        <v>85.1</v>
      </c>
      <c r="AW439" s="40">
        <v>88.1</v>
      </c>
      <c r="AX439" s="40">
        <v>90.6</v>
      </c>
      <c r="AY439" s="40">
        <v>91</v>
      </c>
      <c r="AZ439" s="40">
        <v>90.7</v>
      </c>
      <c r="BA439" s="40">
        <v>89.7</v>
      </c>
      <c r="BB439" s="174">
        <v>43084</v>
      </c>
      <c r="BC439" s="174">
        <v>43388</v>
      </c>
    </row>
    <row r="440" spans="1:55" s="44" customFormat="1" ht="60">
      <c r="A440" s="18" t="s">
        <v>288</v>
      </c>
      <c r="B440" s="18" t="s">
        <v>991</v>
      </c>
      <c r="C440" s="23" t="s">
        <v>10</v>
      </c>
      <c r="D440" s="23" t="s">
        <v>10</v>
      </c>
      <c r="E440" s="23" t="s">
        <v>10</v>
      </c>
      <c r="F440" s="23" t="s">
        <v>11</v>
      </c>
      <c r="G440" s="18" t="s">
        <v>293</v>
      </c>
      <c r="H440" s="125">
        <v>3.6</v>
      </c>
      <c r="I440" s="127">
        <v>240</v>
      </c>
      <c r="J440" s="125">
        <v>92.5</v>
      </c>
      <c r="K440" s="21" t="s">
        <v>1217</v>
      </c>
      <c r="L440" s="49" t="s">
        <v>449</v>
      </c>
      <c r="M440" s="23" t="s">
        <v>450</v>
      </c>
      <c r="N440" s="174">
        <v>43388</v>
      </c>
      <c r="O440" s="49" t="s">
        <v>449</v>
      </c>
      <c r="P440" s="23" t="s">
        <v>17</v>
      </c>
      <c r="Q440" s="23" t="s">
        <v>17</v>
      </c>
      <c r="R440" s="151"/>
      <c r="S440" s="23" t="s">
        <v>10</v>
      </c>
      <c r="T440" s="23" t="s">
        <v>11</v>
      </c>
      <c r="U440" s="125">
        <v>0.1</v>
      </c>
      <c r="V440" s="135"/>
      <c r="W440" s="135"/>
      <c r="X440" s="135">
        <v>44</v>
      </c>
      <c r="Y440" s="135">
        <v>48</v>
      </c>
      <c r="Z440" s="135">
        <v>56</v>
      </c>
      <c r="AA440" s="126">
        <v>0.72</v>
      </c>
      <c r="AB440" s="126">
        <v>1.44</v>
      </c>
      <c r="AC440" s="126">
        <v>2.16</v>
      </c>
      <c r="AD440" s="126">
        <v>3.6</v>
      </c>
      <c r="AE440" s="126">
        <v>5.4</v>
      </c>
      <c r="AF440" s="126">
        <v>7.2</v>
      </c>
      <c r="AG440" s="126">
        <v>92.6</v>
      </c>
      <c r="AH440" s="126">
        <v>94.4</v>
      </c>
      <c r="AI440" s="126">
        <v>93.7</v>
      </c>
      <c r="AJ440" s="126">
        <v>94.4</v>
      </c>
      <c r="AK440" s="126">
        <v>93</v>
      </c>
      <c r="AL440" s="126">
        <v>90.4</v>
      </c>
      <c r="AM440" s="126">
        <v>93.3</v>
      </c>
      <c r="AN440" s="126">
        <v>91.5</v>
      </c>
      <c r="AO440" s="126">
        <v>93.4</v>
      </c>
      <c r="AP440" s="126">
        <v>93</v>
      </c>
      <c r="AQ440" s="126">
        <v>93.3</v>
      </c>
      <c r="AR440" s="126">
        <v>92.7</v>
      </c>
      <c r="AS440" s="126">
        <v>90.8</v>
      </c>
      <c r="AT440" s="126">
        <v>92.7</v>
      </c>
      <c r="AU440" s="126">
        <v>89</v>
      </c>
      <c r="AV440" s="126">
        <v>91.6</v>
      </c>
      <c r="AW440" s="126">
        <v>92.2</v>
      </c>
      <c r="AX440" s="126">
        <v>92.1</v>
      </c>
      <c r="AY440" s="126">
        <v>91.5</v>
      </c>
      <c r="AZ440" s="126">
        <v>89.9</v>
      </c>
      <c r="BA440" s="126">
        <v>91.5</v>
      </c>
      <c r="BB440" s="174">
        <v>43084</v>
      </c>
      <c r="BC440" s="174">
        <v>43388</v>
      </c>
    </row>
    <row r="441" spans="1:55" s="44" customFormat="1" ht="60">
      <c r="A441" s="18" t="s">
        <v>288</v>
      </c>
      <c r="B441" s="18" t="s">
        <v>993</v>
      </c>
      <c r="C441" s="23" t="s">
        <v>10</v>
      </c>
      <c r="D441" s="23" t="s">
        <v>10</v>
      </c>
      <c r="E441" s="23" t="s">
        <v>10</v>
      </c>
      <c r="F441" s="23" t="s">
        <v>11</v>
      </c>
      <c r="G441" s="18" t="s">
        <v>292</v>
      </c>
      <c r="H441" s="125">
        <v>7.2</v>
      </c>
      <c r="I441" s="127">
        <v>240</v>
      </c>
      <c r="J441" s="125">
        <v>92.5</v>
      </c>
      <c r="K441" s="21" t="s">
        <v>1217</v>
      </c>
      <c r="L441" s="49" t="s">
        <v>449</v>
      </c>
      <c r="M441" s="23" t="s">
        <v>450</v>
      </c>
      <c r="N441" s="174">
        <v>43388</v>
      </c>
      <c r="O441" s="49" t="s">
        <v>449</v>
      </c>
      <c r="P441" s="23" t="s">
        <v>17</v>
      </c>
      <c r="Q441" s="23" t="s">
        <v>17</v>
      </c>
      <c r="R441" s="151"/>
      <c r="S441" s="23" t="s">
        <v>10</v>
      </c>
      <c r="T441" s="23" t="s">
        <v>11</v>
      </c>
      <c r="U441" s="125">
        <v>0.1</v>
      </c>
      <c r="V441" s="135"/>
      <c r="W441" s="135"/>
      <c r="X441" s="135">
        <v>44</v>
      </c>
      <c r="Y441" s="135">
        <v>48</v>
      </c>
      <c r="Z441" s="135">
        <v>56</v>
      </c>
      <c r="AA441" s="126">
        <v>0.36</v>
      </c>
      <c r="AB441" s="126">
        <v>0.72</v>
      </c>
      <c r="AC441" s="126">
        <v>1.08</v>
      </c>
      <c r="AD441" s="126">
        <v>1.8</v>
      </c>
      <c r="AE441" s="126">
        <v>2.7</v>
      </c>
      <c r="AF441" s="126">
        <v>3.6</v>
      </c>
      <c r="AG441" s="126">
        <v>88.3</v>
      </c>
      <c r="AH441" s="126">
        <v>92.6</v>
      </c>
      <c r="AI441" s="126">
        <v>94.1</v>
      </c>
      <c r="AJ441" s="126">
        <v>94.4</v>
      </c>
      <c r="AK441" s="126">
        <v>93.2</v>
      </c>
      <c r="AL441" s="126">
        <v>91.2</v>
      </c>
      <c r="AM441" s="126">
        <v>93.3</v>
      </c>
      <c r="AN441" s="126">
        <v>87.1</v>
      </c>
      <c r="AO441" s="126">
        <v>91.5</v>
      </c>
      <c r="AP441" s="126">
        <v>92.9</v>
      </c>
      <c r="AQ441" s="126">
        <v>93.3</v>
      </c>
      <c r="AR441" s="126">
        <v>93</v>
      </c>
      <c r="AS441" s="126">
        <v>90.8</v>
      </c>
      <c r="AT441" s="126">
        <v>92.6</v>
      </c>
      <c r="AU441" s="126">
        <v>84</v>
      </c>
      <c r="AV441" s="126">
        <v>89</v>
      </c>
      <c r="AW441" s="126">
        <v>90.9</v>
      </c>
      <c r="AX441" s="126">
        <v>92.1</v>
      </c>
      <c r="AY441" s="126">
        <v>91.9</v>
      </c>
      <c r="AZ441" s="126">
        <v>90.2</v>
      </c>
      <c r="BA441" s="126">
        <v>91.3</v>
      </c>
      <c r="BB441" s="174">
        <v>43084</v>
      </c>
      <c r="BC441" s="174">
        <v>43388</v>
      </c>
    </row>
    <row r="442" spans="1:55" s="44" customFormat="1" ht="45">
      <c r="A442" s="18" t="s">
        <v>288</v>
      </c>
      <c r="B442" s="18" t="s">
        <v>1312</v>
      </c>
      <c r="C442" s="23" t="s">
        <v>10</v>
      </c>
      <c r="D442" s="23" t="s">
        <v>10</v>
      </c>
      <c r="E442" s="23" t="s">
        <v>10</v>
      </c>
      <c r="F442" s="23" t="s">
        <v>11</v>
      </c>
      <c r="G442" s="18" t="s">
        <v>1280</v>
      </c>
      <c r="H442" s="19">
        <v>9.9749999999999996</v>
      </c>
      <c r="I442" s="37">
        <v>480</v>
      </c>
      <c r="J442" s="19">
        <v>97.5</v>
      </c>
      <c r="K442" s="21" t="s">
        <v>1219</v>
      </c>
      <c r="L442" s="49" t="s">
        <v>1281</v>
      </c>
      <c r="M442" s="38" t="s">
        <v>1133</v>
      </c>
      <c r="N442" s="174">
        <v>43511</v>
      </c>
      <c r="O442" s="38" t="s">
        <v>1281</v>
      </c>
      <c r="P442" s="38" t="s">
        <v>17</v>
      </c>
      <c r="Q442" s="38" t="s">
        <v>17</v>
      </c>
      <c r="R442" s="151" t="s">
        <v>1282</v>
      </c>
      <c r="S442" s="39" t="s">
        <v>11</v>
      </c>
      <c r="T442" s="39" t="s">
        <v>11</v>
      </c>
      <c r="U442" s="171">
        <v>8.3000000000000007</v>
      </c>
      <c r="V442" s="153"/>
      <c r="W442" s="153"/>
      <c r="X442" s="153">
        <v>450</v>
      </c>
      <c r="Y442" s="153">
        <v>750</v>
      </c>
      <c r="Z442" s="153">
        <v>850</v>
      </c>
      <c r="AA442" s="40">
        <v>0.99750000000000005</v>
      </c>
      <c r="AB442" s="40">
        <v>1.9950000000000001</v>
      </c>
      <c r="AC442" s="40">
        <v>2.9924999999999997</v>
      </c>
      <c r="AD442" s="40">
        <v>4.9874999999999998</v>
      </c>
      <c r="AE442" s="40">
        <v>7.4812499999999993</v>
      </c>
      <c r="AF442" s="40">
        <v>9.9749999999999996</v>
      </c>
      <c r="AG442" s="40">
        <v>94.115714285714276</v>
      </c>
      <c r="AH442" s="40">
        <v>96.777142857142849</v>
      </c>
      <c r="AI442" s="40">
        <v>97.342857142857142</v>
      </c>
      <c r="AJ442" s="40">
        <v>97.727142857142866</v>
      </c>
      <c r="AK442" s="40">
        <v>97.695714285714303</v>
      </c>
      <c r="AL442" s="40">
        <v>97.517142857142858</v>
      </c>
      <c r="AM442" s="40">
        <v>97.4619142857143</v>
      </c>
      <c r="AN442" s="40">
        <v>94.11</v>
      </c>
      <c r="AO442" s="40">
        <v>96.84571428571428</v>
      </c>
      <c r="AP442" s="40">
        <v>97.644285714285701</v>
      </c>
      <c r="AQ442" s="40">
        <v>98.161428571428573</v>
      </c>
      <c r="AR442" s="40">
        <v>98.220000000000013</v>
      </c>
      <c r="AS442" s="40">
        <v>98.139999999999986</v>
      </c>
      <c r="AT442" s="40">
        <v>97.901500000000013</v>
      </c>
      <c r="AU442" s="40">
        <v>93.187142857142859</v>
      </c>
      <c r="AV442" s="40">
        <v>96.460000000000008</v>
      </c>
      <c r="AW442" s="40">
        <v>97.455714285714294</v>
      </c>
      <c r="AX442" s="40">
        <v>98.102857142857147</v>
      </c>
      <c r="AY442" s="40">
        <v>98.238571428571433</v>
      </c>
      <c r="AZ442" s="40">
        <v>98.200000000000017</v>
      </c>
      <c r="BA442" s="40">
        <v>97.823214285714286</v>
      </c>
      <c r="BB442" s="178">
        <v>43511</v>
      </c>
      <c r="BC442" s="178"/>
    </row>
    <row r="443" spans="1:55" s="44" customFormat="1" ht="45">
      <c r="A443" s="18" t="s">
        <v>288</v>
      </c>
      <c r="B443" s="18" t="s">
        <v>992</v>
      </c>
      <c r="C443" s="23" t="s">
        <v>10</v>
      </c>
      <c r="D443" s="23" t="s">
        <v>10</v>
      </c>
      <c r="E443" s="23" t="s">
        <v>10</v>
      </c>
      <c r="F443" s="23" t="s">
        <v>11</v>
      </c>
      <c r="G443" s="18" t="s">
        <v>1445</v>
      </c>
      <c r="H443" s="19">
        <v>4.9850000000000003</v>
      </c>
      <c r="I443" s="37">
        <v>240</v>
      </c>
      <c r="J443" s="19">
        <v>94</v>
      </c>
      <c r="K443" s="21" t="s">
        <v>1219</v>
      </c>
      <c r="L443" s="49" t="s">
        <v>746</v>
      </c>
      <c r="M443" s="38" t="s">
        <v>747</v>
      </c>
      <c r="N443" s="174">
        <v>43557</v>
      </c>
      <c r="O443" s="49" t="s">
        <v>746</v>
      </c>
      <c r="P443" s="23" t="s">
        <v>17</v>
      </c>
      <c r="Q443" s="23" t="s">
        <v>17</v>
      </c>
      <c r="R443" s="151"/>
      <c r="S443" s="39" t="s">
        <v>10</v>
      </c>
      <c r="T443" s="39" t="s">
        <v>11</v>
      </c>
      <c r="U443" s="153">
        <v>24.85</v>
      </c>
      <c r="V443" s="153"/>
      <c r="W443" s="153"/>
      <c r="X443" s="153">
        <v>250</v>
      </c>
      <c r="Y443" s="153">
        <v>420</v>
      </c>
      <c r="Z443" s="153">
        <v>550</v>
      </c>
      <c r="AA443" s="40">
        <v>0.5</v>
      </c>
      <c r="AB443" s="40">
        <v>1</v>
      </c>
      <c r="AC443" s="40">
        <v>1.5</v>
      </c>
      <c r="AD443" s="40">
        <v>2.5</v>
      </c>
      <c r="AE443" s="40">
        <v>3.75</v>
      </c>
      <c r="AF443" s="40">
        <v>5</v>
      </c>
      <c r="AG443" s="40">
        <v>85.911187999999996</v>
      </c>
      <c r="AH443" s="40">
        <v>91.878574</v>
      </c>
      <c r="AI443" s="40">
        <v>93.403974000000005</v>
      </c>
      <c r="AJ443" s="40">
        <v>94.205962</v>
      </c>
      <c r="AK443" s="40">
        <v>94.083302000000003</v>
      </c>
      <c r="AL443" s="40">
        <v>93.775123999999991</v>
      </c>
      <c r="AM443" s="40">
        <v>93.575011380000007</v>
      </c>
      <c r="AN443" s="40">
        <v>87.041831999999999</v>
      </c>
      <c r="AO443" s="40">
        <v>92.430833999999976</v>
      </c>
      <c r="AP443" s="40">
        <v>94.191839999999999</v>
      </c>
      <c r="AQ443" s="40">
        <v>94.897618000000008</v>
      </c>
      <c r="AR443" s="40">
        <v>95.095255999999992</v>
      </c>
      <c r="AS443" s="40">
        <v>94.894152000000005</v>
      </c>
      <c r="AT443" s="40">
        <v>94.479928839999985</v>
      </c>
      <c r="AU443" s="40">
        <v>85.362352000000001</v>
      </c>
      <c r="AV443" s="40">
        <v>91.925973999999997</v>
      </c>
      <c r="AW443" s="40">
        <v>93.509060000000005</v>
      </c>
      <c r="AX443" s="40">
        <v>94.477918000000003</v>
      </c>
      <c r="AY443" s="40">
        <v>94.741786000000005</v>
      </c>
      <c r="AZ443" s="40">
        <v>94.617313999999993</v>
      </c>
      <c r="BA443" s="40">
        <v>94.016255040000004</v>
      </c>
      <c r="BB443" s="174">
        <v>43360</v>
      </c>
      <c r="BC443" s="178">
        <v>43557</v>
      </c>
    </row>
    <row r="444" spans="1:55" s="44" customFormat="1" ht="45">
      <c r="A444" s="18" t="s">
        <v>288</v>
      </c>
      <c r="B444" s="18" t="s">
        <v>989</v>
      </c>
      <c r="C444" s="23" t="s">
        <v>10</v>
      </c>
      <c r="D444" s="23" t="s">
        <v>10</v>
      </c>
      <c r="E444" s="23" t="s">
        <v>10</v>
      </c>
      <c r="F444" s="23" t="s">
        <v>11</v>
      </c>
      <c r="G444" s="18" t="s">
        <v>291</v>
      </c>
      <c r="H444" s="125">
        <v>2.96</v>
      </c>
      <c r="I444" s="127">
        <v>120</v>
      </c>
      <c r="J444" s="125">
        <v>90.5</v>
      </c>
      <c r="K444" s="21" t="s">
        <v>1217</v>
      </c>
      <c r="L444" s="49" t="s">
        <v>449</v>
      </c>
      <c r="M444" s="23" t="s">
        <v>450</v>
      </c>
      <c r="N444" s="174">
        <v>43388</v>
      </c>
      <c r="O444" s="49" t="s">
        <v>449</v>
      </c>
      <c r="P444" s="23" t="s">
        <v>17</v>
      </c>
      <c r="Q444" s="23" t="s">
        <v>17</v>
      </c>
      <c r="R444" s="151"/>
      <c r="S444" s="23" t="s">
        <v>10</v>
      </c>
      <c r="T444" s="23" t="s">
        <v>11</v>
      </c>
      <c r="U444" s="125">
        <v>0</v>
      </c>
      <c r="V444" s="135"/>
      <c r="W444" s="135"/>
      <c r="X444" s="19">
        <v>22</v>
      </c>
      <c r="Y444" s="19">
        <v>24</v>
      </c>
      <c r="Z444" s="19">
        <v>28</v>
      </c>
      <c r="AA444" s="40">
        <v>0.3</v>
      </c>
      <c r="AB444" s="40">
        <v>0.59</v>
      </c>
      <c r="AC444" s="40">
        <v>0.89</v>
      </c>
      <c r="AD444" s="40">
        <v>1.48</v>
      </c>
      <c r="AE444" s="40">
        <v>2.2200000000000002</v>
      </c>
      <c r="AF444" s="40">
        <v>2.96</v>
      </c>
      <c r="AG444" s="40">
        <v>88.3</v>
      </c>
      <c r="AH444" s="40">
        <v>91.9</v>
      </c>
      <c r="AI444" s="40">
        <v>92.9</v>
      </c>
      <c r="AJ444" s="40">
        <v>93</v>
      </c>
      <c r="AK444" s="40">
        <v>91.3</v>
      </c>
      <c r="AL444" s="40">
        <v>88.7</v>
      </c>
      <c r="AM444" s="40">
        <v>91.6</v>
      </c>
      <c r="AN444" s="40">
        <v>87.2</v>
      </c>
      <c r="AO444" s="40">
        <v>90.8</v>
      </c>
      <c r="AP444" s="40">
        <v>92.1</v>
      </c>
      <c r="AQ444" s="40">
        <v>92.1</v>
      </c>
      <c r="AR444" s="40">
        <v>91</v>
      </c>
      <c r="AS444" s="40">
        <v>88.6</v>
      </c>
      <c r="AT444" s="40">
        <v>91.1</v>
      </c>
      <c r="AU444" s="40">
        <v>83.7</v>
      </c>
      <c r="AV444" s="40">
        <v>87.1</v>
      </c>
      <c r="AW444" s="40">
        <v>89.1</v>
      </c>
      <c r="AX444" s="40">
        <v>90.6</v>
      </c>
      <c r="AY444" s="40">
        <v>90</v>
      </c>
      <c r="AZ444" s="40">
        <v>87.8</v>
      </c>
      <c r="BA444" s="40">
        <v>89.5</v>
      </c>
      <c r="BB444" s="174">
        <v>43084</v>
      </c>
      <c r="BC444" s="174">
        <v>43388</v>
      </c>
    </row>
    <row r="445" spans="1:55" s="44" customFormat="1" ht="45">
      <c r="A445" s="18" t="s">
        <v>288</v>
      </c>
      <c r="B445" s="18" t="s">
        <v>990</v>
      </c>
      <c r="C445" s="23" t="s">
        <v>10</v>
      </c>
      <c r="D445" s="23" t="s">
        <v>10</v>
      </c>
      <c r="E445" s="23" t="s">
        <v>10</v>
      </c>
      <c r="F445" s="23" t="s">
        <v>11</v>
      </c>
      <c r="G445" s="18" t="s">
        <v>289</v>
      </c>
      <c r="H445" s="125">
        <v>3.0369999999999999</v>
      </c>
      <c r="I445" s="127">
        <v>120</v>
      </c>
      <c r="J445" s="125">
        <v>91</v>
      </c>
      <c r="K445" s="21" t="s">
        <v>1217</v>
      </c>
      <c r="L445" s="49" t="s">
        <v>449</v>
      </c>
      <c r="M445" s="23" t="s">
        <v>450</v>
      </c>
      <c r="N445" s="174">
        <v>43388</v>
      </c>
      <c r="O445" s="49" t="s">
        <v>449</v>
      </c>
      <c r="P445" s="23" t="s">
        <v>17</v>
      </c>
      <c r="Q445" s="23" t="s">
        <v>17</v>
      </c>
      <c r="R445" s="151"/>
      <c r="S445" s="23" t="s">
        <v>10</v>
      </c>
      <c r="T445" s="23" t="s">
        <v>11</v>
      </c>
      <c r="U445" s="125">
        <v>0</v>
      </c>
      <c r="V445" s="135"/>
      <c r="W445" s="135"/>
      <c r="X445" s="135">
        <v>40</v>
      </c>
      <c r="Y445" s="135">
        <v>51.2</v>
      </c>
      <c r="Z445" s="135">
        <v>60</v>
      </c>
      <c r="AA445" s="126">
        <v>0.3</v>
      </c>
      <c r="AB445" s="126">
        <v>0.61</v>
      </c>
      <c r="AC445" s="126">
        <v>0.91</v>
      </c>
      <c r="AD445" s="126">
        <v>1.52</v>
      </c>
      <c r="AE445" s="126">
        <v>2.2799999999999998</v>
      </c>
      <c r="AF445" s="126">
        <v>3.04</v>
      </c>
      <c r="AG445" s="126">
        <v>88</v>
      </c>
      <c r="AH445" s="126">
        <v>92.2</v>
      </c>
      <c r="AI445" s="126">
        <v>93.5</v>
      </c>
      <c r="AJ445" s="126">
        <v>94</v>
      </c>
      <c r="AK445" s="126">
        <v>93</v>
      </c>
      <c r="AL445" s="126">
        <v>91.2</v>
      </c>
      <c r="AM445" s="126">
        <v>92.9</v>
      </c>
      <c r="AN445" s="126">
        <v>82.2</v>
      </c>
      <c r="AO445" s="126">
        <v>88.5</v>
      </c>
      <c r="AP445" s="126">
        <v>90.7</v>
      </c>
      <c r="AQ445" s="126">
        <v>91.8</v>
      </c>
      <c r="AR445" s="126">
        <v>91.6</v>
      </c>
      <c r="AS445" s="126">
        <v>89.7</v>
      </c>
      <c r="AT445" s="126">
        <v>90.9</v>
      </c>
      <c r="AU445" s="126">
        <v>80.3</v>
      </c>
      <c r="AV445" s="126">
        <v>86.1</v>
      </c>
      <c r="AW445" s="126">
        <v>87.9</v>
      </c>
      <c r="AX445" s="126">
        <v>90.3</v>
      </c>
      <c r="AY445" s="126">
        <v>90.4</v>
      </c>
      <c r="AZ445" s="126">
        <v>88.3</v>
      </c>
      <c r="BA445" s="126">
        <v>89.4</v>
      </c>
      <c r="BB445" s="174">
        <v>43084</v>
      </c>
      <c r="BC445" s="174">
        <v>43388</v>
      </c>
    </row>
    <row r="446" spans="1:55" s="44" customFormat="1" ht="45">
      <c r="A446" s="18" t="s">
        <v>4</v>
      </c>
      <c r="B446" s="18" t="s">
        <v>998</v>
      </c>
      <c r="C446" s="23" t="s">
        <v>10</v>
      </c>
      <c r="D446" s="23" t="s">
        <v>10</v>
      </c>
      <c r="E446" s="23" t="s">
        <v>10</v>
      </c>
      <c r="F446" s="23" t="s">
        <v>11</v>
      </c>
      <c r="G446" s="18" t="s">
        <v>299</v>
      </c>
      <c r="H446" s="125">
        <v>11.186999999999999</v>
      </c>
      <c r="I446" s="127">
        <v>208</v>
      </c>
      <c r="J446" s="125">
        <v>97.5</v>
      </c>
      <c r="K446" s="21" t="s">
        <v>1217</v>
      </c>
      <c r="L446" s="49" t="s">
        <v>451</v>
      </c>
      <c r="M446" s="23" t="s">
        <v>452</v>
      </c>
      <c r="N446" s="174">
        <v>43388</v>
      </c>
      <c r="O446" s="49" t="s">
        <v>451</v>
      </c>
      <c r="P446" s="23" t="s">
        <v>17</v>
      </c>
      <c r="Q446" s="23" t="s">
        <v>17</v>
      </c>
      <c r="R446" s="151"/>
      <c r="S446" s="23" t="s">
        <v>10</v>
      </c>
      <c r="T446" s="23" t="s">
        <v>11</v>
      </c>
      <c r="U446" s="125">
        <v>0.13</v>
      </c>
      <c r="V446" s="135"/>
      <c r="W446" s="135"/>
      <c r="X446" s="135">
        <v>390</v>
      </c>
      <c r="Y446" s="135">
        <v>400</v>
      </c>
      <c r="Z446" s="135">
        <v>420</v>
      </c>
      <c r="AA446" s="126">
        <v>1.1200000000000001</v>
      </c>
      <c r="AB446" s="126">
        <v>2.2400000000000002</v>
      </c>
      <c r="AC446" s="126">
        <v>3.36</v>
      </c>
      <c r="AD446" s="126">
        <v>5.59</v>
      </c>
      <c r="AE446" s="126">
        <v>8.39</v>
      </c>
      <c r="AF446" s="126">
        <v>11.19</v>
      </c>
      <c r="AG446" s="126">
        <v>97.2</v>
      </c>
      <c r="AH446" s="126">
        <v>97.4</v>
      </c>
      <c r="AI446" s="126">
        <v>97.6</v>
      </c>
      <c r="AJ446" s="126">
        <v>97.6</v>
      </c>
      <c r="AK446" s="126">
        <v>97.4</v>
      </c>
      <c r="AL446" s="126">
        <v>97.1</v>
      </c>
      <c r="AM446" s="126">
        <v>97.5</v>
      </c>
      <c r="AN446" s="126">
        <v>97</v>
      </c>
      <c r="AO446" s="126">
        <v>97.3</v>
      </c>
      <c r="AP446" s="126">
        <v>97.7</v>
      </c>
      <c r="AQ446" s="126">
        <v>97.5</v>
      </c>
      <c r="AR446" s="126">
        <v>97.3</v>
      </c>
      <c r="AS446" s="126">
        <v>96.9</v>
      </c>
      <c r="AT446" s="126">
        <v>97.3</v>
      </c>
      <c r="AU446" s="126">
        <v>95.8</v>
      </c>
      <c r="AV446" s="126">
        <v>97.2</v>
      </c>
      <c r="AW446" s="126">
        <v>97.3</v>
      </c>
      <c r="AX446" s="126">
        <v>97.4</v>
      </c>
      <c r="AY446" s="126">
        <v>97.1</v>
      </c>
      <c r="AZ446" s="126">
        <v>96.9</v>
      </c>
      <c r="BA446" s="126">
        <v>97.1</v>
      </c>
      <c r="BB446" s="174">
        <v>43084</v>
      </c>
      <c r="BC446" s="174">
        <v>43388</v>
      </c>
    </row>
    <row r="447" spans="1:55" s="44" customFormat="1" ht="45">
      <c r="A447" s="140" t="s">
        <v>4</v>
      </c>
      <c r="B447" s="18" t="s">
        <v>997</v>
      </c>
      <c r="C447" s="23" t="s">
        <v>10</v>
      </c>
      <c r="D447" s="23" t="s">
        <v>10</v>
      </c>
      <c r="E447" s="23" t="s">
        <v>10</v>
      </c>
      <c r="F447" s="23" t="s">
        <v>11</v>
      </c>
      <c r="G447" s="147" t="s">
        <v>299</v>
      </c>
      <c r="H447" s="19">
        <v>11.18</v>
      </c>
      <c r="I447" s="19">
        <v>208</v>
      </c>
      <c r="J447" s="19">
        <v>97.5</v>
      </c>
      <c r="K447" s="21" t="s">
        <v>1217</v>
      </c>
      <c r="L447" s="49" t="s">
        <v>451</v>
      </c>
      <c r="M447" s="21" t="s">
        <v>452</v>
      </c>
      <c r="N447" s="174">
        <v>43388</v>
      </c>
      <c r="O447" s="49" t="s">
        <v>451</v>
      </c>
      <c r="P447" s="23" t="s">
        <v>17</v>
      </c>
      <c r="Q447" s="23" t="s">
        <v>17</v>
      </c>
      <c r="R447" s="150"/>
      <c r="S447" s="20" t="s">
        <v>11</v>
      </c>
      <c r="T447" s="20" t="s">
        <v>11</v>
      </c>
      <c r="U447" s="19">
        <v>0.13</v>
      </c>
      <c r="V447" s="19"/>
      <c r="W447" s="19"/>
      <c r="X447" s="19">
        <v>390</v>
      </c>
      <c r="Y447" s="19">
        <v>400</v>
      </c>
      <c r="Z447" s="19">
        <v>420</v>
      </c>
      <c r="AA447" s="40">
        <v>1.1200000000000001</v>
      </c>
      <c r="AB447" s="40">
        <v>2.2400000000000002</v>
      </c>
      <c r="AC447" s="40">
        <v>3.35</v>
      </c>
      <c r="AD447" s="40">
        <v>5.59</v>
      </c>
      <c r="AE447" s="40">
        <v>8.39</v>
      </c>
      <c r="AF447" s="40">
        <v>11.18</v>
      </c>
      <c r="AG447" s="40">
        <v>97.2</v>
      </c>
      <c r="AH447" s="40">
        <v>97.4</v>
      </c>
      <c r="AI447" s="40">
        <v>97.6</v>
      </c>
      <c r="AJ447" s="40">
        <v>97.6</v>
      </c>
      <c r="AK447" s="40">
        <v>97.4</v>
      </c>
      <c r="AL447" s="40">
        <v>97.1</v>
      </c>
      <c r="AM447" s="40">
        <v>97.5</v>
      </c>
      <c r="AN447" s="40">
        <v>97</v>
      </c>
      <c r="AO447" s="40">
        <v>97.3</v>
      </c>
      <c r="AP447" s="40">
        <v>97.7</v>
      </c>
      <c r="AQ447" s="40">
        <v>97.5</v>
      </c>
      <c r="AR447" s="40">
        <v>97.3</v>
      </c>
      <c r="AS447" s="40">
        <v>96.9</v>
      </c>
      <c r="AT447" s="40">
        <v>97.3</v>
      </c>
      <c r="AU447" s="40">
        <v>95.8</v>
      </c>
      <c r="AV447" s="40">
        <v>97.2</v>
      </c>
      <c r="AW447" s="40">
        <v>97.3</v>
      </c>
      <c r="AX447" s="40">
        <v>97.4</v>
      </c>
      <c r="AY447" s="40">
        <v>97.1</v>
      </c>
      <c r="AZ447" s="40">
        <v>96.9</v>
      </c>
      <c r="BA447" s="40">
        <v>97.1</v>
      </c>
      <c r="BB447" s="174">
        <v>43192</v>
      </c>
      <c r="BC447" s="174">
        <v>43388</v>
      </c>
    </row>
    <row r="448" spans="1:55" s="44" customFormat="1" ht="45">
      <c r="A448" s="18" t="s">
        <v>4</v>
      </c>
      <c r="B448" s="18" t="s">
        <v>995</v>
      </c>
      <c r="C448" s="23" t="s">
        <v>10</v>
      </c>
      <c r="D448" s="23" t="s">
        <v>10</v>
      </c>
      <c r="E448" s="23" t="s">
        <v>10</v>
      </c>
      <c r="F448" s="23" t="s">
        <v>11</v>
      </c>
      <c r="G448" s="18" t="s">
        <v>225</v>
      </c>
      <c r="H448" s="125">
        <v>7.5869999999999997</v>
      </c>
      <c r="I448" s="127">
        <v>240</v>
      </c>
      <c r="J448" s="125">
        <v>96.5</v>
      </c>
      <c r="K448" s="21" t="s">
        <v>1217</v>
      </c>
      <c r="L448" s="49" t="s">
        <v>451</v>
      </c>
      <c r="M448" s="23" t="s">
        <v>452</v>
      </c>
      <c r="N448" s="174">
        <v>43388</v>
      </c>
      <c r="O448" s="49" t="s">
        <v>451</v>
      </c>
      <c r="P448" s="23" t="s">
        <v>17</v>
      </c>
      <c r="Q448" s="23" t="s">
        <v>17</v>
      </c>
      <c r="R448" s="151"/>
      <c r="S448" s="23" t="s">
        <v>10</v>
      </c>
      <c r="T448" s="23" t="s">
        <v>11</v>
      </c>
      <c r="U448" s="125">
        <v>1.29</v>
      </c>
      <c r="V448" s="135"/>
      <c r="W448" s="135"/>
      <c r="X448" s="135">
        <v>390</v>
      </c>
      <c r="Y448" s="135">
        <v>400</v>
      </c>
      <c r="Z448" s="135">
        <v>420</v>
      </c>
      <c r="AA448" s="126">
        <v>0.76</v>
      </c>
      <c r="AB448" s="126">
        <v>1.52</v>
      </c>
      <c r="AC448" s="126">
        <v>2.2799999999999998</v>
      </c>
      <c r="AD448" s="126">
        <v>3.79</v>
      </c>
      <c r="AE448" s="126">
        <v>5.69</v>
      </c>
      <c r="AF448" s="126">
        <v>7.59</v>
      </c>
      <c r="AG448" s="126">
        <v>91.7</v>
      </c>
      <c r="AH448" s="126">
        <v>95.9</v>
      </c>
      <c r="AI448" s="126">
        <v>96.6</v>
      </c>
      <c r="AJ448" s="126">
        <v>97.3</v>
      </c>
      <c r="AK448" s="126">
        <v>97.2</v>
      </c>
      <c r="AL448" s="126">
        <v>97</v>
      </c>
      <c r="AM448" s="126">
        <v>96.9</v>
      </c>
      <c r="AN448" s="126">
        <v>91</v>
      </c>
      <c r="AO448" s="126">
        <v>95.4</v>
      </c>
      <c r="AP448" s="126">
        <v>96.5</v>
      </c>
      <c r="AQ448" s="126">
        <v>97.3</v>
      </c>
      <c r="AR448" s="126">
        <v>97.1</v>
      </c>
      <c r="AS448" s="126">
        <v>97</v>
      </c>
      <c r="AT448" s="126">
        <v>96.8</v>
      </c>
      <c r="AU448" s="126">
        <v>90.5</v>
      </c>
      <c r="AV448" s="126">
        <v>95.2</v>
      </c>
      <c r="AW448" s="126">
        <v>96.3</v>
      </c>
      <c r="AX448" s="126">
        <v>96.9</v>
      </c>
      <c r="AY448" s="126">
        <v>97</v>
      </c>
      <c r="AZ448" s="126">
        <v>96.9</v>
      </c>
      <c r="BA448" s="126">
        <v>96.5</v>
      </c>
      <c r="BB448" s="174">
        <v>43084</v>
      </c>
      <c r="BC448" s="174">
        <v>43388</v>
      </c>
    </row>
    <row r="449" spans="1:55" s="44" customFormat="1" ht="45">
      <c r="A449" s="18" t="s">
        <v>4</v>
      </c>
      <c r="B449" s="18" t="s">
        <v>996</v>
      </c>
      <c r="C449" s="23" t="s">
        <v>10</v>
      </c>
      <c r="D449" s="23" t="s">
        <v>10</v>
      </c>
      <c r="E449" s="23" t="s">
        <v>10</v>
      </c>
      <c r="F449" s="23" t="s">
        <v>11</v>
      </c>
      <c r="G449" s="18" t="s">
        <v>225</v>
      </c>
      <c r="H449" s="125">
        <v>7.5869999999999997</v>
      </c>
      <c r="I449" s="127">
        <v>240</v>
      </c>
      <c r="J449" s="125">
        <v>96.5</v>
      </c>
      <c r="K449" s="21" t="s">
        <v>1217</v>
      </c>
      <c r="L449" s="49" t="s">
        <v>451</v>
      </c>
      <c r="M449" s="23" t="s">
        <v>452</v>
      </c>
      <c r="N449" s="174">
        <v>43388</v>
      </c>
      <c r="O449" s="49" t="s">
        <v>451</v>
      </c>
      <c r="P449" s="23" t="s">
        <v>17</v>
      </c>
      <c r="Q449" s="23" t="s">
        <v>17</v>
      </c>
      <c r="R449" s="151"/>
      <c r="S449" s="23" t="s">
        <v>10</v>
      </c>
      <c r="T449" s="23" t="s">
        <v>11</v>
      </c>
      <c r="U449" s="125">
        <v>1.29</v>
      </c>
      <c r="V449" s="135"/>
      <c r="W449" s="135"/>
      <c r="X449" s="135">
        <v>390</v>
      </c>
      <c r="Y449" s="135">
        <v>400</v>
      </c>
      <c r="Z449" s="135">
        <v>420</v>
      </c>
      <c r="AA449" s="126">
        <v>0.76</v>
      </c>
      <c r="AB449" s="126">
        <v>1.52</v>
      </c>
      <c r="AC449" s="126">
        <v>2.2799999999999998</v>
      </c>
      <c r="AD449" s="126">
        <v>3.79</v>
      </c>
      <c r="AE449" s="126">
        <v>5.69</v>
      </c>
      <c r="AF449" s="126">
        <v>7.59</v>
      </c>
      <c r="AG449" s="126">
        <v>91.7</v>
      </c>
      <c r="AH449" s="126">
        <v>95.9</v>
      </c>
      <c r="AI449" s="126">
        <v>96.6</v>
      </c>
      <c r="AJ449" s="126">
        <v>97.3</v>
      </c>
      <c r="AK449" s="126">
        <v>97.2</v>
      </c>
      <c r="AL449" s="126">
        <v>97</v>
      </c>
      <c r="AM449" s="126">
        <v>96.9</v>
      </c>
      <c r="AN449" s="126">
        <v>91</v>
      </c>
      <c r="AO449" s="126">
        <v>95.4</v>
      </c>
      <c r="AP449" s="126">
        <v>96.5</v>
      </c>
      <c r="AQ449" s="126">
        <v>97.3</v>
      </c>
      <c r="AR449" s="126">
        <v>97.1</v>
      </c>
      <c r="AS449" s="126">
        <v>97</v>
      </c>
      <c r="AT449" s="126">
        <v>96.8</v>
      </c>
      <c r="AU449" s="126">
        <v>90.5</v>
      </c>
      <c r="AV449" s="126">
        <v>95.2</v>
      </c>
      <c r="AW449" s="126">
        <v>96.3</v>
      </c>
      <c r="AX449" s="126">
        <v>96.9</v>
      </c>
      <c r="AY449" s="126">
        <v>97</v>
      </c>
      <c r="AZ449" s="126">
        <v>96.9</v>
      </c>
      <c r="BA449" s="126">
        <v>96.5</v>
      </c>
      <c r="BB449" s="174">
        <v>43084</v>
      </c>
      <c r="BC449" s="174">
        <v>43388</v>
      </c>
    </row>
    <row r="450" spans="1:55" s="44" customFormat="1" ht="45">
      <c r="A450" s="140" t="s">
        <v>4</v>
      </c>
      <c r="B450" s="18" t="s">
        <v>994</v>
      </c>
      <c r="C450" s="23" t="s">
        <v>10</v>
      </c>
      <c r="D450" s="23" t="s">
        <v>10</v>
      </c>
      <c r="E450" s="23" t="s">
        <v>10</v>
      </c>
      <c r="F450" s="23" t="s">
        <v>11</v>
      </c>
      <c r="G450" s="147" t="s">
        <v>225</v>
      </c>
      <c r="H450" s="19">
        <v>7.585</v>
      </c>
      <c r="I450" s="19">
        <v>240</v>
      </c>
      <c r="J450" s="19">
        <v>96.5</v>
      </c>
      <c r="K450" s="21" t="s">
        <v>1217</v>
      </c>
      <c r="L450" s="49" t="s">
        <v>451</v>
      </c>
      <c r="M450" s="21" t="s">
        <v>452</v>
      </c>
      <c r="N450" s="174">
        <v>43388</v>
      </c>
      <c r="O450" s="49" t="s">
        <v>451</v>
      </c>
      <c r="P450" s="23" t="s">
        <v>17</v>
      </c>
      <c r="Q450" s="23" t="s">
        <v>17</v>
      </c>
      <c r="R450" s="150"/>
      <c r="S450" s="20" t="s">
        <v>11</v>
      </c>
      <c r="T450" s="20" t="s">
        <v>11</v>
      </c>
      <c r="U450" s="19">
        <v>1.29</v>
      </c>
      <c r="V450" s="19"/>
      <c r="W450" s="19"/>
      <c r="X450" s="19">
        <v>390</v>
      </c>
      <c r="Y450" s="19">
        <v>400</v>
      </c>
      <c r="Z450" s="19">
        <v>420</v>
      </c>
      <c r="AA450" s="40">
        <v>0.76</v>
      </c>
      <c r="AB450" s="40">
        <v>1.52</v>
      </c>
      <c r="AC450" s="40">
        <v>2.2799999999999998</v>
      </c>
      <c r="AD450" s="40">
        <v>3.79</v>
      </c>
      <c r="AE450" s="40">
        <v>5.69</v>
      </c>
      <c r="AF450" s="40">
        <v>7.59</v>
      </c>
      <c r="AG450" s="40">
        <v>91.7</v>
      </c>
      <c r="AH450" s="40">
        <v>95.9</v>
      </c>
      <c r="AI450" s="40">
        <v>96.6</v>
      </c>
      <c r="AJ450" s="40">
        <v>97.3</v>
      </c>
      <c r="AK450" s="40">
        <v>97.2</v>
      </c>
      <c r="AL450" s="40">
        <v>97</v>
      </c>
      <c r="AM450" s="40">
        <v>96.9</v>
      </c>
      <c r="AN450" s="40">
        <v>91</v>
      </c>
      <c r="AO450" s="40">
        <v>95.4</v>
      </c>
      <c r="AP450" s="40">
        <v>96.5</v>
      </c>
      <c r="AQ450" s="40">
        <v>97.3</v>
      </c>
      <c r="AR450" s="40">
        <v>97.1</v>
      </c>
      <c r="AS450" s="40">
        <v>97</v>
      </c>
      <c r="AT450" s="40">
        <v>96.8</v>
      </c>
      <c r="AU450" s="40">
        <v>90.5</v>
      </c>
      <c r="AV450" s="40">
        <v>95.2</v>
      </c>
      <c r="AW450" s="40">
        <v>96.3</v>
      </c>
      <c r="AX450" s="40">
        <v>96.9</v>
      </c>
      <c r="AY450" s="40">
        <v>97</v>
      </c>
      <c r="AZ450" s="40">
        <v>96.9</v>
      </c>
      <c r="BA450" s="40">
        <v>96.5</v>
      </c>
      <c r="BB450" s="174">
        <v>43192</v>
      </c>
      <c r="BC450" s="174">
        <v>43388</v>
      </c>
    </row>
    <row r="451" spans="1:55" s="44" customFormat="1" ht="60">
      <c r="A451" s="18" t="s">
        <v>5</v>
      </c>
      <c r="B451" s="18" t="s">
        <v>999</v>
      </c>
      <c r="C451" s="23" t="s">
        <v>10</v>
      </c>
      <c r="D451" s="23" t="s">
        <v>1125</v>
      </c>
      <c r="E451" s="23" t="s">
        <v>11</v>
      </c>
      <c r="F451" s="23" t="s">
        <v>11</v>
      </c>
      <c r="G451" s="18" t="s">
        <v>619</v>
      </c>
      <c r="H451" s="19">
        <v>1163.5</v>
      </c>
      <c r="I451" s="37">
        <v>565</v>
      </c>
      <c r="J451" s="19">
        <v>97</v>
      </c>
      <c r="K451" s="21" t="s">
        <v>1220</v>
      </c>
      <c r="L451" s="49" t="s">
        <v>584</v>
      </c>
      <c r="M451" s="38" t="s">
        <v>585</v>
      </c>
      <c r="N451" s="174">
        <v>43388</v>
      </c>
      <c r="O451" s="23" t="s">
        <v>17</v>
      </c>
      <c r="P451" s="23" t="s">
        <v>17</v>
      </c>
      <c r="Q451" s="23" t="s">
        <v>17</v>
      </c>
      <c r="R451" s="151" t="s">
        <v>620</v>
      </c>
      <c r="S451" s="39" t="s">
        <v>11</v>
      </c>
      <c r="T451" s="39" t="s">
        <v>11</v>
      </c>
      <c r="U451" s="153">
        <v>338.51</v>
      </c>
      <c r="V451" s="153"/>
      <c r="W451" s="153"/>
      <c r="X451" s="153">
        <v>800</v>
      </c>
      <c r="Y451" s="153">
        <v>900</v>
      </c>
      <c r="Z451" s="153">
        <v>1200</v>
      </c>
      <c r="AA451" s="40">
        <v>116</v>
      </c>
      <c r="AB451" s="40">
        <v>233</v>
      </c>
      <c r="AC451" s="40">
        <v>349</v>
      </c>
      <c r="AD451" s="40">
        <v>582</v>
      </c>
      <c r="AE451" s="40">
        <v>873</v>
      </c>
      <c r="AF451" s="40">
        <v>1164</v>
      </c>
      <c r="AG451" s="40">
        <v>93</v>
      </c>
      <c r="AH451" s="40">
        <v>96.2</v>
      </c>
      <c r="AI451" s="40">
        <v>96.7</v>
      </c>
      <c r="AJ451" s="40">
        <v>97.5</v>
      </c>
      <c r="AK451" s="40">
        <v>97.6</v>
      </c>
      <c r="AL451" s="40">
        <v>97.5</v>
      </c>
      <c r="AM451" s="40">
        <v>97.2</v>
      </c>
      <c r="AN451" s="40">
        <v>93</v>
      </c>
      <c r="AO451" s="40">
        <v>96.1</v>
      </c>
      <c r="AP451" s="40">
        <v>96.7</v>
      </c>
      <c r="AQ451" s="40">
        <v>97.4</v>
      </c>
      <c r="AR451" s="40">
        <v>97.5</v>
      </c>
      <c r="AS451" s="40">
        <v>97.3</v>
      </c>
      <c r="AT451" s="40">
        <v>97.1</v>
      </c>
      <c r="AU451" s="40">
        <v>93.2</v>
      </c>
      <c r="AV451" s="40">
        <v>96.2</v>
      </c>
      <c r="AW451" s="40">
        <v>96.6</v>
      </c>
      <c r="AX451" s="40">
        <v>97.4</v>
      </c>
      <c r="AY451" s="40">
        <v>97.6</v>
      </c>
      <c r="AZ451" s="40">
        <v>97.3</v>
      </c>
      <c r="BA451" s="40">
        <v>97.2</v>
      </c>
      <c r="BB451" s="174">
        <v>43235</v>
      </c>
      <c r="BC451" s="174">
        <v>43388</v>
      </c>
    </row>
    <row r="452" spans="1:55" s="44" customFormat="1" ht="60">
      <c r="A452" s="18" t="s">
        <v>5</v>
      </c>
      <c r="B452" s="18" t="s">
        <v>1001</v>
      </c>
      <c r="C452" s="23" t="s">
        <v>10</v>
      </c>
      <c r="D452" s="23" t="s">
        <v>1125</v>
      </c>
      <c r="E452" s="23" t="s">
        <v>11</v>
      </c>
      <c r="F452" s="23" t="s">
        <v>11</v>
      </c>
      <c r="G452" s="18" t="s">
        <v>609</v>
      </c>
      <c r="H452" s="19">
        <v>1209.25</v>
      </c>
      <c r="I452" s="37">
        <v>600</v>
      </c>
      <c r="J452" s="19">
        <v>97</v>
      </c>
      <c r="K452" s="21" t="s">
        <v>1220</v>
      </c>
      <c r="L452" s="49" t="s">
        <v>584</v>
      </c>
      <c r="M452" s="38" t="s">
        <v>585</v>
      </c>
      <c r="N452" s="174">
        <v>43388</v>
      </c>
      <c r="O452" s="23" t="s">
        <v>17</v>
      </c>
      <c r="P452" s="23" t="s">
        <v>17</v>
      </c>
      <c r="Q452" s="23" t="s">
        <v>17</v>
      </c>
      <c r="R452" s="151" t="s">
        <v>610</v>
      </c>
      <c r="S452" s="39" t="s">
        <v>11</v>
      </c>
      <c r="T452" s="39" t="s">
        <v>11</v>
      </c>
      <c r="U452" s="153">
        <v>347.22</v>
      </c>
      <c r="V452" s="153"/>
      <c r="W452" s="153"/>
      <c r="X452" s="153">
        <v>849</v>
      </c>
      <c r="Y452" s="153">
        <v>940</v>
      </c>
      <c r="Z452" s="153">
        <v>1200</v>
      </c>
      <c r="AA452" s="40">
        <v>121</v>
      </c>
      <c r="AB452" s="40">
        <v>242</v>
      </c>
      <c r="AC452" s="40">
        <v>363</v>
      </c>
      <c r="AD452" s="40">
        <v>605</v>
      </c>
      <c r="AE452" s="40">
        <v>907</v>
      </c>
      <c r="AF452" s="40">
        <v>1209</v>
      </c>
      <c r="AG452" s="40">
        <v>93.1</v>
      </c>
      <c r="AH452" s="40">
        <v>96.2</v>
      </c>
      <c r="AI452" s="40">
        <v>96.8</v>
      </c>
      <c r="AJ452" s="40">
        <v>97.5</v>
      </c>
      <c r="AK452" s="40">
        <v>97.8</v>
      </c>
      <c r="AL452" s="40">
        <v>97.7</v>
      </c>
      <c r="AM452" s="40">
        <v>97.3</v>
      </c>
      <c r="AN452" s="40">
        <v>93.1</v>
      </c>
      <c r="AO452" s="40">
        <v>96.1</v>
      </c>
      <c r="AP452" s="40">
        <v>96.8</v>
      </c>
      <c r="AQ452" s="40">
        <v>97.5</v>
      </c>
      <c r="AR452" s="40">
        <v>97.6</v>
      </c>
      <c r="AS452" s="40">
        <v>97.6</v>
      </c>
      <c r="AT452" s="40">
        <v>97.2</v>
      </c>
      <c r="AU452" s="40">
        <v>93.2</v>
      </c>
      <c r="AV452" s="40">
        <v>96.2</v>
      </c>
      <c r="AW452" s="40">
        <v>96.7</v>
      </c>
      <c r="AX452" s="40">
        <v>97.5</v>
      </c>
      <c r="AY452" s="40">
        <v>97.7</v>
      </c>
      <c r="AZ452" s="40">
        <v>97.5</v>
      </c>
      <c r="BA452" s="40">
        <v>97.2</v>
      </c>
      <c r="BB452" s="174">
        <v>43235</v>
      </c>
      <c r="BC452" s="174">
        <v>43388</v>
      </c>
    </row>
    <row r="453" spans="1:55" s="44" customFormat="1" ht="60">
      <c r="A453" s="18" t="s">
        <v>5</v>
      </c>
      <c r="B453" s="18" t="s">
        <v>1000</v>
      </c>
      <c r="C453" s="23" t="s">
        <v>10</v>
      </c>
      <c r="D453" s="23" t="s">
        <v>1125</v>
      </c>
      <c r="E453" s="23" t="s">
        <v>11</v>
      </c>
      <c r="F453" s="23" t="s">
        <v>11</v>
      </c>
      <c r="G453" s="18" t="s">
        <v>629</v>
      </c>
      <c r="H453" s="19">
        <v>1176.44</v>
      </c>
      <c r="I453" s="37">
        <v>600</v>
      </c>
      <c r="J453" s="19">
        <v>98</v>
      </c>
      <c r="K453" s="21" t="s">
        <v>1220</v>
      </c>
      <c r="L453" s="49" t="s">
        <v>584</v>
      </c>
      <c r="M453" s="38" t="s">
        <v>585</v>
      </c>
      <c r="N453" s="174">
        <v>43388</v>
      </c>
      <c r="O453" s="23" t="s">
        <v>17</v>
      </c>
      <c r="P453" s="23" t="s">
        <v>17</v>
      </c>
      <c r="Q453" s="23" t="s">
        <v>17</v>
      </c>
      <c r="R453" s="151" t="s">
        <v>610</v>
      </c>
      <c r="S453" s="39" t="s">
        <v>11</v>
      </c>
      <c r="T453" s="39" t="s">
        <v>11</v>
      </c>
      <c r="U453" s="153">
        <v>358.91</v>
      </c>
      <c r="V453" s="153"/>
      <c r="W453" s="153"/>
      <c r="X453" s="153">
        <v>849</v>
      </c>
      <c r="Y453" s="153">
        <v>940</v>
      </c>
      <c r="Z453" s="153">
        <v>1200</v>
      </c>
      <c r="AA453" s="40">
        <v>118</v>
      </c>
      <c r="AB453" s="40">
        <v>235</v>
      </c>
      <c r="AC453" s="40">
        <v>353</v>
      </c>
      <c r="AD453" s="40">
        <v>588</v>
      </c>
      <c r="AE453" s="40">
        <v>882</v>
      </c>
      <c r="AF453" s="40">
        <v>1176</v>
      </c>
      <c r="AG453" s="40">
        <v>95.9</v>
      </c>
      <c r="AH453" s="40">
        <v>97.5</v>
      </c>
      <c r="AI453" s="40">
        <v>97.7</v>
      </c>
      <c r="AJ453" s="40">
        <v>98</v>
      </c>
      <c r="AK453" s="40">
        <v>98</v>
      </c>
      <c r="AL453" s="40">
        <v>98</v>
      </c>
      <c r="AM453" s="40">
        <v>97.9</v>
      </c>
      <c r="AN453" s="40">
        <v>95.8</v>
      </c>
      <c r="AO453" s="40">
        <v>97.4</v>
      </c>
      <c r="AP453" s="40">
        <v>97.7</v>
      </c>
      <c r="AQ453" s="40">
        <v>98</v>
      </c>
      <c r="AR453" s="40">
        <v>97.9</v>
      </c>
      <c r="AS453" s="40">
        <v>97.9</v>
      </c>
      <c r="AT453" s="40">
        <v>97.8</v>
      </c>
      <c r="AU453" s="40">
        <v>95.8</v>
      </c>
      <c r="AV453" s="40">
        <v>97.4</v>
      </c>
      <c r="AW453" s="40">
        <v>97.7</v>
      </c>
      <c r="AX453" s="40">
        <v>98</v>
      </c>
      <c r="AY453" s="40">
        <v>97.9</v>
      </c>
      <c r="AZ453" s="40">
        <v>97.9</v>
      </c>
      <c r="BA453" s="40">
        <v>97.8</v>
      </c>
      <c r="BB453" s="174">
        <v>43235</v>
      </c>
      <c r="BC453" s="174">
        <v>43388</v>
      </c>
    </row>
    <row r="454" spans="1:55" s="44" customFormat="1" ht="60">
      <c r="A454" s="18" t="s">
        <v>5</v>
      </c>
      <c r="B454" s="18" t="s">
        <v>1002</v>
      </c>
      <c r="C454" s="23" t="s">
        <v>10</v>
      </c>
      <c r="D454" s="23" t="s">
        <v>1125</v>
      </c>
      <c r="E454" s="23" t="s">
        <v>11</v>
      </c>
      <c r="F454" s="23" t="s">
        <v>11</v>
      </c>
      <c r="G454" s="18" t="s">
        <v>597</v>
      </c>
      <c r="H454" s="19">
        <v>1300.9000000000001</v>
      </c>
      <c r="I454" s="37">
        <v>645</v>
      </c>
      <c r="J454" s="19">
        <v>97.5</v>
      </c>
      <c r="K454" s="21" t="s">
        <v>1220</v>
      </c>
      <c r="L454" s="49" t="s">
        <v>584</v>
      </c>
      <c r="M454" s="38" t="s">
        <v>585</v>
      </c>
      <c r="N454" s="174">
        <v>43388</v>
      </c>
      <c r="O454" s="23" t="s">
        <v>17</v>
      </c>
      <c r="P454" s="23" t="s">
        <v>17</v>
      </c>
      <c r="Q454" s="23" t="s">
        <v>17</v>
      </c>
      <c r="R454" s="151" t="s">
        <v>598</v>
      </c>
      <c r="S454" s="39" t="s">
        <v>11</v>
      </c>
      <c r="T454" s="39" t="s">
        <v>11</v>
      </c>
      <c r="U454" s="153">
        <v>348.45</v>
      </c>
      <c r="V454" s="153"/>
      <c r="W454" s="153"/>
      <c r="X454" s="153">
        <v>913</v>
      </c>
      <c r="Y454" s="153">
        <v>980</v>
      </c>
      <c r="Z454" s="153">
        <v>1200</v>
      </c>
      <c r="AA454" s="40">
        <v>130</v>
      </c>
      <c r="AB454" s="40">
        <v>260</v>
      </c>
      <c r="AC454" s="40">
        <v>390</v>
      </c>
      <c r="AD454" s="40">
        <v>650</v>
      </c>
      <c r="AE454" s="40">
        <v>976</v>
      </c>
      <c r="AF454" s="40">
        <v>1301</v>
      </c>
      <c r="AG454" s="40">
        <v>93.5</v>
      </c>
      <c r="AH454" s="40">
        <v>96.5</v>
      </c>
      <c r="AI454" s="40">
        <v>97</v>
      </c>
      <c r="AJ454" s="40">
        <v>97.7</v>
      </c>
      <c r="AK454" s="40">
        <v>97.8</v>
      </c>
      <c r="AL454" s="40">
        <v>97.7</v>
      </c>
      <c r="AM454" s="40">
        <v>97.5</v>
      </c>
      <c r="AN454" s="40">
        <v>93.5</v>
      </c>
      <c r="AO454" s="40">
        <v>96.5</v>
      </c>
      <c r="AP454" s="40">
        <v>96.9</v>
      </c>
      <c r="AQ454" s="40">
        <v>97.6</v>
      </c>
      <c r="AR454" s="40">
        <v>97.7</v>
      </c>
      <c r="AS454" s="40">
        <v>97.6</v>
      </c>
      <c r="AT454" s="40">
        <v>97.4</v>
      </c>
      <c r="AU454" s="40">
        <v>93.5</v>
      </c>
      <c r="AV454" s="40">
        <v>96.5</v>
      </c>
      <c r="AW454" s="40">
        <v>96.9</v>
      </c>
      <c r="AX454" s="40">
        <v>97.6</v>
      </c>
      <c r="AY454" s="40">
        <v>97.8</v>
      </c>
      <c r="AZ454" s="40">
        <v>97.6</v>
      </c>
      <c r="BA454" s="40">
        <v>97.4</v>
      </c>
      <c r="BB454" s="174">
        <v>43235</v>
      </c>
      <c r="BC454" s="174">
        <v>43388</v>
      </c>
    </row>
    <row r="455" spans="1:55" s="44" customFormat="1" ht="60">
      <c r="A455" s="18" t="s">
        <v>5</v>
      </c>
      <c r="B455" s="18" t="s">
        <v>1003</v>
      </c>
      <c r="C455" s="23" t="s">
        <v>10</v>
      </c>
      <c r="D455" s="23" t="s">
        <v>1125</v>
      </c>
      <c r="E455" s="23" t="s">
        <v>11</v>
      </c>
      <c r="F455" s="23" t="s">
        <v>11</v>
      </c>
      <c r="G455" s="18" t="s">
        <v>583</v>
      </c>
      <c r="H455" s="19">
        <v>1389.08</v>
      </c>
      <c r="I455" s="37">
        <v>690</v>
      </c>
      <c r="J455" s="19">
        <v>97</v>
      </c>
      <c r="K455" s="21" t="s">
        <v>1220</v>
      </c>
      <c r="L455" s="49" t="s">
        <v>584</v>
      </c>
      <c r="M455" s="38" t="s">
        <v>585</v>
      </c>
      <c r="N455" s="174">
        <v>43388</v>
      </c>
      <c r="O455" s="23" t="s">
        <v>17</v>
      </c>
      <c r="P455" s="23" t="s">
        <v>17</v>
      </c>
      <c r="Q455" s="23" t="s">
        <v>17</v>
      </c>
      <c r="R455" s="151" t="s">
        <v>586</v>
      </c>
      <c r="S455" s="39" t="s">
        <v>11</v>
      </c>
      <c r="T455" s="39" t="s">
        <v>11</v>
      </c>
      <c r="U455" s="153">
        <v>353.05</v>
      </c>
      <c r="V455" s="153"/>
      <c r="W455" s="153"/>
      <c r="X455" s="153">
        <v>976</v>
      </c>
      <c r="Y455" s="153">
        <v>1030</v>
      </c>
      <c r="Z455" s="153">
        <v>1200</v>
      </c>
      <c r="AA455" s="40">
        <v>139</v>
      </c>
      <c r="AB455" s="40">
        <v>278</v>
      </c>
      <c r="AC455" s="40">
        <v>417</v>
      </c>
      <c r="AD455" s="40">
        <v>695</v>
      </c>
      <c r="AE455" s="40">
        <v>1042</v>
      </c>
      <c r="AF455" s="40">
        <v>1389</v>
      </c>
      <c r="AG455" s="40">
        <v>91.8</v>
      </c>
      <c r="AH455" s="40">
        <v>95.5</v>
      </c>
      <c r="AI455" s="40">
        <v>96.2</v>
      </c>
      <c r="AJ455" s="40">
        <v>97.7</v>
      </c>
      <c r="AK455" s="40">
        <v>97.9</v>
      </c>
      <c r="AL455" s="40">
        <v>97.8</v>
      </c>
      <c r="AM455" s="40">
        <v>97.3</v>
      </c>
      <c r="AN455" s="40">
        <v>91.7</v>
      </c>
      <c r="AO455" s="40">
        <v>95.5</v>
      </c>
      <c r="AP455" s="40">
        <v>96.3</v>
      </c>
      <c r="AQ455" s="40">
        <v>97.6</v>
      </c>
      <c r="AR455" s="40">
        <v>97.8</v>
      </c>
      <c r="AS455" s="40">
        <v>97.6</v>
      </c>
      <c r="AT455" s="40">
        <v>97.2</v>
      </c>
      <c r="AU455" s="40">
        <v>91.9</v>
      </c>
      <c r="AV455" s="40">
        <v>95.6</v>
      </c>
      <c r="AW455" s="40">
        <v>96.3</v>
      </c>
      <c r="AX455" s="40">
        <v>97.6</v>
      </c>
      <c r="AY455" s="40">
        <v>97.8</v>
      </c>
      <c r="AZ455" s="40">
        <v>97.6</v>
      </c>
      <c r="BA455" s="40">
        <v>97.2</v>
      </c>
      <c r="BB455" s="174">
        <v>43235</v>
      </c>
      <c r="BC455" s="174">
        <v>43388</v>
      </c>
    </row>
    <row r="456" spans="1:55" s="44" customFormat="1" ht="60">
      <c r="A456" s="18" t="s">
        <v>5</v>
      </c>
      <c r="B456" s="18" t="s">
        <v>1004</v>
      </c>
      <c r="C456" s="23" t="s">
        <v>10</v>
      </c>
      <c r="D456" s="23" t="s">
        <v>1125</v>
      </c>
      <c r="E456" s="23" t="s">
        <v>11</v>
      </c>
      <c r="F456" s="23" t="s">
        <v>11</v>
      </c>
      <c r="G456" s="18" t="s">
        <v>621</v>
      </c>
      <c r="H456" s="19">
        <v>1517.09</v>
      </c>
      <c r="I456" s="37">
        <v>565</v>
      </c>
      <c r="J456" s="19">
        <v>97.5</v>
      </c>
      <c r="K456" s="21" t="s">
        <v>1220</v>
      </c>
      <c r="L456" s="49" t="s">
        <v>584</v>
      </c>
      <c r="M456" s="38" t="s">
        <v>585</v>
      </c>
      <c r="N456" s="174">
        <v>43388</v>
      </c>
      <c r="O456" s="23" t="s">
        <v>17</v>
      </c>
      <c r="P456" s="23" t="s">
        <v>17</v>
      </c>
      <c r="Q456" s="23" t="s">
        <v>17</v>
      </c>
      <c r="R456" s="151" t="s">
        <v>622</v>
      </c>
      <c r="S456" s="39" t="s">
        <v>11</v>
      </c>
      <c r="T456" s="39" t="s">
        <v>11</v>
      </c>
      <c r="U456" s="153">
        <v>359.56</v>
      </c>
      <c r="V456" s="153"/>
      <c r="W456" s="153"/>
      <c r="X456" s="153">
        <v>800</v>
      </c>
      <c r="Y456" s="153">
        <v>900</v>
      </c>
      <c r="Z456" s="153">
        <v>1200</v>
      </c>
      <c r="AA456" s="40">
        <v>152</v>
      </c>
      <c r="AB456" s="40">
        <v>303</v>
      </c>
      <c r="AC456" s="40">
        <v>455</v>
      </c>
      <c r="AD456" s="40">
        <v>759</v>
      </c>
      <c r="AE456" s="40">
        <v>1138</v>
      </c>
      <c r="AF456" s="40">
        <v>1517</v>
      </c>
      <c r="AG456" s="40">
        <v>94.3</v>
      </c>
      <c r="AH456" s="40">
        <v>96.5</v>
      </c>
      <c r="AI456" s="40">
        <v>97.3</v>
      </c>
      <c r="AJ456" s="40">
        <v>97.7</v>
      </c>
      <c r="AK456" s="40">
        <v>97.8</v>
      </c>
      <c r="AL456" s="40">
        <v>97.6</v>
      </c>
      <c r="AM456" s="40">
        <v>97.5</v>
      </c>
      <c r="AN456" s="40">
        <v>94.3</v>
      </c>
      <c r="AO456" s="40">
        <v>96.4</v>
      </c>
      <c r="AP456" s="40">
        <v>97.2</v>
      </c>
      <c r="AQ456" s="40">
        <v>97.7</v>
      </c>
      <c r="AR456" s="40">
        <v>97.7</v>
      </c>
      <c r="AS456" s="40">
        <v>97.5</v>
      </c>
      <c r="AT456" s="40">
        <v>97.4</v>
      </c>
      <c r="AU456" s="40">
        <v>94.4</v>
      </c>
      <c r="AV456" s="40">
        <v>96.5</v>
      </c>
      <c r="AW456" s="40">
        <v>97.2</v>
      </c>
      <c r="AX456" s="40">
        <v>97.6</v>
      </c>
      <c r="AY456" s="40">
        <v>97.7</v>
      </c>
      <c r="AZ456" s="40">
        <v>97.5</v>
      </c>
      <c r="BA456" s="40">
        <v>97.5</v>
      </c>
      <c r="BB456" s="174">
        <v>43235</v>
      </c>
      <c r="BC456" s="174">
        <v>43388</v>
      </c>
    </row>
    <row r="457" spans="1:55" s="44" customFormat="1" ht="60">
      <c r="A457" s="18" t="s">
        <v>5</v>
      </c>
      <c r="B457" s="18" t="s">
        <v>1006</v>
      </c>
      <c r="C457" s="23" t="s">
        <v>10</v>
      </c>
      <c r="D457" s="23" t="s">
        <v>10</v>
      </c>
      <c r="E457" s="23" t="s">
        <v>11</v>
      </c>
      <c r="F457" s="23" t="s">
        <v>11</v>
      </c>
      <c r="G457" s="18" t="s">
        <v>611</v>
      </c>
      <c r="H457" s="19">
        <v>1610.37</v>
      </c>
      <c r="I457" s="37">
        <v>600</v>
      </c>
      <c r="J457" s="19">
        <v>97.5</v>
      </c>
      <c r="K457" s="21" t="s">
        <v>1220</v>
      </c>
      <c r="L457" s="49" t="s">
        <v>584</v>
      </c>
      <c r="M457" s="38" t="s">
        <v>585</v>
      </c>
      <c r="N457" s="174">
        <v>43388</v>
      </c>
      <c r="O457" s="23" t="s">
        <v>17</v>
      </c>
      <c r="P457" s="23" t="s">
        <v>17</v>
      </c>
      <c r="Q457" s="23" t="s">
        <v>17</v>
      </c>
      <c r="R457" s="151" t="s">
        <v>612</v>
      </c>
      <c r="S457" s="39" t="s">
        <v>11</v>
      </c>
      <c r="T457" s="39" t="s">
        <v>11</v>
      </c>
      <c r="U457" s="153">
        <v>368.71</v>
      </c>
      <c r="V457" s="153"/>
      <c r="W457" s="153"/>
      <c r="X457" s="153">
        <v>849</v>
      </c>
      <c r="Y457" s="153">
        <v>940</v>
      </c>
      <c r="Z457" s="153">
        <v>1200</v>
      </c>
      <c r="AA457" s="40">
        <v>161</v>
      </c>
      <c r="AB457" s="40">
        <v>322</v>
      </c>
      <c r="AC457" s="40">
        <v>483</v>
      </c>
      <c r="AD457" s="40">
        <v>805</v>
      </c>
      <c r="AE457" s="40">
        <v>1208</v>
      </c>
      <c r="AF457" s="40">
        <v>1610</v>
      </c>
      <c r="AG457" s="40">
        <v>94.5</v>
      </c>
      <c r="AH457" s="40">
        <v>96.7</v>
      </c>
      <c r="AI457" s="40">
        <v>97.5</v>
      </c>
      <c r="AJ457" s="40">
        <v>97.8</v>
      </c>
      <c r="AK457" s="40">
        <v>97.9</v>
      </c>
      <c r="AL457" s="40">
        <v>97.6</v>
      </c>
      <c r="AM457" s="40">
        <v>97.6</v>
      </c>
      <c r="AN457" s="40">
        <v>94.5</v>
      </c>
      <c r="AO457" s="40">
        <v>96.6</v>
      </c>
      <c r="AP457" s="40">
        <v>97.4</v>
      </c>
      <c r="AQ457" s="40">
        <v>97.8</v>
      </c>
      <c r="AR457" s="40">
        <v>97.8</v>
      </c>
      <c r="AS457" s="40">
        <v>97.6</v>
      </c>
      <c r="AT457" s="40">
        <v>97.5</v>
      </c>
      <c r="AU457" s="40">
        <v>94.6</v>
      </c>
      <c r="AV457" s="40">
        <v>96.6</v>
      </c>
      <c r="AW457" s="40">
        <v>97.4</v>
      </c>
      <c r="AX457" s="40">
        <v>97.7</v>
      </c>
      <c r="AY457" s="40">
        <v>97.8</v>
      </c>
      <c r="AZ457" s="40">
        <v>97.5</v>
      </c>
      <c r="BA457" s="40">
        <v>97.5</v>
      </c>
      <c r="BB457" s="174">
        <v>43235</v>
      </c>
      <c r="BC457" s="174">
        <v>43388</v>
      </c>
    </row>
    <row r="458" spans="1:55" s="44" customFormat="1" ht="60">
      <c r="A458" s="18" t="s">
        <v>5</v>
      </c>
      <c r="B458" s="18" t="s">
        <v>1005</v>
      </c>
      <c r="C458" s="23" t="s">
        <v>10</v>
      </c>
      <c r="D458" s="23" t="s">
        <v>10</v>
      </c>
      <c r="E458" s="23" t="s">
        <v>11</v>
      </c>
      <c r="F458" s="23" t="s">
        <v>11</v>
      </c>
      <c r="G458" s="18" t="s">
        <v>630</v>
      </c>
      <c r="H458" s="19">
        <v>1594.72</v>
      </c>
      <c r="I458" s="37">
        <v>600</v>
      </c>
      <c r="J458" s="19">
        <v>98</v>
      </c>
      <c r="K458" s="21" t="s">
        <v>1220</v>
      </c>
      <c r="L458" s="49" t="s">
        <v>584</v>
      </c>
      <c r="M458" s="38" t="s">
        <v>585</v>
      </c>
      <c r="N458" s="174">
        <v>43388</v>
      </c>
      <c r="O458" s="23" t="s">
        <v>17</v>
      </c>
      <c r="P458" s="23" t="s">
        <v>17</v>
      </c>
      <c r="Q458" s="23" t="s">
        <v>17</v>
      </c>
      <c r="R458" s="151" t="s">
        <v>631</v>
      </c>
      <c r="S458" s="39" t="s">
        <v>11</v>
      </c>
      <c r="T458" s="39" t="s">
        <v>11</v>
      </c>
      <c r="U458" s="153">
        <v>379.71</v>
      </c>
      <c r="V458" s="153"/>
      <c r="W458" s="153"/>
      <c r="X458" s="153">
        <v>849</v>
      </c>
      <c r="Y458" s="153">
        <v>940</v>
      </c>
      <c r="Z458" s="153">
        <v>1200</v>
      </c>
      <c r="AA458" s="40">
        <v>159</v>
      </c>
      <c r="AB458" s="40">
        <v>319</v>
      </c>
      <c r="AC458" s="40">
        <v>478</v>
      </c>
      <c r="AD458" s="40">
        <v>797</v>
      </c>
      <c r="AE458" s="40">
        <v>1196</v>
      </c>
      <c r="AF458" s="40">
        <v>1595</v>
      </c>
      <c r="AG458" s="40">
        <v>96.9</v>
      </c>
      <c r="AH458" s="40">
        <v>97.6</v>
      </c>
      <c r="AI458" s="40">
        <v>97.9</v>
      </c>
      <c r="AJ458" s="40">
        <v>98.1</v>
      </c>
      <c r="AK458" s="40">
        <v>98</v>
      </c>
      <c r="AL458" s="40">
        <v>97.9</v>
      </c>
      <c r="AM458" s="40">
        <v>97.9</v>
      </c>
      <c r="AN458" s="40">
        <v>96.6</v>
      </c>
      <c r="AO458" s="40">
        <v>97.5</v>
      </c>
      <c r="AP458" s="40">
        <v>97.8</v>
      </c>
      <c r="AQ458" s="40">
        <v>98</v>
      </c>
      <c r="AR458" s="40">
        <v>98</v>
      </c>
      <c r="AS458" s="40">
        <v>97.8</v>
      </c>
      <c r="AT458" s="40">
        <v>97.9</v>
      </c>
      <c r="AU458" s="40">
        <v>96.7</v>
      </c>
      <c r="AV458" s="40">
        <v>97.5</v>
      </c>
      <c r="AW458" s="40">
        <v>97.8</v>
      </c>
      <c r="AX458" s="40">
        <v>98</v>
      </c>
      <c r="AY458" s="40">
        <v>98</v>
      </c>
      <c r="AZ458" s="40">
        <v>97.8</v>
      </c>
      <c r="BA458" s="40">
        <v>97.9</v>
      </c>
      <c r="BB458" s="174">
        <v>43235</v>
      </c>
      <c r="BC458" s="174">
        <v>43388</v>
      </c>
    </row>
    <row r="459" spans="1:55" s="44" customFormat="1" ht="60">
      <c r="A459" s="18" t="s">
        <v>5</v>
      </c>
      <c r="B459" s="18" t="s">
        <v>1007</v>
      </c>
      <c r="C459" s="23" t="s">
        <v>10</v>
      </c>
      <c r="D459" s="23" t="s">
        <v>10</v>
      </c>
      <c r="E459" s="23" t="s">
        <v>11</v>
      </c>
      <c r="F459" s="23" t="s">
        <v>11</v>
      </c>
      <c r="G459" s="18" t="s">
        <v>599</v>
      </c>
      <c r="H459" s="19">
        <v>1734.81</v>
      </c>
      <c r="I459" s="37">
        <v>645</v>
      </c>
      <c r="J459" s="19">
        <v>97.5</v>
      </c>
      <c r="K459" s="21" t="s">
        <v>1220</v>
      </c>
      <c r="L459" s="49" t="s">
        <v>584</v>
      </c>
      <c r="M459" s="38" t="s">
        <v>585</v>
      </c>
      <c r="N459" s="174">
        <v>43388</v>
      </c>
      <c r="O459" s="23" t="s">
        <v>17</v>
      </c>
      <c r="P459" s="23" t="s">
        <v>17</v>
      </c>
      <c r="Q459" s="23" t="s">
        <v>17</v>
      </c>
      <c r="R459" s="151" t="s">
        <v>600</v>
      </c>
      <c r="S459" s="39" t="s">
        <v>11</v>
      </c>
      <c r="T459" s="39" t="s">
        <v>11</v>
      </c>
      <c r="U459" s="153">
        <v>373.96</v>
      </c>
      <c r="V459" s="153"/>
      <c r="W459" s="153"/>
      <c r="X459" s="153">
        <v>913</v>
      </c>
      <c r="Y459" s="153">
        <v>980</v>
      </c>
      <c r="Z459" s="153">
        <v>1200</v>
      </c>
      <c r="AA459" s="40">
        <v>173</v>
      </c>
      <c r="AB459" s="40">
        <v>347</v>
      </c>
      <c r="AC459" s="40">
        <v>520</v>
      </c>
      <c r="AD459" s="40">
        <v>867</v>
      </c>
      <c r="AE459" s="40">
        <v>1301</v>
      </c>
      <c r="AF459" s="40">
        <v>1735</v>
      </c>
      <c r="AG459" s="40">
        <v>94.7</v>
      </c>
      <c r="AH459" s="40">
        <v>96.8</v>
      </c>
      <c r="AI459" s="40">
        <v>97.5</v>
      </c>
      <c r="AJ459" s="40">
        <v>98</v>
      </c>
      <c r="AK459" s="40">
        <v>98</v>
      </c>
      <c r="AL459" s="40">
        <v>97.8</v>
      </c>
      <c r="AM459" s="40">
        <v>97.7</v>
      </c>
      <c r="AN459" s="40">
        <v>94.7</v>
      </c>
      <c r="AO459" s="40">
        <v>96.8</v>
      </c>
      <c r="AP459" s="40">
        <v>97.5</v>
      </c>
      <c r="AQ459" s="40">
        <v>97.9</v>
      </c>
      <c r="AR459" s="40">
        <v>97.9</v>
      </c>
      <c r="AS459" s="40">
        <v>97.7</v>
      </c>
      <c r="AT459" s="40">
        <v>97.6</v>
      </c>
      <c r="AU459" s="40">
        <v>94.7</v>
      </c>
      <c r="AV459" s="40">
        <v>96.8</v>
      </c>
      <c r="AW459" s="40">
        <v>97.5</v>
      </c>
      <c r="AX459" s="40">
        <v>97.8</v>
      </c>
      <c r="AY459" s="40">
        <v>97.9</v>
      </c>
      <c r="AZ459" s="40">
        <v>97.7</v>
      </c>
      <c r="BA459" s="40">
        <v>97.6</v>
      </c>
      <c r="BB459" s="174">
        <v>43235</v>
      </c>
      <c r="BC459" s="174">
        <v>43388</v>
      </c>
    </row>
    <row r="460" spans="1:55" s="44" customFormat="1" ht="60">
      <c r="A460" s="18" t="s">
        <v>5</v>
      </c>
      <c r="B460" s="18" t="s">
        <v>1008</v>
      </c>
      <c r="C460" s="23" t="s">
        <v>10</v>
      </c>
      <c r="D460" s="23" t="s">
        <v>10</v>
      </c>
      <c r="E460" s="23" t="s">
        <v>11</v>
      </c>
      <c r="F460" s="23" t="s">
        <v>11</v>
      </c>
      <c r="G460" s="18" t="s">
        <v>587</v>
      </c>
      <c r="H460" s="19">
        <v>1850.63</v>
      </c>
      <c r="I460" s="37">
        <v>690</v>
      </c>
      <c r="J460" s="19">
        <v>98</v>
      </c>
      <c r="K460" s="21" t="s">
        <v>1220</v>
      </c>
      <c r="L460" s="49" t="s">
        <v>584</v>
      </c>
      <c r="M460" s="38" t="s">
        <v>585</v>
      </c>
      <c r="N460" s="174">
        <v>43388</v>
      </c>
      <c r="O460" s="23" t="s">
        <v>17</v>
      </c>
      <c r="P460" s="23" t="s">
        <v>17</v>
      </c>
      <c r="Q460" s="23" t="s">
        <v>17</v>
      </c>
      <c r="R460" s="151" t="s">
        <v>588</v>
      </c>
      <c r="S460" s="39" t="s">
        <v>11</v>
      </c>
      <c r="T460" s="39" t="s">
        <v>11</v>
      </c>
      <c r="U460" s="153">
        <v>368.51</v>
      </c>
      <c r="V460" s="153"/>
      <c r="W460" s="153"/>
      <c r="X460" s="153">
        <v>976</v>
      </c>
      <c r="Y460" s="153">
        <v>1030</v>
      </c>
      <c r="Z460" s="153">
        <v>1200</v>
      </c>
      <c r="AA460" s="40">
        <v>185</v>
      </c>
      <c r="AB460" s="40">
        <v>370</v>
      </c>
      <c r="AC460" s="40">
        <v>555</v>
      </c>
      <c r="AD460" s="40">
        <v>925</v>
      </c>
      <c r="AE460" s="40">
        <v>1388</v>
      </c>
      <c r="AF460" s="40">
        <v>1851</v>
      </c>
      <c r="AG460" s="40">
        <v>95</v>
      </c>
      <c r="AH460" s="40">
        <v>97</v>
      </c>
      <c r="AI460" s="40">
        <v>97.7</v>
      </c>
      <c r="AJ460" s="40">
        <v>98.1</v>
      </c>
      <c r="AK460" s="40">
        <v>98.2</v>
      </c>
      <c r="AL460" s="40">
        <v>97.9</v>
      </c>
      <c r="AM460" s="40">
        <v>97.9</v>
      </c>
      <c r="AN460" s="40">
        <v>94.9</v>
      </c>
      <c r="AO460" s="40">
        <v>97</v>
      </c>
      <c r="AP460" s="40">
        <v>97.6</v>
      </c>
      <c r="AQ460" s="40">
        <v>98.1</v>
      </c>
      <c r="AR460" s="40">
        <v>98</v>
      </c>
      <c r="AS460" s="40">
        <v>97.9</v>
      </c>
      <c r="AT460" s="40">
        <v>97.8</v>
      </c>
      <c r="AU460" s="40">
        <v>94.9</v>
      </c>
      <c r="AV460" s="40">
        <v>96.9</v>
      </c>
      <c r="AW460" s="40">
        <v>97.6</v>
      </c>
      <c r="AX460" s="40">
        <v>98</v>
      </c>
      <c r="AY460" s="40">
        <v>98.1</v>
      </c>
      <c r="AZ460" s="40">
        <v>97.8</v>
      </c>
      <c r="BA460" s="40">
        <v>97.8</v>
      </c>
      <c r="BB460" s="174">
        <v>43235</v>
      </c>
      <c r="BC460" s="174">
        <v>43388</v>
      </c>
    </row>
    <row r="461" spans="1:55" s="44" customFormat="1" ht="60">
      <c r="A461" s="18" t="s">
        <v>5</v>
      </c>
      <c r="B461" s="18" t="s">
        <v>1009</v>
      </c>
      <c r="C461" s="23" t="s">
        <v>10</v>
      </c>
      <c r="D461" s="23" t="s">
        <v>10</v>
      </c>
      <c r="E461" s="23" t="s">
        <v>11</v>
      </c>
      <c r="F461" s="23" t="s">
        <v>11</v>
      </c>
      <c r="G461" s="18" t="s">
        <v>623</v>
      </c>
      <c r="H461" s="19">
        <v>1896.53</v>
      </c>
      <c r="I461" s="37">
        <v>565</v>
      </c>
      <c r="J461" s="19">
        <v>97.5</v>
      </c>
      <c r="K461" s="21" t="s">
        <v>1220</v>
      </c>
      <c r="L461" s="49" t="s">
        <v>584</v>
      </c>
      <c r="M461" s="38" t="s">
        <v>585</v>
      </c>
      <c r="N461" s="174">
        <v>43388</v>
      </c>
      <c r="O461" s="23" t="s">
        <v>17</v>
      </c>
      <c r="P461" s="23" t="s">
        <v>17</v>
      </c>
      <c r="Q461" s="23" t="s">
        <v>17</v>
      </c>
      <c r="R461" s="151" t="s">
        <v>624</v>
      </c>
      <c r="S461" s="39" t="s">
        <v>11</v>
      </c>
      <c r="T461" s="39" t="s">
        <v>11</v>
      </c>
      <c r="U461" s="153">
        <v>378.47</v>
      </c>
      <c r="V461" s="153"/>
      <c r="W461" s="153"/>
      <c r="X461" s="153">
        <v>800</v>
      </c>
      <c r="Y461" s="153">
        <v>900</v>
      </c>
      <c r="Z461" s="153">
        <v>1200</v>
      </c>
      <c r="AA461" s="40">
        <v>190</v>
      </c>
      <c r="AB461" s="40">
        <v>379</v>
      </c>
      <c r="AC461" s="40">
        <v>569</v>
      </c>
      <c r="AD461" s="40">
        <v>948</v>
      </c>
      <c r="AE461" s="40">
        <v>1422</v>
      </c>
      <c r="AF461" s="40">
        <v>1897</v>
      </c>
      <c r="AG461" s="40">
        <v>94.8</v>
      </c>
      <c r="AH461" s="40">
        <v>96.6</v>
      </c>
      <c r="AI461" s="40">
        <v>97.4</v>
      </c>
      <c r="AJ461" s="40">
        <v>98</v>
      </c>
      <c r="AK461" s="40">
        <v>97.9</v>
      </c>
      <c r="AL461" s="40">
        <v>97.7</v>
      </c>
      <c r="AM461" s="40">
        <v>97.6</v>
      </c>
      <c r="AN461" s="40">
        <v>94.8</v>
      </c>
      <c r="AO461" s="40">
        <v>96.5</v>
      </c>
      <c r="AP461" s="40">
        <v>97.3</v>
      </c>
      <c r="AQ461" s="40">
        <v>97.8</v>
      </c>
      <c r="AR461" s="40">
        <v>97.8</v>
      </c>
      <c r="AS461" s="40">
        <v>97.6</v>
      </c>
      <c r="AT461" s="40">
        <v>97.5</v>
      </c>
      <c r="AU461" s="40">
        <v>94.7</v>
      </c>
      <c r="AV461" s="40">
        <v>96.4</v>
      </c>
      <c r="AW461" s="40">
        <v>97.3</v>
      </c>
      <c r="AX461" s="40">
        <v>97.8</v>
      </c>
      <c r="AY461" s="40">
        <v>97.8</v>
      </c>
      <c r="AZ461" s="40">
        <v>97.5</v>
      </c>
      <c r="BA461" s="40">
        <v>97.5</v>
      </c>
      <c r="BB461" s="174">
        <v>43235</v>
      </c>
      <c r="BC461" s="174">
        <v>43388</v>
      </c>
    </row>
    <row r="462" spans="1:55" s="44" customFormat="1" ht="60">
      <c r="A462" s="18" t="s">
        <v>5</v>
      </c>
      <c r="B462" s="18" t="s">
        <v>1011</v>
      </c>
      <c r="C462" s="23" t="s">
        <v>10</v>
      </c>
      <c r="D462" s="23" t="s">
        <v>10</v>
      </c>
      <c r="E462" s="23" t="s">
        <v>11</v>
      </c>
      <c r="F462" s="23" t="s">
        <v>11</v>
      </c>
      <c r="G462" s="18" t="s">
        <v>613</v>
      </c>
      <c r="H462" s="19">
        <v>2020.96</v>
      </c>
      <c r="I462" s="37">
        <v>600</v>
      </c>
      <c r="J462" s="19">
        <v>97.5</v>
      </c>
      <c r="K462" s="21" t="s">
        <v>1220</v>
      </c>
      <c r="L462" s="49" t="s">
        <v>584</v>
      </c>
      <c r="M462" s="38" t="s">
        <v>585</v>
      </c>
      <c r="N462" s="174">
        <v>43388</v>
      </c>
      <c r="O462" s="23" t="s">
        <v>17</v>
      </c>
      <c r="P462" s="23" t="s">
        <v>17</v>
      </c>
      <c r="Q462" s="23" t="s">
        <v>17</v>
      </c>
      <c r="R462" s="151" t="s">
        <v>614</v>
      </c>
      <c r="S462" s="39" t="s">
        <v>11</v>
      </c>
      <c r="T462" s="39" t="s">
        <v>11</v>
      </c>
      <c r="U462" s="153">
        <v>388.77</v>
      </c>
      <c r="V462" s="153"/>
      <c r="W462" s="153"/>
      <c r="X462" s="153">
        <v>849</v>
      </c>
      <c r="Y462" s="153">
        <v>940</v>
      </c>
      <c r="Z462" s="153">
        <v>1200</v>
      </c>
      <c r="AA462" s="40">
        <v>202</v>
      </c>
      <c r="AB462" s="40">
        <v>404</v>
      </c>
      <c r="AC462" s="40">
        <v>606</v>
      </c>
      <c r="AD462" s="40">
        <v>1010</v>
      </c>
      <c r="AE462" s="40">
        <v>1516</v>
      </c>
      <c r="AF462" s="40">
        <v>2021</v>
      </c>
      <c r="AG462" s="40">
        <v>95.1</v>
      </c>
      <c r="AH462" s="40">
        <v>96.7</v>
      </c>
      <c r="AI462" s="40">
        <v>97.5</v>
      </c>
      <c r="AJ462" s="40">
        <v>98</v>
      </c>
      <c r="AK462" s="40">
        <v>98</v>
      </c>
      <c r="AL462" s="40">
        <v>97.8</v>
      </c>
      <c r="AM462" s="40">
        <v>97.8</v>
      </c>
      <c r="AN462" s="40">
        <v>95</v>
      </c>
      <c r="AO462" s="40">
        <v>96.6</v>
      </c>
      <c r="AP462" s="40">
        <v>97.5</v>
      </c>
      <c r="AQ462" s="40">
        <v>97.9</v>
      </c>
      <c r="AR462" s="40">
        <v>97.9</v>
      </c>
      <c r="AS462" s="40">
        <v>97.7</v>
      </c>
      <c r="AT462" s="40">
        <v>97.7</v>
      </c>
      <c r="AU462" s="40">
        <v>95</v>
      </c>
      <c r="AV462" s="40">
        <v>96.6</v>
      </c>
      <c r="AW462" s="40">
        <v>97.4</v>
      </c>
      <c r="AX462" s="40">
        <v>97.9</v>
      </c>
      <c r="AY462" s="40">
        <v>97.9</v>
      </c>
      <c r="AZ462" s="40">
        <v>97.6</v>
      </c>
      <c r="BA462" s="40">
        <v>97.7</v>
      </c>
      <c r="BB462" s="174">
        <v>43235</v>
      </c>
      <c r="BC462" s="174">
        <v>43388</v>
      </c>
    </row>
    <row r="463" spans="1:55" s="44" customFormat="1" ht="60">
      <c r="A463" s="18" t="s">
        <v>5</v>
      </c>
      <c r="B463" s="18" t="s">
        <v>1010</v>
      </c>
      <c r="C463" s="23" t="s">
        <v>10</v>
      </c>
      <c r="D463" s="23" t="s">
        <v>10</v>
      </c>
      <c r="E463" s="23" t="s">
        <v>11</v>
      </c>
      <c r="F463" s="23" t="s">
        <v>11</v>
      </c>
      <c r="G463" s="18" t="s">
        <v>632</v>
      </c>
      <c r="H463" s="19">
        <v>1974.29</v>
      </c>
      <c r="I463" s="37">
        <v>600</v>
      </c>
      <c r="J463" s="19">
        <v>98</v>
      </c>
      <c r="K463" s="21" t="s">
        <v>1220</v>
      </c>
      <c r="L463" s="49" t="s">
        <v>584</v>
      </c>
      <c r="M463" s="38" t="s">
        <v>585</v>
      </c>
      <c r="N463" s="174">
        <v>43388</v>
      </c>
      <c r="O463" s="23" t="s">
        <v>17</v>
      </c>
      <c r="P463" s="23" t="s">
        <v>17</v>
      </c>
      <c r="Q463" s="23" t="s">
        <v>17</v>
      </c>
      <c r="R463" s="151" t="s">
        <v>614</v>
      </c>
      <c r="S463" s="39" t="s">
        <v>11</v>
      </c>
      <c r="T463" s="39" t="s">
        <v>11</v>
      </c>
      <c r="U463" s="153">
        <v>397.3</v>
      </c>
      <c r="V463" s="153"/>
      <c r="W463" s="153"/>
      <c r="X463" s="153">
        <v>849</v>
      </c>
      <c r="Y463" s="153">
        <v>940</v>
      </c>
      <c r="Z463" s="153">
        <v>1200</v>
      </c>
      <c r="AA463" s="40">
        <v>197</v>
      </c>
      <c r="AB463" s="40">
        <v>395</v>
      </c>
      <c r="AC463" s="40">
        <v>592</v>
      </c>
      <c r="AD463" s="40">
        <v>987</v>
      </c>
      <c r="AE463" s="40">
        <v>1481</v>
      </c>
      <c r="AF463" s="40">
        <v>1974</v>
      </c>
      <c r="AG463" s="40">
        <v>96.9</v>
      </c>
      <c r="AH463" s="40">
        <v>97.7</v>
      </c>
      <c r="AI463" s="40">
        <v>97.9</v>
      </c>
      <c r="AJ463" s="40">
        <v>98.1</v>
      </c>
      <c r="AK463" s="40">
        <v>98.1</v>
      </c>
      <c r="AL463" s="40">
        <v>97.9</v>
      </c>
      <c r="AM463" s="40">
        <v>98</v>
      </c>
      <c r="AN463" s="40">
        <v>96.7</v>
      </c>
      <c r="AO463" s="40">
        <v>97.5</v>
      </c>
      <c r="AP463" s="40">
        <v>97.8</v>
      </c>
      <c r="AQ463" s="40">
        <v>98</v>
      </c>
      <c r="AR463" s="40">
        <v>98</v>
      </c>
      <c r="AS463" s="40">
        <v>97.8</v>
      </c>
      <c r="AT463" s="40">
        <v>97.9</v>
      </c>
      <c r="AU463" s="40">
        <v>96.8</v>
      </c>
      <c r="AV463" s="40">
        <v>97.6</v>
      </c>
      <c r="AW463" s="40">
        <v>97.9</v>
      </c>
      <c r="AX463" s="40">
        <v>98</v>
      </c>
      <c r="AY463" s="40">
        <v>98</v>
      </c>
      <c r="AZ463" s="40">
        <v>97.8</v>
      </c>
      <c r="BA463" s="40">
        <v>97.9</v>
      </c>
      <c r="BB463" s="174">
        <v>43235</v>
      </c>
      <c r="BC463" s="174">
        <v>43388</v>
      </c>
    </row>
    <row r="464" spans="1:55" s="44" customFormat="1" ht="60">
      <c r="A464" s="18" t="s">
        <v>5</v>
      </c>
      <c r="B464" s="18" t="s">
        <v>1012</v>
      </c>
      <c r="C464" s="23" t="s">
        <v>10</v>
      </c>
      <c r="D464" s="23" t="s">
        <v>10</v>
      </c>
      <c r="E464" s="23" t="s">
        <v>11</v>
      </c>
      <c r="F464" s="23" t="s">
        <v>11</v>
      </c>
      <c r="G464" s="18" t="s">
        <v>601</v>
      </c>
      <c r="H464" s="19">
        <v>2162.42</v>
      </c>
      <c r="I464" s="37">
        <v>645</v>
      </c>
      <c r="J464" s="19">
        <v>98</v>
      </c>
      <c r="K464" s="21" t="s">
        <v>1220</v>
      </c>
      <c r="L464" s="49" t="s">
        <v>584</v>
      </c>
      <c r="M464" s="38" t="s">
        <v>585</v>
      </c>
      <c r="N464" s="174">
        <v>43388</v>
      </c>
      <c r="O464" s="23" t="s">
        <v>17</v>
      </c>
      <c r="P464" s="23" t="s">
        <v>17</v>
      </c>
      <c r="Q464" s="23" t="s">
        <v>17</v>
      </c>
      <c r="R464" s="151" t="s">
        <v>602</v>
      </c>
      <c r="S464" s="39" t="s">
        <v>11</v>
      </c>
      <c r="T464" s="39" t="s">
        <v>11</v>
      </c>
      <c r="U464" s="153">
        <v>388.97</v>
      </c>
      <c r="V464" s="153"/>
      <c r="W464" s="153"/>
      <c r="X464" s="153">
        <v>913</v>
      </c>
      <c r="Y464" s="153">
        <v>980</v>
      </c>
      <c r="Z464" s="153">
        <v>1200</v>
      </c>
      <c r="AA464" s="40">
        <v>216</v>
      </c>
      <c r="AB464" s="40">
        <v>432</v>
      </c>
      <c r="AC464" s="40">
        <v>649</v>
      </c>
      <c r="AD464" s="40">
        <v>1081</v>
      </c>
      <c r="AE464" s="40">
        <v>1622</v>
      </c>
      <c r="AF464" s="40">
        <v>2162</v>
      </c>
      <c r="AG464" s="40">
        <v>95.2</v>
      </c>
      <c r="AH464" s="40">
        <v>96.9</v>
      </c>
      <c r="AI464" s="40">
        <v>97.6</v>
      </c>
      <c r="AJ464" s="40">
        <v>98.1</v>
      </c>
      <c r="AK464" s="40">
        <v>98.1</v>
      </c>
      <c r="AL464" s="40">
        <v>97.9</v>
      </c>
      <c r="AM464" s="40">
        <v>97.9</v>
      </c>
      <c r="AN464" s="40">
        <v>95.2</v>
      </c>
      <c r="AO464" s="40">
        <v>96.8</v>
      </c>
      <c r="AP464" s="40">
        <v>97.5</v>
      </c>
      <c r="AQ464" s="40">
        <v>98</v>
      </c>
      <c r="AR464" s="40">
        <v>98</v>
      </c>
      <c r="AS464" s="40">
        <v>97.8</v>
      </c>
      <c r="AT464" s="40">
        <v>97.8</v>
      </c>
      <c r="AU464" s="40">
        <v>95.2</v>
      </c>
      <c r="AV464" s="40">
        <v>96.8</v>
      </c>
      <c r="AW464" s="40">
        <v>97.5</v>
      </c>
      <c r="AX464" s="40">
        <v>98</v>
      </c>
      <c r="AY464" s="40">
        <v>98</v>
      </c>
      <c r="AZ464" s="40">
        <v>97.8</v>
      </c>
      <c r="BA464" s="40">
        <v>97.7</v>
      </c>
      <c r="BB464" s="174">
        <v>43235</v>
      </c>
      <c r="BC464" s="174">
        <v>43388</v>
      </c>
    </row>
    <row r="465" spans="1:55" s="44" customFormat="1" ht="90">
      <c r="A465" s="18" t="s">
        <v>5</v>
      </c>
      <c r="B465" s="18" t="s">
        <v>1458</v>
      </c>
      <c r="C465" s="23" t="s">
        <v>10</v>
      </c>
      <c r="D465" s="23" t="s">
        <v>10</v>
      </c>
      <c r="E465" s="23" t="s">
        <v>10</v>
      </c>
      <c r="F465" s="23" t="s">
        <v>11</v>
      </c>
      <c r="G465" s="18" t="s">
        <v>1446</v>
      </c>
      <c r="H465" s="19">
        <v>2103.4160000000002</v>
      </c>
      <c r="I465" s="37">
        <v>600</v>
      </c>
      <c r="J465" s="19">
        <v>98</v>
      </c>
      <c r="K465" s="21" t="s">
        <v>1376</v>
      </c>
      <c r="L465" s="49" t="s">
        <v>1377</v>
      </c>
      <c r="M465" s="38" t="s">
        <v>1378</v>
      </c>
      <c r="N465" s="174">
        <v>43557</v>
      </c>
      <c r="O465" s="38" t="s">
        <v>1377</v>
      </c>
      <c r="P465" s="38" t="s">
        <v>17</v>
      </c>
      <c r="Q465" s="38" t="s">
        <v>17</v>
      </c>
      <c r="R465" s="151" t="s">
        <v>1447</v>
      </c>
      <c r="S465" s="39" t="s">
        <v>11</v>
      </c>
      <c r="T465" s="39" t="s">
        <v>11</v>
      </c>
      <c r="U465" s="171">
        <v>442.59</v>
      </c>
      <c r="V465" s="153"/>
      <c r="W465" s="153"/>
      <c r="X465" s="153">
        <v>849</v>
      </c>
      <c r="Y465" s="153">
        <v>940</v>
      </c>
      <c r="Z465" s="153">
        <v>1200</v>
      </c>
      <c r="AA465" s="40">
        <v>210.34160000000003</v>
      </c>
      <c r="AB465" s="40">
        <v>420.68320000000006</v>
      </c>
      <c r="AC465" s="40">
        <v>631.02480000000003</v>
      </c>
      <c r="AD465" s="40">
        <v>1051.7080000000001</v>
      </c>
      <c r="AE465" s="40">
        <v>1577.5620000000001</v>
      </c>
      <c r="AF465" s="40">
        <v>2103.4160000000002</v>
      </c>
      <c r="AG465" s="40">
        <v>96.091948793980521</v>
      </c>
      <c r="AH465" s="40">
        <v>97.52381719894349</v>
      </c>
      <c r="AI465" s="40">
        <v>97.970395382082458</v>
      </c>
      <c r="AJ465" s="40">
        <v>98.380642306225923</v>
      </c>
      <c r="AK465" s="40">
        <v>98.207786735688586</v>
      </c>
      <c r="AL465" s="40">
        <v>97.913401339706525</v>
      </c>
      <c r="AM465" s="40">
        <v>98.082048178764026</v>
      </c>
      <c r="AN465" s="40">
        <v>96.123454539756565</v>
      </c>
      <c r="AO465" s="40">
        <v>97.504043463054401</v>
      </c>
      <c r="AP465" s="40">
        <v>97.943753029184052</v>
      </c>
      <c r="AQ465" s="40">
        <v>98.208480867701212</v>
      </c>
      <c r="AR465" s="40">
        <v>98.130647039387711</v>
      </c>
      <c r="AS465" s="40">
        <v>97.727925324679489</v>
      </c>
      <c r="AT465" s="40">
        <v>97.992810897571786</v>
      </c>
      <c r="AU465" s="40">
        <v>96.196419543681841</v>
      </c>
      <c r="AV465" s="40">
        <v>97.45353356447589</v>
      </c>
      <c r="AW465" s="40">
        <v>97.985933301735514</v>
      </c>
      <c r="AX465" s="40">
        <v>98.35572202092888</v>
      </c>
      <c r="AY465" s="40">
        <v>98.140968256141562</v>
      </c>
      <c r="AZ465" s="40">
        <v>97.747682372282853</v>
      </c>
      <c r="BA465" s="40">
        <v>98.035644374943558</v>
      </c>
      <c r="BB465" s="178">
        <v>43557</v>
      </c>
      <c r="BC465" s="178"/>
    </row>
    <row r="466" spans="1:55" s="44" customFormat="1" ht="165">
      <c r="A466" s="18" t="s">
        <v>5</v>
      </c>
      <c r="B466" s="18" t="s">
        <v>1398</v>
      </c>
      <c r="C466" s="23" t="s">
        <v>10</v>
      </c>
      <c r="D466" s="23" t="s">
        <v>10</v>
      </c>
      <c r="E466" s="23" t="s">
        <v>10</v>
      </c>
      <c r="F466" s="23" t="s">
        <v>11</v>
      </c>
      <c r="G466" s="18" t="s">
        <v>1381</v>
      </c>
      <c r="H466" s="19">
        <v>2178.0680000000002</v>
      </c>
      <c r="I466" s="37">
        <v>34500</v>
      </c>
      <c r="J466" s="19">
        <v>97</v>
      </c>
      <c r="K466" s="21" t="s">
        <v>1376</v>
      </c>
      <c r="L466" s="49" t="s">
        <v>1377</v>
      </c>
      <c r="M466" s="38" t="s">
        <v>1378</v>
      </c>
      <c r="N466" s="174">
        <v>43539</v>
      </c>
      <c r="O466" s="38" t="s">
        <v>1377</v>
      </c>
      <c r="P466" s="38" t="s">
        <v>17</v>
      </c>
      <c r="Q466" s="38" t="s">
        <v>17</v>
      </c>
      <c r="R466" s="151" t="s">
        <v>1379</v>
      </c>
      <c r="S466" s="39" t="s">
        <v>11</v>
      </c>
      <c r="T466" s="39" t="s">
        <v>11</v>
      </c>
      <c r="U466" s="171">
        <v>5970</v>
      </c>
      <c r="V466" s="153"/>
      <c r="W466" s="153"/>
      <c r="X466" s="153">
        <v>849</v>
      </c>
      <c r="Y466" s="153">
        <v>940</v>
      </c>
      <c r="Z466" s="153">
        <v>1200</v>
      </c>
      <c r="AA466" s="40">
        <v>217.80680000000004</v>
      </c>
      <c r="AB466" s="40">
        <v>435.61360000000008</v>
      </c>
      <c r="AC466" s="40">
        <v>653.42040000000009</v>
      </c>
      <c r="AD466" s="40">
        <v>1089.0340000000001</v>
      </c>
      <c r="AE466" s="40">
        <v>1633.5510000000002</v>
      </c>
      <c r="AF466" s="40">
        <v>2178.0680000000002</v>
      </c>
      <c r="AG466" s="40">
        <v>93.498291666666674</v>
      </c>
      <c r="AH466" s="40">
        <v>95.993500000000012</v>
      </c>
      <c r="AI466" s="40">
        <v>96.801083333333324</v>
      </c>
      <c r="AJ466" s="40">
        <v>97.45808333333332</v>
      </c>
      <c r="AK466" s="40">
        <v>97.657208333333344</v>
      </c>
      <c r="AL466" s="40">
        <v>97.554791666666659</v>
      </c>
      <c r="AM466" s="40">
        <v>97.257994166666677</v>
      </c>
      <c r="AN466" s="40">
        <v>93.349208333333337</v>
      </c>
      <c r="AO466" s="40">
        <v>95.898333333333326</v>
      </c>
      <c r="AP466" s="40">
        <v>96.826083333333344</v>
      </c>
      <c r="AQ466" s="40">
        <v>97.39595833333334</v>
      </c>
      <c r="AR466" s="40">
        <v>97.562875000000005</v>
      </c>
      <c r="AS466" s="40">
        <v>97.422291666666666</v>
      </c>
      <c r="AT466" s="40">
        <v>97.180604583333349</v>
      </c>
      <c r="AU466" s="40">
        <v>93.411374999999992</v>
      </c>
      <c r="AV466" s="40">
        <v>95.928666666666672</v>
      </c>
      <c r="AW466" s="40">
        <v>96.709041666666678</v>
      </c>
      <c r="AX466" s="40">
        <v>97.39233333333334</v>
      </c>
      <c r="AY466" s="40">
        <v>97.618083333333331</v>
      </c>
      <c r="AZ466" s="40">
        <v>97.483541666666682</v>
      </c>
      <c r="BA466" s="40">
        <v>97.202124583333344</v>
      </c>
      <c r="BB466" s="178">
        <v>43539</v>
      </c>
      <c r="BC466" s="178"/>
    </row>
    <row r="467" spans="1:55" s="44" customFormat="1" ht="60">
      <c r="A467" s="18" t="s">
        <v>5</v>
      </c>
      <c r="B467" s="18" t="s">
        <v>1013</v>
      </c>
      <c r="C467" s="23" t="s">
        <v>10</v>
      </c>
      <c r="D467" s="23" t="s">
        <v>10</v>
      </c>
      <c r="E467" s="23" t="s">
        <v>11</v>
      </c>
      <c r="F467" s="23" t="s">
        <v>11</v>
      </c>
      <c r="G467" s="18" t="s">
        <v>625</v>
      </c>
      <c r="H467" s="19">
        <v>2275.89</v>
      </c>
      <c r="I467" s="37">
        <v>565</v>
      </c>
      <c r="J467" s="19">
        <v>97.5</v>
      </c>
      <c r="K467" s="21" t="s">
        <v>1220</v>
      </c>
      <c r="L467" s="49" t="s">
        <v>584</v>
      </c>
      <c r="M467" s="38" t="s">
        <v>585</v>
      </c>
      <c r="N467" s="174">
        <v>43388</v>
      </c>
      <c r="O467" s="23" t="s">
        <v>17</v>
      </c>
      <c r="P467" s="23" t="s">
        <v>17</v>
      </c>
      <c r="Q467" s="23" t="s">
        <v>17</v>
      </c>
      <c r="R467" s="151" t="s">
        <v>626</v>
      </c>
      <c r="S467" s="39" t="s">
        <v>11</v>
      </c>
      <c r="T467" s="39" t="s">
        <v>11</v>
      </c>
      <c r="U467" s="153">
        <v>398.85</v>
      </c>
      <c r="V467" s="153"/>
      <c r="W467" s="153"/>
      <c r="X467" s="153">
        <v>800</v>
      </c>
      <c r="Y467" s="153">
        <v>900</v>
      </c>
      <c r="Z467" s="153">
        <v>1200</v>
      </c>
      <c r="AA467" s="40">
        <v>228</v>
      </c>
      <c r="AB467" s="40">
        <v>455</v>
      </c>
      <c r="AC467" s="40">
        <v>683</v>
      </c>
      <c r="AD467" s="40">
        <v>1138</v>
      </c>
      <c r="AE467" s="40">
        <v>1707</v>
      </c>
      <c r="AF467" s="40">
        <v>2276</v>
      </c>
      <c r="AG467" s="40">
        <v>95.4</v>
      </c>
      <c r="AH467" s="40">
        <v>97.2</v>
      </c>
      <c r="AI467" s="40">
        <v>97.6</v>
      </c>
      <c r="AJ467" s="40">
        <v>98</v>
      </c>
      <c r="AK467" s="40">
        <v>98</v>
      </c>
      <c r="AL467" s="40">
        <v>97.7</v>
      </c>
      <c r="AM467" s="40">
        <v>97.8</v>
      </c>
      <c r="AN467" s="40">
        <v>95.2</v>
      </c>
      <c r="AO467" s="40">
        <v>97.1</v>
      </c>
      <c r="AP467" s="40">
        <v>97.6</v>
      </c>
      <c r="AQ467" s="40">
        <v>97.9</v>
      </c>
      <c r="AR467" s="40">
        <v>97.8</v>
      </c>
      <c r="AS467" s="40">
        <v>97.6</v>
      </c>
      <c r="AT467" s="40">
        <v>97.7</v>
      </c>
      <c r="AU467" s="40">
        <v>95.3</v>
      </c>
      <c r="AV467" s="40">
        <v>97</v>
      </c>
      <c r="AW467" s="40">
        <v>97.5</v>
      </c>
      <c r="AX467" s="40">
        <v>97.9</v>
      </c>
      <c r="AY467" s="40">
        <v>97.8</v>
      </c>
      <c r="AZ467" s="40">
        <v>97.6</v>
      </c>
      <c r="BA467" s="40">
        <v>97.7</v>
      </c>
      <c r="BB467" s="174">
        <v>43235</v>
      </c>
      <c r="BC467" s="174">
        <v>43388</v>
      </c>
    </row>
    <row r="468" spans="1:55" s="44" customFormat="1" ht="60">
      <c r="A468" s="18" t="s">
        <v>5</v>
      </c>
      <c r="B468" s="18" t="s">
        <v>1014</v>
      </c>
      <c r="C468" s="23" t="s">
        <v>10</v>
      </c>
      <c r="D468" s="23" t="s">
        <v>10</v>
      </c>
      <c r="E468" s="23" t="s">
        <v>11</v>
      </c>
      <c r="F468" s="23" t="s">
        <v>11</v>
      </c>
      <c r="G468" s="18" t="s">
        <v>589</v>
      </c>
      <c r="H468" s="19">
        <v>2306.41</v>
      </c>
      <c r="I468" s="37">
        <v>690</v>
      </c>
      <c r="J468" s="19">
        <v>98</v>
      </c>
      <c r="K468" s="21" t="s">
        <v>1220</v>
      </c>
      <c r="L468" s="49" t="s">
        <v>584</v>
      </c>
      <c r="M468" s="38" t="s">
        <v>585</v>
      </c>
      <c r="N468" s="174">
        <v>43388</v>
      </c>
      <c r="O468" s="23" t="s">
        <v>17</v>
      </c>
      <c r="P468" s="23" t="s">
        <v>17</v>
      </c>
      <c r="Q468" s="23" t="s">
        <v>17</v>
      </c>
      <c r="R468" s="151" t="s">
        <v>590</v>
      </c>
      <c r="S468" s="39" t="s">
        <v>11</v>
      </c>
      <c r="T468" s="39" t="s">
        <v>11</v>
      </c>
      <c r="U468" s="153">
        <v>390.63</v>
      </c>
      <c r="V468" s="153"/>
      <c r="W468" s="153"/>
      <c r="X468" s="153">
        <v>976</v>
      </c>
      <c r="Y468" s="153">
        <v>1030</v>
      </c>
      <c r="Z468" s="153">
        <v>1200</v>
      </c>
      <c r="AA468" s="40">
        <v>231</v>
      </c>
      <c r="AB468" s="40">
        <v>461</v>
      </c>
      <c r="AC468" s="40">
        <v>692</v>
      </c>
      <c r="AD468" s="40">
        <v>1153</v>
      </c>
      <c r="AE468" s="40">
        <v>1730</v>
      </c>
      <c r="AF468" s="40">
        <v>2306</v>
      </c>
      <c r="AG468" s="40">
        <v>95.6</v>
      </c>
      <c r="AH468" s="40">
        <v>97.1</v>
      </c>
      <c r="AI468" s="40">
        <v>97.8</v>
      </c>
      <c r="AJ468" s="40">
        <v>98.2</v>
      </c>
      <c r="AK468" s="40">
        <v>98.2</v>
      </c>
      <c r="AL468" s="40">
        <v>98</v>
      </c>
      <c r="AM468" s="40">
        <v>98</v>
      </c>
      <c r="AN468" s="40">
        <v>95.6</v>
      </c>
      <c r="AO468" s="40">
        <v>97.1</v>
      </c>
      <c r="AP468" s="40">
        <v>97.7</v>
      </c>
      <c r="AQ468" s="40">
        <v>98.1</v>
      </c>
      <c r="AR468" s="40">
        <v>98.1</v>
      </c>
      <c r="AS468" s="40">
        <v>97.9</v>
      </c>
      <c r="AT468" s="40">
        <v>97.9</v>
      </c>
      <c r="AU468" s="40">
        <v>95.5</v>
      </c>
      <c r="AV468" s="40">
        <v>97</v>
      </c>
      <c r="AW468" s="40">
        <v>97.6</v>
      </c>
      <c r="AX468" s="40">
        <v>98.1</v>
      </c>
      <c r="AY468" s="40">
        <v>98.1</v>
      </c>
      <c r="AZ468" s="40">
        <v>97.8</v>
      </c>
      <c r="BA468" s="40">
        <v>97.9</v>
      </c>
      <c r="BB468" s="174">
        <v>43235</v>
      </c>
      <c r="BC468" s="174">
        <v>43388</v>
      </c>
    </row>
    <row r="469" spans="1:55" s="44" customFormat="1" ht="60">
      <c r="A469" s="18" t="s">
        <v>5</v>
      </c>
      <c r="B469" s="18" t="s">
        <v>1017</v>
      </c>
      <c r="C469" s="23" t="s">
        <v>10</v>
      </c>
      <c r="D469" s="23" t="s">
        <v>10</v>
      </c>
      <c r="E469" s="23" t="s">
        <v>11</v>
      </c>
      <c r="F469" s="23" t="s">
        <v>11</v>
      </c>
      <c r="G469" s="18" t="s">
        <v>605</v>
      </c>
      <c r="H469" s="19">
        <v>2558.48</v>
      </c>
      <c r="I469" s="37">
        <v>645</v>
      </c>
      <c r="J469" s="19">
        <v>98</v>
      </c>
      <c r="K469" s="21" t="s">
        <v>1220</v>
      </c>
      <c r="L469" s="49" t="s">
        <v>584</v>
      </c>
      <c r="M469" s="38" t="s">
        <v>585</v>
      </c>
      <c r="N469" s="174">
        <v>43388</v>
      </c>
      <c r="O469" s="23" t="s">
        <v>17</v>
      </c>
      <c r="P469" s="23" t="s">
        <v>17</v>
      </c>
      <c r="Q469" s="23" t="s">
        <v>17</v>
      </c>
      <c r="R469" s="151" t="s">
        <v>606</v>
      </c>
      <c r="S469" s="39" t="s">
        <v>11</v>
      </c>
      <c r="T469" s="39" t="s">
        <v>11</v>
      </c>
      <c r="U469" s="153">
        <v>409.99</v>
      </c>
      <c r="V469" s="153"/>
      <c r="W469" s="153"/>
      <c r="X469" s="153">
        <v>913</v>
      </c>
      <c r="Y469" s="153">
        <v>980</v>
      </c>
      <c r="Z469" s="153">
        <v>1200</v>
      </c>
      <c r="AA469" s="40">
        <v>256</v>
      </c>
      <c r="AB469" s="40">
        <v>512</v>
      </c>
      <c r="AC469" s="40">
        <v>768</v>
      </c>
      <c r="AD469" s="40">
        <v>1279</v>
      </c>
      <c r="AE469" s="40">
        <v>1919</v>
      </c>
      <c r="AF469" s="40">
        <v>2558</v>
      </c>
      <c r="AG469" s="40">
        <v>95.7</v>
      </c>
      <c r="AH469" s="40">
        <v>97.4</v>
      </c>
      <c r="AI469" s="40">
        <v>97.8</v>
      </c>
      <c r="AJ469" s="40">
        <v>98.1</v>
      </c>
      <c r="AK469" s="40">
        <v>98.1</v>
      </c>
      <c r="AL469" s="40">
        <v>97.9</v>
      </c>
      <c r="AM469" s="40">
        <v>97.9</v>
      </c>
      <c r="AN469" s="40">
        <v>95.6</v>
      </c>
      <c r="AO469" s="40">
        <v>97.3</v>
      </c>
      <c r="AP469" s="40">
        <v>97.8</v>
      </c>
      <c r="AQ469" s="40">
        <v>98.1</v>
      </c>
      <c r="AR469" s="40">
        <v>98.1</v>
      </c>
      <c r="AS469" s="40">
        <v>97.8</v>
      </c>
      <c r="AT469" s="40">
        <v>97.9</v>
      </c>
      <c r="AU469" s="40">
        <v>95.6</v>
      </c>
      <c r="AV469" s="40">
        <v>97.3</v>
      </c>
      <c r="AW469" s="40">
        <v>97.7</v>
      </c>
      <c r="AX469" s="40">
        <v>98.1</v>
      </c>
      <c r="AY469" s="40">
        <v>98.1</v>
      </c>
      <c r="AZ469" s="40">
        <v>97.8</v>
      </c>
      <c r="BA469" s="40">
        <v>97.9</v>
      </c>
      <c r="BB469" s="174">
        <v>43235</v>
      </c>
      <c r="BC469" s="174">
        <v>43388</v>
      </c>
    </row>
    <row r="470" spans="1:55" s="44" customFormat="1" ht="60">
      <c r="A470" s="18" t="s">
        <v>5</v>
      </c>
      <c r="B470" s="18" t="s">
        <v>1015</v>
      </c>
      <c r="C470" s="23" t="s">
        <v>10</v>
      </c>
      <c r="D470" s="23" t="s">
        <v>10</v>
      </c>
      <c r="E470" s="23" t="s">
        <v>11</v>
      </c>
      <c r="F470" s="23" t="s">
        <v>11</v>
      </c>
      <c r="G470" s="18" t="s">
        <v>615</v>
      </c>
      <c r="H470" s="19">
        <v>2417.08</v>
      </c>
      <c r="I470" s="37">
        <v>600</v>
      </c>
      <c r="J470" s="19">
        <v>97.5</v>
      </c>
      <c r="K470" s="21" t="s">
        <v>1220</v>
      </c>
      <c r="L470" s="49" t="s">
        <v>584</v>
      </c>
      <c r="M470" s="38" t="s">
        <v>585</v>
      </c>
      <c r="N470" s="174">
        <v>43388</v>
      </c>
      <c r="O470" s="23" t="s">
        <v>17</v>
      </c>
      <c r="P470" s="23" t="s">
        <v>17</v>
      </c>
      <c r="Q470" s="23" t="s">
        <v>17</v>
      </c>
      <c r="R470" s="151" t="s">
        <v>616</v>
      </c>
      <c r="S470" s="39" t="s">
        <v>11</v>
      </c>
      <c r="T470" s="39" t="s">
        <v>11</v>
      </c>
      <c r="U470" s="153">
        <v>403.32</v>
      </c>
      <c r="V470" s="153"/>
      <c r="W470" s="153"/>
      <c r="X470" s="153">
        <v>849</v>
      </c>
      <c r="Y470" s="153">
        <v>940</v>
      </c>
      <c r="Z470" s="153">
        <v>1200</v>
      </c>
      <c r="AA470" s="40">
        <v>242</v>
      </c>
      <c r="AB470" s="40">
        <v>483</v>
      </c>
      <c r="AC470" s="40">
        <v>725</v>
      </c>
      <c r="AD470" s="40">
        <v>1209</v>
      </c>
      <c r="AE470" s="40">
        <v>1813</v>
      </c>
      <c r="AF470" s="40">
        <v>2417</v>
      </c>
      <c r="AG470" s="40">
        <v>95.5</v>
      </c>
      <c r="AH470" s="40">
        <v>97.2</v>
      </c>
      <c r="AI470" s="40">
        <v>97.7</v>
      </c>
      <c r="AJ470" s="40">
        <v>98.1</v>
      </c>
      <c r="AK470" s="40">
        <v>98.1</v>
      </c>
      <c r="AL470" s="40">
        <v>97.8</v>
      </c>
      <c r="AM470" s="40">
        <v>97.9</v>
      </c>
      <c r="AN470" s="40">
        <v>95.5</v>
      </c>
      <c r="AO470" s="40">
        <v>97.2</v>
      </c>
      <c r="AP470" s="40">
        <v>97.7</v>
      </c>
      <c r="AQ470" s="40">
        <v>98</v>
      </c>
      <c r="AR470" s="40">
        <v>98</v>
      </c>
      <c r="AS470" s="40">
        <v>97.7</v>
      </c>
      <c r="AT470" s="40">
        <v>97.8</v>
      </c>
      <c r="AU470" s="40">
        <v>95.4</v>
      </c>
      <c r="AV470" s="40">
        <v>97.1</v>
      </c>
      <c r="AW470" s="40">
        <v>97.6</v>
      </c>
      <c r="AX470" s="40">
        <v>98</v>
      </c>
      <c r="AY470" s="40">
        <v>98</v>
      </c>
      <c r="AZ470" s="40">
        <v>97.7</v>
      </c>
      <c r="BA470" s="40">
        <v>97.8</v>
      </c>
      <c r="BB470" s="174">
        <v>43235</v>
      </c>
      <c r="BC470" s="174">
        <v>43388</v>
      </c>
    </row>
    <row r="471" spans="1:55" s="44" customFormat="1" ht="60">
      <c r="A471" s="18" t="s">
        <v>5</v>
      </c>
      <c r="B471" s="18" t="s">
        <v>1016</v>
      </c>
      <c r="C471" s="23" t="s">
        <v>10</v>
      </c>
      <c r="D471" s="23" t="s">
        <v>10</v>
      </c>
      <c r="E471" s="23" t="s">
        <v>11</v>
      </c>
      <c r="F471" s="23" t="s">
        <v>11</v>
      </c>
      <c r="G471" s="18" t="s">
        <v>633</v>
      </c>
      <c r="H471" s="19">
        <v>2420.37</v>
      </c>
      <c r="I471" s="37">
        <v>600</v>
      </c>
      <c r="J471" s="19">
        <v>98</v>
      </c>
      <c r="K471" s="21" t="s">
        <v>1220</v>
      </c>
      <c r="L471" s="49" t="s">
        <v>584</v>
      </c>
      <c r="M471" s="38" t="s">
        <v>585</v>
      </c>
      <c r="N471" s="174">
        <v>43388</v>
      </c>
      <c r="O471" s="23" t="s">
        <v>17</v>
      </c>
      <c r="P471" s="23" t="s">
        <v>17</v>
      </c>
      <c r="Q471" s="23" t="s">
        <v>17</v>
      </c>
      <c r="R471" s="151" t="s">
        <v>634</v>
      </c>
      <c r="S471" s="39" t="s">
        <v>11</v>
      </c>
      <c r="T471" s="39" t="s">
        <v>11</v>
      </c>
      <c r="U471" s="153">
        <v>416.47</v>
      </c>
      <c r="V471" s="153"/>
      <c r="W471" s="153"/>
      <c r="X471" s="153">
        <v>849</v>
      </c>
      <c r="Y471" s="153">
        <v>940</v>
      </c>
      <c r="Z471" s="153">
        <v>1200</v>
      </c>
      <c r="AA471" s="40">
        <v>242</v>
      </c>
      <c r="AB471" s="40">
        <v>484</v>
      </c>
      <c r="AC471" s="40">
        <v>726</v>
      </c>
      <c r="AD471" s="40">
        <v>1210</v>
      </c>
      <c r="AE471" s="40">
        <v>1815</v>
      </c>
      <c r="AF471" s="40">
        <v>2420</v>
      </c>
      <c r="AG471" s="40">
        <v>97.2</v>
      </c>
      <c r="AH471" s="40">
        <v>97.8</v>
      </c>
      <c r="AI471" s="40">
        <v>98</v>
      </c>
      <c r="AJ471" s="40">
        <v>98.2</v>
      </c>
      <c r="AK471" s="40">
        <v>98.1</v>
      </c>
      <c r="AL471" s="40">
        <v>97.9</v>
      </c>
      <c r="AM471" s="40">
        <v>98</v>
      </c>
      <c r="AN471" s="40">
        <v>96.9</v>
      </c>
      <c r="AO471" s="40">
        <v>97.8</v>
      </c>
      <c r="AP471" s="40">
        <v>98</v>
      </c>
      <c r="AQ471" s="40">
        <v>98</v>
      </c>
      <c r="AR471" s="40">
        <v>98</v>
      </c>
      <c r="AS471" s="40">
        <v>97.7</v>
      </c>
      <c r="AT471" s="40">
        <v>97.9</v>
      </c>
      <c r="AU471" s="40">
        <v>96.9</v>
      </c>
      <c r="AV471" s="40">
        <v>97.7</v>
      </c>
      <c r="AW471" s="40">
        <v>97.9</v>
      </c>
      <c r="AX471" s="40">
        <v>98.1</v>
      </c>
      <c r="AY471" s="40">
        <v>98</v>
      </c>
      <c r="AZ471" s="40">
        <v>97.8</v>
      </c>
      <c r="BA471" s="40">
        <v>97.9</v>
      </c>
      <c r="BB471" s="174">
        <v>43235</v>
      </c>
      <c r="BC471" s="174">
        <v>43388</v>
      </c>
    </row>
    <row r="472" spans="1:55" s="44" customFormat="1" ht="60">
      <c r="A472" s="18" t="s">
        <v>5</v>
      </c>
      <c r="B472" s="18" t="s">
        <v>1021</v>
      </c>
      <c r="C472" s="23" t="s">
        <v>10</v>
      </c>
      <c r="D472" s="23" t="s">
        <v>10</v>
      </c>
      <c r="E472" s="23" t="s">
        <v>11</v>
      </c>
      <c r="F472" s="23" t="s">
        <v>11</v>
      </c>
      <c r="G472" s="18" t="s">
        <v>593</v>
      </c>
      <c r="H472" s="19">
        <v>2759.49</v>
      </c>
      <c r="I472" s="37">
        <v>690</v>
      </c>
      <c r="J472" s="19">
        <v>98</v>
      </c>
      <c r="K472" s="21" t="s">
        <v>1220</v>
      </c>
      <c r="L472" s="49" t="s">
        <v>584</v>
      </c>
      <c r="M472" s="38" t="s">
        <v>585</v>
      </c>
      <c r="N472" s="174">
        <v>43388</v>
      </c>
      <c r="O472" s="23" t="s">
        <v>17</v>
      </c>
      <c r="P472" s="23" t="s">
        <v>17</v>
      </c>
      <c r="Q472" s="23" t="s">
        <v>17</v>
      </c>
      <c r="R472" s="151" t="s">
        <v>594</v>
      </c>
      <c r="S472" s="39" t="s">
        <v>11</v>
      </c>
      <c r="T472" s="39" t="s">
        <v>11</v>
      </c>
      <c r="U472" s="153">
        <v>408.67</v>
      </c>
      <c r="V472" s="153"/>
      <c r="W472" s="153"/>
      <c r="X472" s="153">
        <v>976</v>
      </c>
      <c r="Y472" s="153">
        <v>1030</v>
      </c>
      <c r="Z472" s="153">
        <v>1200</v>
      </c>
      <c r="AA472" s="40">
        <v>276</v>
      </c>
      <c r="AB472" s="40">
        <v>552</v>
      </c>
      <c r="AC472" s="40">
        <v>828</v>
      </c>
      <c r="AD472" s="40">
        <v>1380</v>
      </c>
      <c r="AE472" s="40">
        <v>2070</v>
      </c>
      <c r="AF472" s="40">
        <v>2759</v>
      </c>
      <c r="AG472" s="40">
        <v>95.9</v>
      </c>
      <c r="AH472" s="40">
        <v>97.5</v>
      </c>
      <c r="AI472" s="40">
        <v>97.9</v>
      </c>
      <c r="AJ472" s="40">
        <v>98.2</v>
      </c>
      <c r="AK472" s="40">
        <v>98.2</v>
      </c>
      <c r="AL472" s="40">
        <v>98</v>
      </c>
      <c r="AM472" s="40">
        <v>98</v>
      </c>
      <c r="AN472" s="40">
        <v>95.8</v>
      </c>
      <c r="AO472" s="40">
        <v>97.4</v>
      </c>
      <c r="AP472" s="40">
        <v>97.8</v>
      </c>
      <c r="AQ472" s="40">
        <v>98.1</v>
      </c>
      <c r="AR472" s="40">
        <v>98.2</v>
      </c>
      <c r="AS472" s="40">
        <v>97.9</v>
      </c>
      <c r="AT472" s="40">
        <v>98</v>
      </c>
      <c r="AU472" s="40">
        <v>95.8</v>
      </c>
      <c r="AV472" s="40">
        <v>97.4</v>
      </c>
      <c r="AW472" s="40">
        <v>97.8</v>
      </c>
      <c r="AX472" s="40">
        <v>98.2</v>
      </c>
      <c r="AY472" s="40">
        <v>98.1</v>
      </c>
      <c r="AZ472" s="40">
        <v>97.9</v>
      </c>
      <c r="BA472" s="40">
        <v>98</v>
      </c>
      <c r="BB472" s="174">
        <v>43235</v>
      </c>
      <c r="BC472" s="174">
        <v>43388</v>
      </c>
    </row>
    <row r="473" spans="1:55" s="44" customFormat="1" ht="60">
      <c r="A473" s="18" t="s">
        <v>5</v>
      </c>
      <c r="B473" s="18" t="s">
        <v>1018</v>
      </c>
      <c r="C473" s="23" t="s">
        <v>10</v>
      </c>
      <c r="D473" s="23" t="s">
        <v>10</v>
      </c>
      <c r="E473" s="23" t="s">
        <v>11</v>
      </c>
      <c r="F473" s="23" t="s">
        <v>11</v>
      </c>
      <c r="G473" s="18" t="s">
        <v>603</v>
      </c>
      <c r="H473" s="19">
        <v>2583.7600000000002</v>
      </c>
      <c r="I473" s="37">
        <v>645</v>
      </c>
      <c r="J473" s="19">
        <v>98</v>
      </c>
      <c r="K473" s="21" t="s">
        <v>1220</v>
      </c>
      <c r="L473" s="49" t="s">
        <v>584</v>
      </c>
      <c r="M473" s="38" t="s">
        <v>585</v>
      </c>
      <c r="N473" s="174">
        <v>43388</v>
      </c>
      <c r="O473" s="23" t="s">
        <v>17</v>
      </c>
      <c r="P473" s="23" t="s">
        <v>17</v>
      </c>
      <c r="Q473" s="23" t="s">
        <v>17</v>
      </c>
      <c r="R473" s="151" t="s">
        <v>604</v>
      </c>
      <c r="S473" s="39" t="s">
        <v>11</v>
      </c>
      <c r="T473" s="39" t="s">
        <v>11</v>
      </c>
      <c r="U473" s="153">
        <v>407.44</v>
      </c>
      <c r="V473" s="153"/>
      <c r="W473" s="153"/>
      <c r="X473" s="153">
        <v>913</v>
      </c>
      <c r="Y473" s="153">
        <v>980</v>
      </c>
      <c r="Z473" s="153">
        <v>1200</v>
      </c>
      <c r="AA473" s="40">
        <v>258</v>
      </c>
      <c r="AB473" s="40">
        <v>517</v>
      </c>
      <c r="AC473" s="40">
        <v>775</v>
      </c>
      <c r="AD473" s="40">
        <v>1292</v>
      </c>
      <c r="AE473" s="40">
        <v>1938</v>
      </c>
      <c r="AF473" s="40">
        <v>2584</v>
      </c>
      <c r="AG473" s="40">
        <v>95.8</v>
      </c>
      <c r="AH473" s="40">
        <v>97.4</v>
      </c>
      <c r="AI473" s="40">
        <v>97.9</v>
      </c>
      <c r="AJ473" s="40">
        <v>98.1</v>
      </c>
      <c r="AK473" s="40">
        <v>98.1</v>
      </c>
      <c r="AL473" s="40">
        <v>97.9</v>
      </c>
      <c r="AM473" s="40">
        <v>98</v>
      </c>
      <c r="AN473" s="40">
        <v>95.8</v>
      </c>
      <c r="AO473" s="40">
        <v>97.4</v>
      </c>
      <c r="AP473" s="40">
        <v>97.7</v>
      </c>
      <c r="AQ473" s="40">
        <v>98.1</v>
      </c>
      <c r="AR473" s="40">
        <v>98.1</v>
      </c>
      <c r="AS473" s="40">
        <v>97.8</v>
      </c>
      <c r="AT473" s="40">
        <v>97.9</v>
      </c>
      <c r="AU473" s="40">
        <v>95.7</v>
      </c>
      <c r="AV473" s="40">
        <v>97.3</v>
      </c>
      <c r="AW473" s="40">
        <v>97.7</v>
      </c>
      <c r="AX473" s="40">
        <v>98.1</v>
      </c>
      <c r="AY473" s="40">
        <v>98</v>
      </c>
      <c r="AZ473" s="40">
        <v>97.8</v>
      </c>
      <c r="BA473" s="40">
        <v>97.9</v>
      </c>
      <c r="BB473" s="174">
        <v>43235</v>
      </c>
      <c r="BC473" s="174">
        <v>43388</v>
      </c>
    </row>
    <row r="474" spans="1:55" s="44" customFormat="1" ht="60">
      <c r="A474" s="18" t="s">
        <v>5</v>
      </c>
      <c r="B474" s="18" t="s">
        <v>1019</v>
      </c>
      <c r="C474" s="23" t="s">
        <v>10</v>
      </c>
      <c r="D474" s="23" t="s">
        <v>10</v>
      </c>
      <c r="E474" s="23" t="s">
        <v>11</v>
      </c>
      <c r="F474" s="23" t="s">
        <v>11</v>
      </c>
      <c r="G474" s="18" t="s">
        <v>627</v>
      </c>
      <c r="H474" s="19">
        <v>2664.07</v>
      </c>
      <c r="I474" s="37">
        <v>565</v>
      </c>
      <c r="J474" s="19">
        <v>97.5</v>
      </c>
      <c r="K474" s="21" t="s">
        <v>1220</v>
      </c>
      <c r="L474" s="49" t="s">
        <v>584</v>
      </c>
      <c r="M474" s="38" t="s">
        <v>585</v>
      </c>
      <c r="N474" s="174">
        <v>43388</v>
      </c>
      <c r="O474" s="23" t="s">
        <v>17</v>
      </c>
      <c r="P474" s="23" t="s">
        <v>17</v>
      </c>
      <c r="Q474" s="23" t="s">
        <v>17</v>
      </c>
      <c r="R474" s="151" t="s">
        <v>628</v>
      </c>
      <c r="S474" s="39" t="s">
        <v>11</v>
      </c>
      <c r="T474" s="39" t="s">
        <v>11</v>
      </c>
      <c r="U474" s="153">
        <v>417.35</v>
      </c>
      <c r="V474" s="153"/>
      <c r="W474" s="153"/>
      <c r="X474" s="153">
        <v>800</v>
      </c>
      <c r="Y474" s="153">
        <v>900</v>
      </c>
      <c r="Z474" s="153">
        <v>1200</v>
      </c>
      <c r="AA474" s="40">
        <v>266</v>
      </c>
      <c r="AB474" s="40">
        <v>533</v>
      </c>
      <c r="AC474" s="40">
        <v>799</v>
      </c>
      <c r="AD474" s="40">
        <v>1332</v>
      </c>
      <c r="AE474" s="40">
        <v>1998</v>
      </c>
      <c r="AF474" s="40">
        <v>2664</v>
      </c>
      <c r="AG474" s="40">
        <v>95.7</v>
      </c>
      <c r="AH474" s="40">
        <v>97.3</v>
      </c>
      <c r="AI474" s="40">
        <v>97.6</v>
      </c>
      <c r="AJ474" s="40">
        <v>98</v>
      </c>
      <c r="AK474" s="40">
        <v>98</v>
      </c>
      <c r="AL474" s="40">
        <v>97.7</v>
      </c>
      <c r="AM474" s="40">
        <v>97.8</v>
      </c>
      <c r="AN474" s="40">
        <v>95.6</v>
      </c>
      <c r="AO474" s="40">
        <v>97.2</v>
      </c>
      <c r="AP474" s="40">
        <v>97.6</v>
      </c>
      <c r="AQ474" s="40">
        <v>97.9</v>
      </c>
      <c r="AR474" s="40">
        <v>97.9</v>
      </c>
      <c r="AS474" s="40">
        <v>97.6</v>
      </c>
      <c r="AT474" s="40">
        <v>97.7</v>
      </c>
      <c r="AU474" s="40">
        <v>95.6</v>
      </c>
      <c r="AV474" s="40">
        <v>97.2</v>
      </c>
      <c r="AW474" s="40">
        <v>97.5</v>
      </c>
      <c r="AX474" s="40">
        <v>97.9</v>
      </c>
      <c r="AY474" s="40">
        <v>97.9</v>
      </c>
      <c r="AZ474" s="40">
        <v>97.6</v>
      </c>
      <c r="BA474" s="40">
        <v>97.7</v>
      </c>
      <c r="BB474" s="174">
        <v>43235</v>
      </c>
      <c r="BC474" s="174">
        <v>43388</v>
      </c>
    </row>
    <row r="475" spans="1:55" s="44" customFormat="1" ht="60">
      <c r="A475" s="18" t="s">
        <v>5</v>
      </c>
      <c r="B475" s="18" t="s">
        <v>1020</v>
      </c>
      <c r="C475" s="23" t="s">
        <v>10</v>
      </c>
      <c r="D475" s="23" t="s">
        <v>10</v>
      </c>
      <c r="E475" s="23" t="s">
        <v>11</v>
      </c>
      <c r="F475" s="23" t="s">
        <v>11</v>
      </c>
      <c r="G475" s="18" t="s">
        <v>591</v>
      </c>
      <c r="H475" s="19">
        <v>2759.39</v>
      </c>
      <c r="I475" s="37">
        <v>690</v>
      </c>
      <c r="J475" s="19">
        <v>98</v>
      </c>
      <c r="K475" s="21" t="s">
        <v>1220</v>
      </c>
      <c r="L475" s="49" t="s">
        <v>584</v>
      </c>
      <c r="M475" s="38" t="s">
        <v>585</v>
      </c>
      <c r="N475" s="174">
        <v>43388</v>
      </c>
      <c r="O475" s="23" t="s">
        <v>17</v>
      </c>
      <c r="P475" s="23" t="s">
        <v>17</v>
      </c>
      <c r="Q475" s="23" t="s">
        <v>17</v>
      </c>
      <c r="R475" s="151" t="s">
        <v>592</v>
      </c>
      <c r="S475" s="39" t="s">
        <v>11</v>
      </c>
      <c r="T475" s="39" t="s">
        <v>11</v>
      </c>
      <c r="U475" s="153">
        <v>408.29</v>
      </c>
      <c r="V475" s="153"/>
      <c r="W475" s="153"/>
      <c r="X475" s="153">
        <v>976</v>
      </c>
      <c r="Y475" s="153">
        <v>1030</v>
      </c>
      <c r="Z475" s="153">
        <v>1200</v>
      </c>
      <c r="AA475" s="40">
        <v>276</v>
      </c>
      <c r="AB475" s="40">
        <v>552</v>
      </c>
      <c r="AC475" s="40">
        <v>828</v>
      </c>
      <c r="AD475" s="40">
        <v>1380</v>
      </c>
      <c r="AE475" s="40">
        <v>2070</v>
      </c>
      <c r="AF475" s="40">
        <v>2759</v>
      </c>
      <c r="AG475" s="40">
        <v>96</v>
      </c>
      <c r="AH475" s="40">
        <v>97.5</v>
      </c>
      <c r="AI475" s="40">
        <v>97.9</v>
      </c>
      <c r="AJ475" s="40">
        <v>98.2</v>
      </c>
      <c r="AK475" s="40">
        <v>98.2</v>
      </c>
      <c r="AL475" s="40">
        <v>97.9</v>
      </c>
      <c r="AM475" s="40">
        <v>98</v>
      </c>
      <c r="AN475" s="40">
        <v>95.9</v>
      </c>
      <c r="AO475" s="40">
        <v>97.4</v>
      </c>
      <c r="AP475" s="40">
        <v>97.8</v>
      </c>
      <c r="AQ475" s="40">
        <v>98.2</v>
      </c>
      <c r="AR475" s="40">
        <v>98.1</v>
      </c>
      <c r="AS475" s="40">
        <v>97.8</v>
      </c>
      <c r="AT475" s="40">
        <v>97.9</v>
      </c>
      <c r="AU475" s="40">
        <v>95.9</v>
      </c>
      <c r="AV475" s="40">
        <v>97.4</v>
      </c>
      <c r="AW475" s="40">
        <v>97.8</v>
      </c>
      <c r="AX475" s="40">
        <v>98.1</v>
      </c>
      <c r="AY475" s="40">
        <v>98.1</v>
      </c>
      <c r="AZ475" s="40">
        <v>97.9</v>
      </c>
      <c r="BA475" s="40">
        <v>98</v>
      </c>
      <c r="BB475" s="174">
        <v>43235</v>
      </c>
      <c r="BC475" s="174">
        <v>43388</v>
      </c>
    </row>
    <row r="476" spans="1:55" s="44" customFormat="1" ht="60">
      <c r="A476" s="18" t="s">
        <v>5</v>
      </c>
      <c r="B476" s="18" t="s">
        <v>1023</v>
      </c>
      <c r="C476" s="23" t="s">
        <v>10</v>
      </c>
      <c r="D476" s="23" t="s">
        <v>10</v>
      </c>
      <c r="E476" s="23" t="s">
        <v>11</v>
      </c>
      <c r="F476" s="23" t="s">
        <v>11</v>
      </c>
      <c r="G476" s="18" t="s">
        <v>617</v>
      </c>
      <c r="H476" s="19">
        <v>2821.84</v>
      </c>
      <c r="I476" s="37">
        <v>600</v>
      </c>
      <c r="J476" s="19">
        <v>98</v>
      </c>
      <c r="K476" s="21" t="s">
        <v>1220</v>
      </c>
      <c r="L476" s="49" t="s">
        <v>584</v>
      </c>
      <c r="M476" s="38" t="s">
        <v>585</v>
      </c>
      <c r="N476" s="174">
        <v>43388</v>
      </c>
      <c r="O476" s="23" t="s">
        <v>17</v>
      </c>
      <c r="P476" s="23" t="s">
        <v>17</v>
      </c>
      <c r="Q476" s="23" t="s">
        <v>17</v>
      </c>
      <c r="R476" s="151" t="s">
        <v>618</v>
      </c>
      <c r="S476" s="39" t="s">
        <v>11</v>
      </c>
      <c r="T476" s="39" t="s">
        <v>11</v>
      </c>
      <c r="U476" s="153">
        <v>423.67</v>
      </c>
      <c r="V476" s="153"/>
      <c r="W476" s="153"/>
      <c r="X476" s="153">
        <v>849</v>
      </c>
      <c r="Y476" s="153">
        <v>940</v>
      </c>
      <c r="Z476" s="153">
        <v>1200</v>
      </c>
      <c r="AA476" s="40">
        <v>282</v>
      </c>
      <c r="AB476" s="40">
        <v>564</v>
      </c>
      <c r="AC476" s="40">
        <v>847</v>
      </c>
      <c r="AD476" s="40">
        <v>1411</v>
      </c>
      <c r="AE476" s="40">
        <v>2116</v>
      </c>
      <c r="AF476" s="40">
        <v>2822</v>
      </c>
      <c r="AG476" s="40">
        <v>95.7</v>
      </c>
      <c r="AH476" s="40">
        <v>97.4</v>
      </c>
      <c r="AI476" s="40">
        <v>97.9</v>
      </c>
      <c r="AJ476" s="40">
        <v>98.1</v>
      </c>
      <c r="AK476" s="40">
        <v>98</v>
      </c>
      <c r="AL476" s="40">
        <v>97.8</v>
      </c>
      <c r="AM476" s="40">
        <v>97.9</v>
      </c>
      <c r="AN476" s="40">
        <v>95.7</v>
      </c>
      <c r="AO476" s="40">
        <v>97.3</v>
      </c>
      <c r="AP476" s="40">
        <v>97.8</v>
      </c>
      <c r="AQ476" s="40">
        <v>98.1</v>
      </c>
      <c r="AR476" s="40">
        <v>98</v>
      </c>
      <c r="AS476" s="40">
        <v>97.7</v>
      </c>
      <c r="AT476" s="40">
        <v>97.8</v>
      </c>
      <c r="AU476" s="40">
        <v>95.7</v>
      </c>
      <c r="AV476" s="40">
        <v>97.2</v>
      </c>
      <c r="AW476" s="40">
        <v>97.7</v>
      </c>
      <c r="AX476" s="40">
        <v>98</v>
      </c>
      <c r="AY476" s="40">
        <v>98</v>
      </c>
      <c r="AZ476" s="40">
        <v>97.7</v>
      </c>
      <c r="BA476" s="40">
        <v>97.8</v>
      </c>
      <c r="BB476" s="174">
        <v>43235</v>
      </c>
      <c r="BC476" s="174">
        <v>43388</v>
      </c>
    </row>
    <row r="477" spans="1:55" s="44" customFormat="1" ht="60">
      <c r="A477" s="18" t="s">
        <v>5</v>
      </c>
      <c r="B477" s="18" t="s">
        <v>1022</v>
      </c>
      <c r="C477" s="23" t="s">
        <v>10</v>
      </c>
      <c r="D477" s="23" t="s">
        <v>10</v>
      </c>
      <c r="E477" s="23" t="s">
        <v>11</v>
      </c>
      <c r="F477" s="23" t="s">
        <v>11</v>
      </c>
      <c r="G477" s="18" t="s">
        <v>635</v>
      </c>
      <c r="H477" s="19">
        <v>2770.2</v>
      </c>
      <c r="I477" s="37">
        <v>600</v>
      </c>
      <c r="J477" s="19">
        <v>98</v>
      </c>
      <c r="K477" s="21" t="s">
        <v>1220</v>
      </c>
      <c r="L477" s="49" t="s">
        <v>584</v>
      </c>
      <c r="M477" s="38" t="s">
        <v>585</v>
      </c>
      <c r="N477" s="174">
        <v>43388</v>
      </c>
      <c r="O477" s="23" t="s">
        <v>17</v>
      </c>
      <c r="P477" s="23" t="s">
        <v>17</v>
      </c>
      <c r="Q477" s="23" t="s">
        <v>17</v>
      </c>
      <c r="R477" s="151" t="s">
        <v>618</v>
      </c>
      <c r="S477" s="39" t="s">
        <v>11</v>
      </c>
      <c r="T477" s="39" t="s">
        <v>11</v>
      </c>
      <c r="U477" s="153">
        <v>433.54</v>
      </c>
      <c r="V477" s="153"/>
      <c r="W477" s="153"/>
      <c r="X477" s="153">
        <v>849</v>
      </c>
      <c r="Y477" s="153">
        <v>940</v>
      </c>
      <c r="Z477" s="153">
        <v>1200</v>
      </c>
      <c r="AA477" s="40">
        <v>277</v>
      </c>
      <c r="AB477" s="40">
        <v>554</v>
      </c>
      <c r="AC477" s="40">
        <v>831</v>
      </c>
      <c r="AD477" s="40">
        <v>1385</v>
      </c>
      <c r="AE477" s="40">
        <v>2078</v>
      </c>
      <c r="AF477" s="40">
        <v>2770</v>
      </c>
      <c r="AG477" s="40">
        <v>97.2</v>
      </c>
      <c r="AH477" s="40">
        <v>97.9</v>
      </c>
      <c r="AI477" s="40">
        <v>98.1</v>
      </c>
      <c r="AJ477" s="40">
        <v>98.2</v>
      </c>
      <c r="AK477" s="40">
        <v>98.1</v>
      </c>
      <c r="AL477" s="40">
        <v>97.9</v>
      </c>
      <c r="AM477" s="40">
        <v>98</v>
      </c>
      <c r="AN477" s="40">
        <v>97.1</v>
      </c>
      <c r="AO477" s="40">
        <v>97.8</v>
      </c>
      <c r="AP477" s="40">
        <v>98</v>
      </c>
      <c r="AQ477" s="40">
        <v>98</v>
      </c>
      <c r="AR477" s="40">
        <v>98</v>
      </c>
      <c r="AS477" s="40">
        <v>97.8</v>
      </c>
      <c r="AT477" s="40">
        <v>98</v>
      </c>
      <c r="AU477" s="40">
        <v>97.1</v>
      </c>
      <c r="AV477" s="40">
        <v>97.8</v>
      </c>
      <c r="AW477" s="40">
        <v>98</v>
      </c>
      <c r="AX477" s="40">
        <v>98.1</v>
      </c>
      <c r="AY477" s="40">
        <v>98</v>
      </c>
      <c r="AZ477" s="40">
        <v>97.8</v>
      </c>
      <c r="BA477" s="40">
        <v>98</v>
      </c>
      <c r="BB477" s="174">
        <v>43235</v>
      </c>
      <c r="BC477" s="174">
        <v>43388</v>
      </c>
    </row>
    <row r="478" spans="1:55" s="44" customFormat="1" ht="60">
      <c r="A478" s="18" t="s">
        <v>5</v>
      </c>
      <c r="B478" s="18" t="s">
        <v>1024</v>
      </c>
      <c r="C478" s="23" t="s">
        <v>10</v>
      </c>
      <c r="D478" s="23" t="s">
        <v>10</v>
      </c>
      <c r="E478" s="23" t="s">
        <v>11</v>
      </c>
      <c r="F478" s="23" t="s">
        <v>11</v>
      </c>
      <c r="G478" s="18" t="s">
        <v>607</v>
      </c>
      <c r="H478" s="19">
        <v>3024.91</v>
      </c>
      <c r="I478" s="37">
        <v>645</v>
      </c>
      <c r="J478" s="19">
        <v>98</v>
      </c>
      <c r="K478" s="21" t="s">
        <v>1220</v>
      </c>
      <c r="L478" s="49" t="s">
        <v>584</v>
      </c>
      <c r="M478" s="38" t="s">
        <v>585</v>
      </c>
      <c r="N478" s="174">
        <v>43388</v>
      </c>
      <c r="O478" s="23" t="s">
        <v>17</v>
      </c>
      <c r="P478" s="23" t="s">
        <v>17</v>
      </c>
      <c r="Q478" s="23" t="s">
        <v>17</v>
      </c>
      <c r="R478" s="151" t="s">
        <v>608</v>
      </c>
      <c r="S478" s="39" t="s">
        <v>11</v>
      </c>
      <c r="T478" s="39" t="s">
        <v>11</v>
      </c>
      <c r="U478" s="153">
        <v>427.54</v>
      </c>
      <c r="V478" s="153"/>
      <c r="W478" s="153"/>
      <c r="X478" s="153">
        <v>913</v>
      </c>
      <c r="Y478" s="153">
        <v>940</v>
      </c>
      <c r="Z478" s="153">
        <v>1200</v>
      </c>
      <c r="AA478" s="40">
        <v>302</v>
      </c>
      <c r="AB478" s="40">
        <v>605</v>
      </c>
      <c r="AC478" s="40">
        <v>907</v>
      </c>
      <c r="AD478" s="40">
        <v>1512</v>
      </c>
      <c r="AE478" s="40">
        <v>2269</v>
      </c>
      <c r="AF478" s="40">
        <v>3025</v>
      </c>
      <c r="AG478" s="40">
        <v>96</v>
      </c>
      <c r="AH478" s="40">
        <v>97.4</v>
      </c>
      <c r="AI478" s="40">
        <v>97.9</v>
      </c>
      <c r="AJ478" s="40">
        <v>98.1</v>
      </c>
      <c r="AK478" s="40">
        <v>98.1</v>
      </c>
      <c r="AL478" s="40">
        <v>97.9</v>
      </c>
      <c r="AM478" s="40">
        <v>98</v>
      </c>
      <c r="AN478" s="40">
        <v>95.9</v>
      </c>
      <c r="AO478" s="40">
        <v>97.4</v>
      </c>
      <c r="AP478" s="40">
        <v>97.8</v>
      </c>
      <c r="AQ478" s="40">
        <v>98.1</v>
      </c>
      <c r="AR478" s="40">
        <v>98.1</v>
      </c>
      <c r="AS478" s="40">
        <v>97.8</v>
      </c>
      <c r="AT478" s="40">
        <v>97.9</v>
      </c>
      <c r="AU478" s="40">
        <v>95.9</v>
      </c>
      <c r="AV478" s="40">
        <v>97.3</v>
      </c>
      <c r="AW478" s="40">
        <v>97.7</v>
      </c>
      <c r="AX478" s="40">
        <v>98.1</v>
      </c>
      <c r="AY478" s="40">
        <v>98</v>
      </c>
      <c r="AZ478" s="40">
        <v>97.8</v>
      </c>
      <c r="BA478" s="40">
        <v>97.9</v>
      </c>
      <c r="BB478" s="174">
        <v>43235</v>
      </c>
      <c r="BC478" s="174">
        <v>43388</v>
      </c>
    </row>
    <row r="479" spans="1:55" s="44" customFormat="1" ht="165">
      <c r="A479" s="18" t="s">
        <v>5</v>
      </c>
      <c r="B479" s="18" t="s">
        <v>1399</v>
      </c>
      <c r="C479" s="23" t="s">
        <v>10</v>
      </c>
      <c r="D479" s="23" t="s">
        <v>10</v>
      </c>
      <c r="E479" s="23" t="s">
        <v>10</v>
      </c>
      <c r="F479" s="23" t="s">
        <v>11</v>
      </c>
      <c r="G479" s="18" t="s">
        <v>1380</v>
      </c>
      <c r="H479" s="19">
        <v>2844.7</v>
      </c>
      <c r="I479" s="37">
        <v>34500</v>
      </c>
      <c r="J479" s="19">
        <v>97.5</v>
      </c>
      <c r="K479" s="21" t="s">
        <v>1376</v>
      </c>
      <c r="L479" s="49" t="s">
        <v>1377</v>
      </c>
      <c r="M479" s="38" t="s">
        <v>1378</v>
      </c>
      <c r="N479" s="174">
        <v>43539</v>
      </c>
      <c r="O479" s="38" t="s">
        <v>1377</v>
      </c>
      <c r="P479" s="38" t="s">
        <v>17</v>
      </c>
      <c r="Q479" s="38" t="s">
        <v>17</v>
      </c>
      <c r="R479" s="151" t="s">
        <v>1379</v>
      </c>
      <c r="S479" s="39" t="s">
        <v>11</v>
      </c>
      <c r="T479" s="39" t="s">
        <v>11</v>
      </c>
      <c r="U479" s="171">
        <v>5970</v>
      </c>
      <c r="V479" s="153"/>
      <c r="W479" s="153"/>
      <c r="X479" s="153">
        <v>849</v>
      </c>
      <c r="Y479" s="153">
        <v>940</v>
      </c>
      <c r="Z479" s="153">
        <v>1200</v>
      </c>
      <c r="AA479" s="40">
        <v>284.46999999999997</v>
      </c>
      <c r="AB479" s="40">
        <v>568.93999999999994</v>
      </c>
      <c r="AC479" s="40">
        <v>853.41</v>
      </c>
      <c r="AD479" s="40">
        <v>1422.35</v>
      </c>
      <c r="AE479" s="40">
        <v>2133.5249999999996</v>
      </c>
      <c r="AF479" s="40">
        <v>2844.7</v>
      </c>
      <c r="AG479" s="40">
        <v>94.441291666666672</v>
      </c>
      <c r="AH479" s="40">
        <v>96.56016666666666</v>
      </c>
      <c r="AI479" s="40">
        <v>97.223291666666668</v>
      </c>
      <c r="AJ479" s="40">
        <v>97.627916666666664</v>
      </c>
      <c r="AK479" s="40">
        <v>97.750749999999996</v>
      </c>
      <c r="AL479" s="40">
        <v>97.65162500000001</v>
      </c>
      <c r="AM479" s="40">
        <v>97.464796249999992</v>
      </c>
      <c r="AN479" s="40">
        <v>94.353458333333322</v>
      </c>
      <c r="AO479" s="40">
        <v>96.453291666666672</v>
      </c>
      <c r="AP479" s="40">
        <v>97.123458333333332</v>
      </c>
      <c r="AQ479" s="40">
        <v>97.530124999999998</v>
      </c>
      <c r="AR479" s="40">
        <v>97.634833333333347</v>
      </c>
      <c r="AS479" s="40">
        <v>97.529166666666669</v>
      </c>
      <c r="AT479" s="40">
        <v>97.355864166666677</v>
      </c>
      <c r="AU479" s="40">
        <v>94.309624999999997</v>
      </c>
      <c r="AV479" s="40">
        <v>96.512749999999997</v>
      </c>
      <c r="AW479" s="40">
        <v>97.135541666666668</v>
      </c>
      <c r="AX479" s="40">
        <v>97.596791666666661</v>
      </c>
      <c r="AY479" s="40">
        <v>97.707041666666655</v>
      </c>
      <c r="AZ479" s="40">
        <v>97.548541666666665</v>
      </c>
      <c r="BA479" s="40">
        <v>97.411772916666663</v>
      </c>
      <c r="BB479" s="178">
        <v>43539</v>
      </c>
      <c r="BC479" s="178"/>
    </row>
    <row r="480" spans="1:55" s="44" customFormat="1" ht="60">
      <c r="A480" s="18" t="s">
        <v>5</v>
      </c>
      <c r="B480" s="18" t="s">
        <v>1025</v>
      </c>
      <c r="C480" s="23" t="s">
        <v>10</v>
      </c>
      <c r="D480" s="23" t="s">
        <v>10</v>
      </c>
      <c r="E480" s="23" t="s">
        <v>11</v>
      </c>
      <c r="F480" s="23" t="s">
        <v>11</v>
      </c>
      <c r="G480" s="18" t="s">
        <v>595</v>
      </c>
      <c r="H480" s="19">
        <v>3201.17</v>
      </c>
      <c r="I480" s="37">
        <v>690</v>
      </c>
      <c r="J480" s="19">
        <v>98</v>
      </c>
      <c r="K480" s="21" t="s">
        <v>1220</v>
      </c>
      <c r="L480" s="49" t="s">
        <v>584</v>
      </c>
      <c r="M480" s="38" t="s">
        <v>585</v>
      </c>
      <c r="N480" s="174">
        <v>43388</v>
      </c>
      <c r="O480" s="23" t="s">
        <v>17</v>
      </c>
      <c r="P480" s="23" t="s">
        <v>17</v>
      </c>
      <c r="Q480" s="23" t="s">
        <v>17</v>
      </c>
      <c r="R480" s="151" t="s">
        <v>596</v>
      </c>
      <c r="S480" s="39" t="s">
        <v>11</v>
      </c>
      <c r="T480" s="39" t="s">
        <v>11</v>
      </c>
      <c r="U480" s="153">
        <v>426.4</v>
      </c>
      <c r="V480" s="153"/>
      <c r="W480" s="153"/>
      <c r="X480" s="153">
        <v>976</v>
      </c>
      <c r="Y480" s="153">
        <v>1030</v>
      </c>
      <c r="Z480" s="153">
        <v>1200</v>
      </c>
      <c r="AA480" s="40">
        <v>320</v>
      </c>
      <c r="AB480" s="40">
        <v>640</v>
      </c>
      <c r="AC480" s="40">
        <v>960</v>
      </c>
      <c r="AD480" s="40">
        <v>1601</v>
      </c>
      <c r="AE480" s="40">
        <v>2401</v>
      </c>
      <c r="AF480" s="40">
        <v>3201</v>
      </c>
      <c r="AG480" s="40">
        <v>96.1</v>
      </c>
      <c r="AH480" s="40">
        <v>97.5</v>
      </c>
      <c r="AI480" s="40">
        <v>97.9</v>
      </c>
      <c r="AJ480" s="40">
        <v>98.2</v>
      </c>
      <c r="AK480" s="40">
        <v>98.3</v>
      </c>
      <c r="AL480" s="40">
        <v>98.1</v>
      </c>
      <c r="AM480" s="40">
        <v>98.1</v>
      </c>
      <c r="AN480" s="40">
        <v>96</v>
      </c>
      <c r="AO480" s="40">
        <v>97.5</v>
      </c>
      <c r="AP480" s="40">
        <v>97.9</v>
      </c>
      <c r="AQ480" s="40">
        <v>98.1</v>
      </c>
      <c r="AR480" s="40">
        <v>98.2</v>
      </c>
      <c r="AS480" s="40">
        <v>98</v>
      </c>
      <c r="AT480" s="40">
        <v>98</v>
      </c>
      <c r="AU480" s="40">
        <v>95.9</v>
      </c>
      <c r="AV480" s="40">
        <v>97.5</v>
      </c>
      <c r="AW480" s="40">
        <v>97.9</v>
      </c>
      <c r="AX480" s="40">
        <v>98.2</v>
      </c>
      <c r="AY480" s="40">
        <v>98.2</v>
      </c>
      <c r="AZ480" s="40">
        <v>97.9</v>
      </c>
      <c r="BA480" s="40">
        <v>98</v>
      </c>
      <c r="BB480" s="174">
        <v>43235</v>
      </c>
      <c r="BC480" s="174">
        <v>43388</v>
      </c>
    </row>
    <row r="481" spans="1:55" s="44" customFormat="1" ht="165">
      <c r="A481" s="18" t="s">
        <v>5</v>
      </c>
      <c r="B481" s="18" t="s">
        <v>1401</v>
      </c>
      <c r="C481" s="23" t="s">
        <v>10</v>
      </c>
      <c r="D481" s="23" t="s">
        <v>10</v>
      </c>
      <c r="E481" s="23" t="s">
        <v>10</v>
      </c>
      <c r="F481" s="23" t="s">
        <v>11</v>
      </c>
      <c r="G481" s="18" t="s">
        <v>1375</v>
      </c>
      <c r="H481" s="19">
        <v>3109.2660000000001</v>
      </c>
      <c r="I481" s="37">
        <v>34500</v>
      </c>
      <c r="J481" s="19">
        <v>97.5</v>
      </c>
      <c r="K481" s="21" t="s">
        <v>1376</v>
      </c>
      <c r="L481" s="49" t="s">
        <v>1377</v>
      </c>
      <c r="M481" s="38" t="s">
        <v>1378</v>
      </c>
      <c r="N481" s="174">
        <v>43539</v>
      </c>
      <c r="O481" s="38" t="s">
        <v>1377</v>
      </c>
      <c r="P481" s="38" t="s">
        <v>17</v>
      </c>
      <c r="Q481" s="38" t="s">
        <v>17</v>
      </c>
      <c r="R481" s="151" t="s">
        <v>1379</v>
      </c>
      <c r="S481" s="39" t="s">
        <v>11</v>
      </c>
      <c r="T481" s="39" t="s">
        <v>11</v>
      </c>
      <c r="U481" s="171">
        <v>6056</v>
      </c>
      <c r="V481" s="153"/>
      <c r="W481" s="153"/>
      <c r="X481" s="153">
        <v>849</v>
      </c>
      <c r="Y481" s="153">
        <v>940</v>
      </c>
      <c r="Z481" s="153">
        <v>1200</v>
      </c>
      <c r="AA481" s="40">
        <v>310.92660000000001</v>
      </c>
      <c r="AB481" s="40">
        <v>621.85320000000002</v>
      </c>
      <c r="AC481" s="40">
        <v>932.77980000000002</v>
      </c>
      <c r="AD481" s="40">
        <v>1554.633</v>
      </c>
      <c r="AE481" s="40">
        <v>2331.9495000000002</v>
      </c>
      <c r="AF481" s="40">
        <v>3109.2660000000001</v>
      </c>
      <c r="AG481" s="40">
        <v>94.974916666666672</v>
      </c>
      <c r="AH481" s="40">
        <v>96.84708333333333</v>
      </c>
      <c r="AI481" s="40">
        <v>97.372333333333344</v>
      </c>
      <c r="AJ481" s="40">
        <v>97.67754166666667</v>
      </c>
      <c r="AK481" s="40">
        <v>97.66020833333333</v>
      </c>
      <c r="AL481" s="40">
        <v>97.339875000000006</v>
      </c>
      <c r="AM481" s="40">
        <v>97.46521875000002</v>
      </c>
      <c r="AN481" s="40">
        <v>94.942750000000004</v>
      </c>
      <c r="AO481" s="40">
        <v>96.773583333333335</v>
      </c>
      <c r="AP481" s="40">
        <v>97.32374999999999</v>
      </c>
      <c r="AQ481" s="40">
        <v>97.618083333333331</v>
      </c>
      <c r="AR481" s="40">
        <v>97.528041666666667</v>
      </c>
      <c r="AS481" s="40">
        <v>97.202666666666673</v>
      </c>
      <c r="AT481" s="40">
        <v>97.365032083333332</v>
      </c>
      <c r="AU481" s="40">
        <v>94.91225</v>
      </c>
      <c r="AV481" s="40">
        <v>96.819416666666683</v>
      </c>
      <c r="AW481" s="40">
        <v>97.353875000000002</v>
      </c>
      <c r="AX481" s="40">
        <v>97.638541666666683</v>
      </c>
      <c r="AY481" s="40">
        <v>97.591666666666669</v>
      </c>
      <c r="AZ481" s="40">
        <v>97.275541666666655</v>
      </c>
      <c r="BA481" s="40">
        <v>97.411380000000008</v>
      </c>
      <c r="BB481" s="178">
        <v>43539</v>
      </c>
      <c r="BC481" s="178"/>
    </row>
    <row r="482" spans="1:55" s="44" customFormat="1" ht="165">
      <c r="A482" s="18" t="s">
        <v>5</v>
      </c>
      <c r="B482" s="18" t="s">
        <v>1400</v>
      </c>
      <c r="C482" s="23" t="s">
        <v>10</v>
      </c>
      <c r="D482" s="23" t="s">
        <v>10</v>
      </c>
      <c r="E482" s="23" t="s">
        <v>10</v>
      </c>
      <c r="F482" s="23" t="s">
        <v>11</v>
      </c>
      <c r="G482" s="18" t="s">
        <v>1375</v>
      </c>
      <c r="H482" s="19">
        <v>3017.848</v>
      </c>
      <c r="I482" s="37">
        <v>34500</v>
      </c>
      <c r="J482" s="19">
        <v>97.5</v>
      </c>
      <c r="K482" s="21" t="s">
        <v>1376</v>
      </c>
      <c r="L482" s="49" t="s">
        <v>1377</v>
      </c>
      <c r="M482" s="38" t="s">
        <v>1378</v>
      </c>
      <c r="N482" s="174">
        <v>43539</v>
      </c>
      <c r="O482" s="38" t="s">
        <v>1377</v>
      </c>
      <c r="P482" s="38" t="s">
        <v>17</v>
      </c>
      <c r="Q482" s="38" t="s">
        <v>17</v>
      </c>
      <c r="R482" s="151" t="s">
        <v>1379</v>
      </c>
      <c r="S482" s="39" t="s">
        <v>11</v>
      </c>
      <c r="T482" s="39" t="s">
        <v>11</v>
      </c>
      <c r="U482" s="171">
        <v>6084</v>
      </c>
      <c r="V482" s="153"/>
      <c r="W482" s="153"/>
      <c r="X482" s="153">
        <v>849</v>
      </c>
      <c r="Y482" s="153">
        <v>940</v>
      </c>
      <c r="Z482" s="153">
        <v>1200</v>
      </c>
      <c r="AA482" s="40">
        <v>301.78480000000002</v>
      </c>
      <c r="AB482" s="40">
        <v>603.56960000000004</v>
      </c>
      <c r="AC482" s="40">
        <v>905.35439999999994</v>
      </c>
      <c r="AD482" s="40">
        <v>1508.924</v>
      </c>
      <c r="AE482" s="40">
        <v>2263.386</v>
      </c>
      <c r="AF482" s="40">
        <v>3017.848</v>
      </c>
      <c r="AG482" s="40">
        <v>94.625250000000008</v>
      </c>
      <c r="AH482" s="40">
        <v>96.64620833333332</v>
      </c>
      <c r="AI482" s="40">
        <v>97.274666666666661</v>
      </c>
      <c r="AJ482" s="40">
        <v>97.67649999999999</v>
      </c>
      <c r="AK482" s="40">
        <v>97.711333333333329</v>
      </c>
      <c r="AL482" s="40">
        <v>97.562458333333339</v>
      </c>
      <c r="AM482" s="40">
        <v>97.467475000000007</v>
      </c>
      <c r="AN482" s="40">
        <v>94.555166666666665</v>
      </c>
      <c r="AO482" s="40">
        <v>96.590499999999992</v>
      </c>
      <c r="AP482" s="40">
        <v>97.182041666666663</v>
      </c>
      <c r="AQ482" s="40">
        <v>97.57641666666666</v>
      </c>
      <c r="AR482" s="40">
        <v>97.667249999999996</v>
      </c>
      <c r="AS482" s="40">
        <v>97.444833333333335</v>
      </c>
      <c r="AT482" s="40">
        <v>97.400508333333335</v>
      </c>
      <c r="AU482" s="40">
        <v>94.518374999999992</v>
      </c>
      <c r="AV482" s="40">
        <v>96.583750000000009</v>
      </c>
      <c r="AW482" s="40">
        <v>97.188416666666669</v>
      </c>
      <c r="AX482" s="40">
        <v>97.614750000000001</v>
      </c>
      <c r="AY482" s="40">
        <v>97.703708333333338</v>
      </c>
      <c r="AZ482" s="40">
        <v>97.486250000000013</v>
      </c>
      <c r="BA482" s="40">
        <v>97.428907916666674</v>
      </c>
      <c r="BB482" s="178">
        <v>43539</v>
      </c>
      <c r="BC482" s="178"/>
    </row>
    <row r="483" spans="1:55" s="44" customFormat="1" ht="165">
      <c r="A483" s="18" t="s">
        <v>5</v>
      </c>
      <c r="B483" s="18" t="s">
        <v>1402</v>
      </c>
      <c r="C483" s="23" t="s">
        <v>10</v>
      </c>
      <c r="D483" s="23" t="s">
        <v>10</v>
      </c>
      <c r="E483" s="23" t="s">
        <v>10</v>
      </c>
      <c r="F483" s="23" t="s">
        <v>11</v>
      </c>
      <c r="G483" s="18" t="s">
        <v>1382</v>
      </c>
      <c r="H483" s="19">
        <v>3307.98</v>
      </c>
      <c r="I483" s="37">
        <v>34500</v>
      </c>
      <c r="J483" s="19">
        <v>97.5</v>
      </c>
      <c r="K483" s="21" t="s">
        <v>1376</v>
      </c>
      <c r="L483" s="49" t="s">
        <v>1377</v>
      </c>
      <c r="M483" s="38" t="s">
        <v>1378</v>
      </c>
      <c r="N483" s="174">
        <v>43539</v>
      </c>
      <c r="O483" s="38" t="s">
        <v>1377</v>
      </c>
      <c r="P483" s="38" t="s">
        <v>17</v>
      </c>
      <c r="Q483" s="38" t="s">
        <v>17</v>
      </c>
      <c r="R483" s="151" t="s">
        <v>1379</v>
      </c>
      <c r="S483" s="39" t="s">
        <v>11</v>
      </c>
      <c r="T483" s="39" t="s">
        <v>11</v>
      </c>
      <c r="U483" s="171">
        <v>6880</v>
      </c>
      <c r="V483" s="153"/>
      <c r="W483" s="153"/>
      <c r="X483" s="153">
        <v>891</v>
      </c>
      <c r="Y483" s="153">
        <v>970</v>
      </c>
      <c r="Z483" s="153">
        <v>1200</v>
      </c>
      <c r="AA483" s="40">
        <v>330.798</v>
      </c>
      <c r="AB483" s="40">
        <v>661.596</v>
      </c>
      <c r="AC483" s="40">
        <v>992.39400000000001</v>
      </c>
      <c r="AD483" s="40">
        <v>1653.99</v>
      </c>
      <c r="AE483" s="40">
        <v>2480.9850000000001</v>
      </c>
      <c r="AF483" s="40">
        <v>3307.98</v>
      </c>
      <c r="AG483" s="40">
        <v>95.021083333333337</v>
      </c>
      <c r="AH483" s="40">
        <v>96.902666666666661</v>
      </c>
      <c r="AI483" s="40">
        <v>97.43416666666667</v>
      </c>
      <c r="AJ483" s="40">
        <v>97.751458333333346</v>
      </c>
      <c r="AK483" s="40">
        <v>97.642166666666682</v>
      </c>
      <c r="AL483" s="40">
        <v>97.366208333333333</v>
      </c>
      <c r="AM483" s="40">
        <v>97.484541666666672</v>
      </c>
      <c r="AN483" s="40">
        <v>94.957916666666677</v>
      </c>
      <c r="AO483" s="40">
        <v>96.780166666666659</v>
      </c>
      <c r="AP483" s="40">
        <v>97.356208333333342</v>
      </c>
      <c r="AQ483" s="40">
        <v>97.670791666666659</v>
      </c>
      <c r="AR483" s="40">
        <v>97.588416666666674</v>
      </c>
      <c r="AS483" s="40">
        <v>97.23479166666668</v>
      </c>
      <c r="AT483" s="40">
        <v>97.414536666666663</v>
      </c>
      <c r="AU483" s="40">
        <v>94.974208333333337</v>
      </c>
      <c r="AV483" s="40">
        <v>96.782833333333343</v>
      </c>
      <c r="AW483" s="40">
        <v>97.347458333333321</v>
      </c>
      <c r="AX483" s="40">
        <v>97.693916666666667</v>
      </c>
      <c r="AY483" s="40">
        <v>97.59999999999998</v>
      </c>
      <c r="AZ483" s="40">
        <v>97.308999999999997</v>
      </c>
      <c r="BA483" s="40">
        <v>97.428977499999988</v>
      </c>
      <c r="BB483" s="178">
        <v>43539</v>
      </c>
      <c r="BC483" s="178"/>
    </row>
    <row r="484" spans="1:55" s="44" customFormat="1" ht="165">
      <c r="A484" s="18" t="s">
        <v>5</v>
      </c>
      <c r="B484" s="18" t="s">
        <v>1403</v>
      </c>
      <c r="C484" s="23" t="s">
        <v>10</v>
      </c>
      <c r="D484" s="23" t="s">
        <v>10</v>
      </c>
      <c r="E484" s="23" t="s">
        <v>10</v>
      </c>
      <c r="F484" s="23" t="s">
        <v>11</v>
      </c>
      <c r="G484" s="18" t="s">
        <v>1383</v>
      </c>
      <c r="H484" s="19">
        <v>3367.326</v>
      </c>
      <c r="I484" s="37">
        <v>34500</v>
      </c>
      <c r="J484" s="19">
        <v>97.5</v>
      </c>
      <c r="K484" s="21" t="s">
        <v>1376</v>
      </c>
      <c r="L484" s="49" t="s">
        <v>1377</v>
      </c>
      <c r="M484" s="38" t="s">
        <v>1378</v>
      </c>
      <c r="N484" s="174">
        <v>43539</v>
      </c>
      <c r="O484" s="38" t="s">
        <v>1377</v>
      </c>
      <c r="P484" s="38" t="s">
        <v>17</v>
      </c>
      <c r="Q484" s="38" t="s">
        <v>17</v>
      </c>
      <c r="R484" s="151" t="s">
        <v>1379</v>
      </c>
      <c r="S484" s="39" t="s">
        <v>11</v>
      </c>
      <c r="T484" s="39" t="s">
        <v>11</v>
      </c>
      <c r="U484" s="171">
        <v>7640</v>
      </c>
      <c r="V484" s="153"/>
      <c r="W484" s="153"/>
      <c r="X484" s="153">
        <v>913</v>
      </c>
      <c r="Y484" s="153">
        <v>980</v>
      </c>
      <c r="Z484" s="153">
        <v>1200</v>
      </c>
      <c r="AA484" s="40">
        <v>336.73260000000005</v>
      </c>
      <c r="AB484" s="40">
        <v>673.4652000000001</v>
      </c>
      <c r="AC484" s="40">
        <v>1010.1977999999999</v>
      </c>
      <c r="AD484" s="40">
        <v>1683.663</v>
      </c>
      <c r="AE484" s="40">
        <v>2525.4944999999998</v>
      </c>
      <c r="AF484" s="40">
        <v>3367.326</v>
      </c>
      <c r="AG484" s="40">
        <v>95.018333333333345</v>
      </c>
      <c r="AH484" s="40">
        <v>96.892750000000007</v>
      </c>
      <c r="AI484" s="40">
        <v>97.397916666666688</v>
      </c>
      <c r="AJ484" s="40">
        <v>97.763374999999996</v>
      </c>
      <c r="AK484" s="40">
        <v>97.723124999999996</v>
      </c>
      <c r="AL484" s="40">
        <v>96.925458333333353</v>
      </c>
      <c r="AM484" s="40">
        <v>97.502958750000005</v>
      </c>
      <c r="AN484" s="40">
        <v>94.970375000000018</v>
      </c>
      <c r="AO484" s="40">
        <v>96.822125</v>
      </c>
      <c r="AP484" s="40">
        <v>97.331000000000017</v>
      </c>
      <c r="AQ484" s="40">
        <v>97.639291666666665</v>
      </c>
      <c r="AR484" s="40">
        <v>97.631833333333333</v>
      </c>
      <c r="AS484" s="40">
        <v>96.840541666666653</v>
      </c>
      <c r="AT484" s="40">
        <v>97.410791250000003</v>
      </c>
      <c r="AU484" s="40">
        <v>94.960374999999999</v>
      </c>
      <c r="AV484" s="40">
        <v>96.769166666666663</v>
      </c>
      <c r="AW484" s="40">
        <v>97.327624999999998</v>
      </c>
      <c r="AX484" s="40">
        <v>97.680666666666667</v>
      </c>
      <c r="AY484" s="40">
        <v>97.632750000000001</v>
      </c>
      <c r="AZ484" s="40">
        <v>97.003047619047621</v>
      </c>
      <c r="BA484" s="40">
        <v>97.424638214285721</v>
      </c>
      <c r="BB484" s="178">
        <v>43539</v>
      </c>
      <c r="BC484" s="178"/>
    </row>
    <row r="485" spans="1:55" s="44" customFormat="1" ht="90">
      <c r="A485" s="168" t="s">
        <v>1648</v>
      </c>
      <c r="B485" s="168" t="s">
        <v>1651</v>
      </c>
      <c r="C485" s="158" t="s">
        <v>10</v>
      </c>
      <c r="D485" s="158" t="s">
        <v>10</v>
      </c>
      <c r="E485" s="158" t="s">
        <v>10</v>
      </c>
      <c r="F485" s="158" t="s">
        <v>11</v>
      </c>
      <c r="G485" s="168" t="s">
        <v>1657</v>
      </c>
      <c r="H485" s="169">
        <v>124.964</v>
      </c>
      <c r="I485" s="159">
        <v>480</v>
      </c>
      <c r="J485" s="164">
        <v>96</v>
      </c>
      <c r="K485" s="160" t="s">
        <v>1215</v>
      </c>
      <c r="L485" s="38" t="s">
        <v>1663</v>
      </c>
      <c r="M485" s="38" t="s">
        <v>1664</v>
      </c>
      <c r="N485" s="124">
        <v>43633</v>
      </c>
      <c r="O485" s="38" t="s">
        <v>1663</v>
      </c>
      <c r="P485" s="38" t="s">
        <v>17</v>
      </c>
      <c r="Q485" s="160" t="s">
        <v>17</v>
      </c>
      <c r="R485" s="170"/>
      <c r="S485" s="161" t="s">
        <v>11</v>
      </c>
      <c r="T485" s="161" t="s">
        <v>11</v>
      </c>
      <c r="U485" s="162">
        <v>68</v>
      </c>
      <c r="V485" s="153"/>
      <c r="W485" s="153"/>
      <c r="X485" s="163">
        <v>350</v>
      </c>
      <c r="Y485" s="163">
        <v>710</v>
      </c>
      <c r="Z485" s="163">
        <v>830</v>
      </c>
      <c r="AA485" s="162">
        <v>12.496400000000001</v>
      </c>
      <c r="AB485" s="162">
        <v>24.992800000000003</v>
      </c>
      <c r="AC485" s="162">
        <v>37.489199999999997</v>
      </c>
      <c r="AD485" s="162">
        <v>62.481999999999999</v>
      </c>
      <c r="AE485" s="162">
        <v>93.722999999999999</v>
      </c>
      <c r="AF485" s="162">
        <v>124.964</v>
      </c>
      <c r="AG485" s="164">
        <v>87.119633333333326</v>
      </c>
      <c r="AH485" s="164">
        <v>92.941333333333333</v>
      </c>
      <c r="AI485" s="164">
        <v>94.972333333333353</v>
      </c>
      <c r="AJ485" s="164">
        <v>95.217933333333335</v>
      </c>
      <c r="AK485" s="164">
        <v>95.659266666666667</v>
      </c>
      <c r="AL485" s="164">
        <v>95.211466666666666</v>
      </c>
      <c r="AM485" s="164">
        <v>94.984282666666672</v>
      </c>
      <c r="AN485" s="164">
        <v>91.918933333333342</v>
      </c>
      <c r="AO485" s="164">
        <v>95.376133333333343</v>
      </c>
      <c r="AP485" s="164">
        <v>95.897933333333327</v>
      </c>
      <c r="AQ485" s="164">
        <v>96.625766666666664</v>
      </c>
      <c r="AR485" s="164">
        <v>96.886533333333333</v>
      </c>
      <c r="AS485" s="164">
        <v>96.648966666666652</v>
      </c>
      <c r="AT485" s="164">
        <v>96.427037999999996</v>
      </c>
      <c r="AU485" s="164">
        <v>91.559566666666655</v>
      </c>
      <c r="AV485" s="164">
        <v>95.713033333333343</v>
      </c>
      <c r="AW485" s="164">
        <v>96.424533333333343</v>
      </c>
      <c r="AX485" s="164">
        <v>96.968400000000003</v>
      </c>
      <c r="AY485" s="164">
        <v>96.936033333333313</v>
      </c>
      <c r="AZ485" s="164">
        <v>96.892933333333332</v>
      </c>
      <c r="BA485" s="164">
        <v>96.60308666666667</v>
      </c>
      <c r="BB485" s="180">
        <v>43633</v>
      </c>
      <c r="BC485" s="180"/>
    </row>
    <row r="486" spans="1:55" s="44" customFormat="1" ht="90">
      <c r="A486" s="168" t="s">
        <v>1648</v>
      </c>
      <c r="B486" s="168" t="s">
        <v>1652</v>
      </c>
      <c r="C486" s="158" t="s">
        <v>10</v>
      </c>
      <c r="D486" s="158" t="s">
        <v>10</v>
      </c>
      <c r="E486" s="158" t="s">
        <v>10</v>
      </c>
      <c r="F486" s="158" t="s">
        <v>11</v>
      </c>
      <c r="G486" s="168" t="s">
        <v>1658</v>
      </c>
      <c r="H486" s="169">
        <v>124.964</v>
      </c>
      <c r="I486" s="159">
        <v>480</v>
      </c>
      <c r="J486" s="164">
        <v>94.5</v>
      </c>
      <c r="K486" s="160" t="s">
        <v>1215</v>
      </c>
      <c r="L486" s="38" t="s">
        <v>1663</v>
      </c>
      <c r="M486" s="38" t="s">
        <v>1665</v>
      </c>
      <c r="N486" s="124">
        <v>43633</v>
      </c>
      <c r="O486" s="38" t="s">
        <v>1663</v>
      </c>
      <c r="P486" s="38" t="s">
        <v>17</v>
      </c>
      <c r="Q486" s="160" t="s">
        <v>17</v>
      </c>
      <c r="R486" s="170" t="s">
        <v>1666</v>
      </c>
      <c r="S486" s="161" t="s">
        <v>11</v>
      </c>
      <c r="T486" s="161" t="s">
        <v>11</v>
      </c>
      <c r="U486" s="162">
        <v>68</v>
      </c>
      <c r="V486" s="153"/>
      <c r="W486" s="153"/>
      <c r="X486" s="163">
        <v>350</v>
      </c>
      <c r="Y486" s="163">
        <v>710</v>
      </c>
      <c r="Z486" s="163">
        <v>830</v>
      </c>
      <c r="AA486" s="162">
        <v>12.496400000000001</v>
      </c>
      <c r="AB486" s="162">
        <v>24.992800000000003</v>
      </c>
      <c r="AC486" s="162">
        <v>37.489199999999997</v>
      </c>
      <c r="AD486" s="162">
        <v>62.481999999999999</v>
      </c>
      <c r="AE486" s="162">
        <v>93.722999999999999</v>
      </c>
      <c r="AF486" s="162">
        <v>124.964</v>
      </c>
      <c r="AG486" s="164">
        <v>84.93873851222223</v>
      </c>
      <c r="AH486" s="164">
        <v>91.649448799999988</v>
      </c>
      <c r="AI486" s="164">
        <v>93.842162566666687</v>
      </c>
      <c r="AJ486" s="164">
        <v>94.017129396296298</v>
      </c>
      <c r="AK486" s="164">
        <v>94.157416179999998</v>
      </c>
      <c r="AL486" s="164">
        <v>93.224720728888883</v>
      </c>
      <c r="AM486" s="164">
        <v>93.549345273555573</v>
      </c>
      <c r="AN486" s="164">
        <v>89.617896035555574</v>
      </c>
      <c r="AO486" s="164">
        <v>94.050405080000004</v>
      </c>
      <c r="AP486" s="164">
        <v>94.756747926666662</v>
      </c>
      <c r="AQ486" s="164">
        <v>95.407208387037045</v>
      </c>
      <c r="AR486" s="164">
        <v>95.365414760000007</v>
      </c>
      <c r="AS486" s="164">
        <v>94.632224895555538</v>
      </c>
      <c r="AT486" s="164">
        <v>94.968840675477765</v>
      </c>
      <c r="AU486" s="164">
        <v>89.267525514444444</v>
      </c>
      <c r="AV486" s="164">
        <v>94.382622170000019</v>
      </c>
      <c r="AW486" s="164">
        <v>95.27708138666668</v>
      </c>
      <c r="AX486" s="164">
        <v>95.745520733333336</v>
      </c>
      <c r="AY486" s="164">
        <v>95.414137609999983</v>
      </c>
      <c r="AZ486" s="164">
        <v>94.871100791111118</v>
      </c>
      <c r="BA486" s="164">
        <v>95.142689222333331</v>
      </c>
      <c r="BB486" s="180">
        <v>43633</v>
      </c>
      <c r="BC486" s="180"/>
    </row>
    <row r="487" spans="1:55" s="44" customFormat="1" ht="90">
      <c r="A487" s="168" t="s">
        <v>1648</v>
      </c>
      <c r="B487" s="168" t="s">
        <v>1650</v>
      </c>
      <c r="C487" s="158" t="s">
        <v>10</v>
      </c>
      <c r="D487" s="158" t="s">
        <v>10</v>
      </c>
      <c r="E487" s="158" t="s">
        <v>10</v>
      </c>
      <c r="F487" s="158" t="s">
        <v>11</v>
      </c>
      <c r="G487" s="168" t="s">
        <v>1656</v>
      </c>
      <c r="H487" s="169">
        <v>29.443999999999999</v>
      </c>
      <c r="I487" s="159">
        <v>480</v>
      </c>
      <c r="J487" s="164">
        <v>93.5</v>
      </c>
      <c r="K487" s="160" t="s">
        <v>1215</v>
      </c>
      <c r="L487" s="38" t="s">
        <v>1661</v>
      </c>
      <c r="M487" s="38" t="s">
        <v>1662</v>
      </c>
      <c r="N487" s="124">
        <v>43633</v>
      </c>
      <c r="O487" s="38" t="s">
        <v>1661</v>
      </c>
      <c r="P487" s="38" t="s">
        <v>17</v>
      </c>
      <c r="Q487" s="160" t="s">
        <v>17</v>
      </c>
      <c r="R487" s="170"/>
      <c r="S487" s="161" t="s">
        <v>11</v>
      </c>
      <c r="T487" s="161" t="s">
        <v>11</v>
      </c>
      <c r="U487" s="162">
        <v>35.14</v>
      </c>
      <c r="V487" s="153"/>
      <c r="W487" s="153"/>
      <c r="X487" s="163">
        <v>540</v>
      </c>
      <c r="Y487" s="163">
        <v>750</v>
      </c>
      <c r="Z487" s="163">
        <v>830</v>
      </c>
      <c r="AA487" s="162">
        <v>2.9444320000000004</v>
      </c>
      <c r="AB487" s="162">
        <v>5.8888640000000008</v>
      </c>
      <c r="AC487" s="162">
        <v>8.8332960000000007</v>
      </c>
      <c r="AD487" s="162">
        <v>14.722160000000001</v>
      </c>
      <c r="AE487" s="162">
        <v>22.08324</v>
      </c>
      <c r="AF487" s="162">
        <v>29.444320000000001</v>
      </c>
      <c r="AG487" s="164">
        <v>86.763266666666667</v>
      </c>
      <c r="AH487" s="164">
        <v>92.620999999999995</v>
      </c>
      <c r="AI487" s="164">
        <v>93.103199999999987</v>
      </c>
      <c r="AJ487" s="164">
        <v>93.816300000000012</v>
      </c>
      <c r="AK487" s="164">
        <v>93.242133333333328</v>
      </c>
      <c r="AL487" s="164">
        <v>92.085366666666658</v>
      </c>
      <c r="AM487" s="164">
        <v>92.997986666666677</v>
      </c>
      <c r="AN487" s="164">
        <v>87.648466666666664</v>
      </c>
      <c r="AO487" s="164">
        <v>93.265666666666675</v>
      </c>
      <c r="AP487" s="164">
        <v>93.530033333333321</v>
      </c>
      <c r="AQ487" s="164">
        <v>94.116299999999995</v>
      </c>
      <c r="AR487" s="164">
        <v>93.404066666666665</v>
      </c>
      <c r="AS487" s="164">
        <v>92.92046666666667</v>
      </c>
      <c r="AT487" s="164">
        <v>93.307427666666669</v>
      </c>
      <c r="AU487" s="164">
        <v>88.606333333333325</v>
      </c>
      <c r="AV487" s="164">
        <v>92.492433333333324</v>
      </c>
      <c r="AW487" s="164">
        <v>94.669099999999986</v>
      </c>
      <c r="AX487" s="164">
        <v>94.546866666666659</v>
      </c>
      <c r="AY487" s="164">
        <v>93.654933333333332</v>
      </c>
      <c r="AZ487" s="164">
        <v>93.047166666666669</v>
      </c>
      <c r="BA487" s="164">
        <v>93.673481999999993</v>
      </c>
      <c r="BB487" s="180">
        <v>43633</v>
      </c>
      <c r="BC487" s="180"/>
    </row>
    <row r="488" spans="1:55" s="44" customFormat="1" ht="105">
      <c r="A488" s="168" t="s">
        <v>1648</v>
      </c>
      <c r="B488" s="168" t="s">
        <v>1649</v>
      </c>
      <c r="C488" s="158" t="s">
        <v>10</v>
      </c>
      <c r="D488" s="158" t="s">
        <v>10</v>
      </c>
      <c r="E488" s="158" t="s">
        <v>10</v>
      </c>
      <c r="F488" s="158" t="s">
        <v>11</v>
      </c>
      <c r="G488" s="168" t="s">
        <v>1655</v>
      </c>
      <c r="H488" s="169">
        <v>29.956</v>
      </c>
      <c r="I488" s="159">
        <v>480</v>
      </c>
      <c r="J488" s="164">
        <v>97</v>
      </c>
      <c r="K488" s="160" t="s">
        <v>1215</v>
      </c>
      <c r="L488" s="38" t="s">
        <v>1661</v>
      </c>
      <c r="M488" s="38" t="s">
        <v>1662</v>
      </c>
      <c r="N488" s="124">
        <v>43633</v>
      </c>
      <c r="O488" s="38" t="s">
        <v>1661</v>
      </c>
      <c r="P488" s="38" t="s">
        <v>17</v>
      </c>
      <c r="Q488" s="160" t="s">
        <v>17</v>
      </c>
      <c r="R488" s="170"/>
      <c r="S488" s="161" t="s">
        <v>11</v>
      </c>
      <c r="T488" s="161" t="s">
        <v>11</v>
      </c>
      <c r="U488" s="162">
        <v>46.3</v>
      </c>
      <c r="V488" s="153"/>
      <c r="W488" s="153"/>
      <c r="X488" s="163">
        <v>540</v>
      </c>
      <c r="Y488" s="163">
        <v>750</v>
      </c>
      <c r="Z488" s="163">
        <v>830</v>
      </c>
      <c r="AA488" s="162">
        <v>2.9955659999999997</v>
      </c>
      <c r="AB488" s="162">
        <v>5.9911319999999995</v>
      </c>
      <c r="AC488" s="162">
        <v>8.9866979999999987</v>
      </c>
      <c r="AD488" s="162">
        <v>14.977829999999997</v>
      </c>
      <c r="AE488" s="162">
        <v>22.466744999999996</v>
      </c>
      <c r="AF488" s="162">
        <v>29.955659999999995</v>
      </c>
      <c r="AG488" s="164">
        <v>92.6541</v>
      </c>
      <c r="AH488" s="164">
        <v>95.119433333333333</v>
      </c>
      <c r="AI488" s="164">
        <v>96.076666666666668</v>
      </c>
      <c r="AJ488" s="164">
        <v>96.846399999999988</v>
      </c>
      <c r="AK488" s="164">
        <v>96.976966666666669</v>
      </c>
      <c r="AL488" s="164">
        <v>96.853766666666658</v>
      </c>
      <c r="AM488" s="164">
        <v>96.569560333333314</v>
      </c>
      <c r="AN488" s="164">
        <v>93.775933333333342</v>
      </c>
      <c r="AO488" s="164">
        <v>95.241533333333322</v>
      </c>
      <c r="AP488" s="164">
        <v>96.501333333333349</v>
      </c>
      <c r="AQ488" s="164">
        <v>97.176799999999986</v>
      </c>
      <c r="AR488" s="164">
        <v>97.375799999999998</v>
      </c>
      <c r="AS488" s="164">
        <v>97.398533333333333</v>
      </c>
      <c r="AT488" s="164">
        <v>96.979502666666676</v>
      </c>
      <c r="AU488" s="164">
        <v>92.794166666666655</v>
      </c>
      <c r="AV488" s="164">
        <v>94.885466666666673</v>
      </c>
      <c r="AW488" s="164">
        <v>96.3887</v>
      </c>
      <c r="AX488" s="164">
        <v>97.057933333333338</v>
      </c>
      <c r="AY488" s="164">
        <v>97.19076666666669</v>
      </c>
      <c r="AZ488" s="164">
        <v>97.425100000000015</v>
      </c>
      <c r="BA488" s="164">
        <v>96.787211333333346</v>
      </c>
      <c r="BB488" s="180">
        <v>43633</v>
      </c>
      <c r="BC488" s="180"/>
    </row>
    <row r="489" spans="1:55" s="44" customFormat="1" ht="45">
      <c r="A489" s="18" t="s">
        <v>726</v>
      </c>
      <c r="B489" s="18" t="s">
        <v>1026</v>
      </c>
      <c r="C489" s="23" t="s">
        <v>10</v>
      </c>
      <c r="D489" s="23" t="s">
        <v>10</v>
      </c>
      <c r="E489" s="23" t="s">
        <v>10</v>
      </c>
      <c r="F489" s="23" t="s">
        <v>11</v>
      </c>
      <c r="G489" s="18" t="s">
        <v>729</v>
      </c>
      <c r="H489" s="19">
        <v>49.35</v>
      </c>
      <c r="I489" s="37">
        <v>480</v>
      </c>
      <c r="J489" s="19">
        <v>94</v>
      </c>
      <c r="K489" s="21" t="s">
        <v>1219</v>
      </c>
      <c r="L489" s="49" t="s">
        <v>676</v>
      </c>
      <c r="M489" s="38" t="s">
        <v>728</v>
      </c>
      <c r="N489" s="174">
        <v>43388</v>
      </c>
      <c r="O489" s="49" t="s">
        <v>676</v>
      </c>
      <c r="P489" s="23" t="s">
        <v>17</v>
      </c>
      <c r="Q489" s="23" t="s">
        <v>17</v>
      </c>
      <c r="R489" s="151"/>
      <c r="S489" s="39" t="s">
        <v>11</v>
      </c>
      <c r="T489" s="39" t="s">
        <v>11</v>
      </c>
      <c r="U489" s="153">
        <v>103</v>
      </c>
      <c r="V489" s="153"/>
      <c r="W489" s="153"/>
      <c r="X489" s="153">
        <v>550</v>
      </c>
      <c r="Y489" s="153">
        <v>636</v>
      </c>
      <c r="Z489" s="153">
        <v>840</v>
      </c>
      <c r="AA489" s="40">
        <v>4.9350000000000005</v>
      </c>
      <c r="AB489" s="40">
        <v>9.870000000000001</v>
      </c>
      <c r="AC489" s="40">
        <v>14.805</v>
      </c>
      <c r="AD489" s="40">
        <v>24.675000000000001</v>
      </c>
      <c r="AE489" s="40">
        <v>37.012500000000003</v>
      </c>
      <c r="AF489" s="40">
        <v>49.35</v>
      </c>
      <c r="AG489" s="40">
        <v>76.571428571428569</v>
      </c>
      <c r="AH489" s="40">
        <v>88</v>
      </c>
      <c r="AI489" s="40">
        <v>92</v>
      </c>
      <c r="AJ489" s="40">
        <v>95.142857142857139</v>
      </c>
      <c r="AK489" s="40">
        <v>96</v>
      </c>
      <c r="AL489" s="40">
        <v>96</v>
      </c>
      <c r="AM489" s="40">
        <v>94.162857142857135</v>
      </c>
      <c r="AN489" s="40">
        <v>79</v>
      </c>
      <c r="AO489" s="40">
        <v>89</v>
      </c>
      <c r="AP489" s="40">
        <v>92</v>
      </c>
      <c r="AQ489" s="40">
        <v>95</v>
      </c>
      <c r="AR489" s="40">
        <v>96</v>
      </c>
      <c r="AS489" s="40">
        <v>96</v>
      </c>
      <c r="AT489" s="40">
        <v>94.279999999999987</v>
      </c>
      <c r="AU489" s="40">
        <v>79</v>
      </c>
      <c r="AV489" s="40">
        <v>88.857142857142861</v>
      </c>
      <c r="AW489" s="40">
        <v>92</v>
      </c>
      <c r="AX489" s="40">
        <v>94</v>
      </c>
      <c r="AY489" s="40">
        <v>96</v>
      </c>
      <c r="AZ489" s="40">
        <v>96</v>
      </c>
      <c r="BA489" s="40">
        <v>94.062857142857141</v>
      </c>
      <c r="BB489" s="174">
        <v>43327</v>
      </c>
      <c r="BC489" s="174">
        <v>43388</v>
      </c>
    </row>
    <row r="490" spans="1:55" s="44" customFormat="1" ht="45">
      <c r="A490" s="18" t="s">
        <v>726</v>
      </c>
      <c r="B490" s="18" t="s">
        <v>1027</v>
      </c>
      <c r="C490" s="23" t="s">
        <v>10</v>
      </c>
      <c r="D490" s="23" t="s">
        <v>10</v>
      </c>
      <c r="E490" s="23" t="s">
        <v>10</v>
      </c>
      <c r="F490" s="23" t="s">
        <v>11</v>
      </c>
      <c r="G490" s="18" t="s">
        <v>727</v>
      </c>
      <c r="H490" s="19">
        <v>49.35</v>
      </c>
      <c r="I490" s="37">
        <v>480</v>
      </c>
      <c r="J490" s="19">
        <v>94</v>
      </c>
      <c r="K490" s="21" t="s">
        <v>1219</v>
      </c>
      <c r="L490" s="49" t="s">
        <v>676</v>
      </c>
      <c r="M490" s="38" t="s">
        <v>728</v>
      </c>
      <c r="N490" s="174">
        <v>43388</v>
      </c>
      <c r="O490" s="49" t="s">
        <v>676</v>
      </c>
      <c r="P490" s="23" t="s">
        <v>17</v>
      </c>
      <c r="Q490" s="23" t="s">
        <v>17</v>
      </c>
      <c r="R490" s="151"/>
      <c r="S490" s="39" t="s">
        <v>11</v>
      </c>
      <c r="T490" s="39" t="s">
        <v>11</v>
      </c>
      <c r="U490" s="153">
        <v>103</v>
      </c>
      <c r="V490" s="153"/>
      <c r="W490" s="153"/>
      <c r="X490" s="153">
        <v>550</v>
      </c>
      <c r="Y490" s="153">
        <v>636</v>
      </c>
      <c r="Z490" s="153">
        <v>840</v>
      </c>
      <c r="AA490" s="40">
        <v>4.9350000000000005</v>
      </c>
      <c r="AB490" s="40">
        <v>9.870000000000001</v>
      </c>
      <c r="AC490" s="40">
        <v>14.805</v>
      </c>
      <c r="AD490" s="40">
        <v>24.675000000000001</v>
      </c>
      <c r="AE490" s="40">
        <v>37.012500000000003</v>
      </c>
      <c r="AF490" s="40">
        <v>49.35</v>
      </c>
      <c r="AG490" s="40">
        <v>76.571428571428569</v>
      </c>
      <c r="AH490" s="40">
        <v>88</v>
      </c>
      <c r="AI490" s="40">
        <v>92</v>
      </c>
      <c r="AJ490" s="40">
        <v>95.142857142857139</v>
      </c>
      <c r="AK490" s="40">
        <v>96</v>
      </c>
      <c r="AL490" s="40">
        <v>96</v>
      </c>
      <c r="AM490" s="40">
        <v>94.162857142857135</v>
      </c>
      <c r="AN490" s="40">
        <v>79</v>
      </c>
      <c r="AO490" s="40">
        <v>89</v>
      </c>
      <c r="AP490" s="40">
        <v>92</v>
      </c>
      <c r="AQ490" s="40">
        <v>95</v>
      </c>
      <c r="AR490" s="40">
        <v>96</v>
      </c>
      <c r="AS490" s="40">
        <v>96</v>
      </c>
      <c r="AT490" s="40">
        <v>94.279999999999987</v>
      </c>
      <c r="AU490" s="40">
        <v>79</v>
      </c>
      <c r="AV490" s="40">
        <v>88.857142857142861</v>
      </c>
      <c r="AW490" s="40">
        <v>92</v>
      </c>
      <c r="AX490" s="40">
        <v>94</v>
      </c>
      <c r="AY490" s="40">
        <v>96</v>
      </c>
      <c r="AZ490" s="40">
        <v>96</v>
      </c>
      <c r="BA490" s="40">
        <v>94.062857142857141</v>
      </c>
      <c r="BB490" s="174">
        <v>43327</v>
      </c>
      <c r="BC490" s="174">
        <v>43388</v>
      </c>
    </row>
    <row r="491" spans="1:55" s="44" customFormat="1" ht="60">
      <c r="A491" s="18" t="s">
        <v>1437</v>
      </c>
      <c r="B491" s="18" t="s">
        <v>1459</v>
      </c>
      <c r="C491" s="23" t="s">
        <v>10</v>
      </c>
      <c r="D491" s="23" t="s">
        <v>10</v>
      </c>
      <c r="E491" s="23" t="s">
        <v>10</v>
      </c>
      <c r="F491" s="23" t="s">
        <v>11</v>
      </c>
      <c r="G491" s="18" t="s">
        <v>1439</v>
      </c>
      <c r="H491" s="19">
        <v>0.315</v>
      </c>
      <c r="I491" s="37">
        <v>240</v>
      </c>
      <c r="J491" s="19">
        <v>97.5</v>
      </c>
      <c r="K491" s="21" t="s">
        <v>1219</v>
      </c>
      <c r="L491" s="49" t="s">
        <v>739</v>
      </c>
      <c r="M491" s="38" t="s">
        <v>750</v>
      </c>
      <c r="N491" s="174">
        <v>43388</v>
      </c>
      <c r="O491" s="38" t="s">
        <v>739</v>
      </c>
      <c r="P491" s="38" t="s">
        <v>17</v>
      </c>
      <c r="Q491" s="38" t="s">
        <v>17</v>
      </c>
      <c r="R491" s="151" t="s">
        <v>27</v>
      </c>
      <c r="S491" s="39" t="s">
        <v>11</v>
      </c>
      <c r="T491" s="39" t="s">
        <v>10</v>
      </c>
      <c r="U491" s="153">
        <v>2.1000000000000001E-2</v>
      </c>
      <c r="V491" s="153"/>
      <c r="W491" s="153"/>
      <c r="X491" s="153">
        <v>53</v>
      </c>
      <c r="Y491" s="153">
        <v>60</v>
      </c>
      <c r="Z491" s="153">
        <v>64</v>
      </c>
      <c r="AA491" s="40">
        <v>3.15E-2</v>
      </c>
      <c r="AB491" s="40">
        <v>6.3E-2</v>
      </c>
      <c r="AC491" s="40">
        <v>9.4500000000000001E-2</v>
      </c>
      <c r="AD491" s="40">
        <v>0.1575</v>
      </c>
      <c r="AE491" s="40">
        <v>0.23625000000000002</v>
      </c>
      <c r="AF491" s="40">
        <v>0.315</v>
      </c>
      <c r="AG491" s="40">
        <v>95.734780000000015</v>
      </c>
      <c r="AH491" s="40">
        <v>96.840240000000009</v>
      </c>
      <c r="AI491" s="40">
        <v>96.996160000000003</v>
      </c>
      <c r="AJ491" s="40">
        <v>97.762709999999998</v>
      </c>
      <c r="AK491" s="40">
        <v>97.755849999999981</v>
      </c>
      <c r="AL491" s="40">
        <v>97.46862999999999</v>
      </c>
      <c r="AM491" s="40">
        <v>97.525143499999984</v>
      </c>
      <c r="AN491" s="40">
        <v>95.610320000000002</v>
      </c>
      <c r="AO491" s="40">
        <v>96.678239999999988</v>
      </c>
      <c r="AP491" s="40">
        <v>96.754879999999986</v>
      </c>
      <c r="AQ491" s="40">
        <v>97.666660000000007</v>
      </c>
      <c r="AR491" s="40">
        <v>97.739180000000005</v>
      </c>
      <c r="AS491" s="40">
        <v>97.513729999999981</v>
      </c>
      <c r="AT491" s="40">
        <v>97.456360900000007</v>
      </c>
      <c r="AU491" s="40">
        <v>95.436540000000008</v>
      </c>
      <c r="AV491" s="40">
        <v>96.497949999999989</v>
      </c>
      <c r="AW491" s="40">
        <v>96.657110000000017</v>
      </c>
      <c r="AX491" s="40">
        <v>97.603840000000019</v>
      </c>
      <c r="AY491" s="40">
        <v>97.700140000000005</v>
      </c>
      <c r="AZ491" s="40">
        <v>97.48254</v>
      </c>
      <c r="BA491" s="40">
        <v>97.393219900000005</v>
      </c>
      <c r="BB491" s="178">
        <v>43557</v>
      </c>
      <c r="BC491" s="178"/>
    </row>
    <row r="492" spans="1:55" s="44" customFormat="1" ht="60">
      <c r="A492" s="18" t="s">
        <v>1437</v>
      </c>
      <c r="B492" s="18" t="s">
        <v>1460</v>
      </c>
      <c r="C492" s="23" t="s">
        <v>10</v>
      </c>
      <c r="D492" s="23" t="s">
        <v>10</v>
      </c>
      <c r="E492" s="23" t="s">
        <v>10</v>
      </c>
      <c r="F492" s="23" t="s">
        <v>11</v>
      </c>
      <c r="G492" s="18" t="s">
        <v>1438</v>
      </c>
      <c r="H492" s="19">
        <v>0.315</v>
      </c>
      <c r="I492" s="37">
        <v>240</v>
      </c>
      <c r="J492" s="19">
        <v>97.5</v>
      </c>
      <c r="K492" s="21" t="s">
        <v>1219</v>
      </c>
      <c r="L492" s="49" t="s">
        <v>739</v>
      </c>
      <c r="M492" s="38" t="s">
        <v>750</v>
      </c>
      <c r="N492" s="174">
        <v>43388</v>
      </c>
      <c r="O492" s="38" t="s">
        <v>739</v>
      </c>
      <c r="P492" s="38" t="s">
        <v>17</v>
      </c>
      <c r="Q492" s="38" t="s">
        <v>17</v>
      </c>
      <c r="R492" s="151" t="s">
        <v>27</v>
      </c>
      <c r="S492" s="39" t="s">
        <v>11</v>
      </c>
      <c r="T492" s="39" t="s">
        <v>10</v>
      </c>
      <c r="U492" s="153">
        <v>2.1000000000000001E-2</v>
      </c>
      <c r="V492" s="153"/>
      <c r="W492" s="153"/>
      <c r="X492" s="153">
        <v>53</v>
      </c>
      <c r="Y492" s="153">
        <v>60</v>
      </c>
      <c r="Z492" s="153">
        <v>64</v>
      </c>
      <c r="AA492" s="40">
        <v>3.15E-2</v>
      </c>
      <c r="AB492" s="40">
        <v>6.3E-2</v>
      </c>
      <c r="AC492" s="40">
        <v>9.4500000000000001E-2</v>
      </c>
      <c r="AD492" s="40">
        <v>0.1575</v>
      </c>
      <c r="AE492" s="40">
        <v>0.23625000000000002</v>
      </c>
      <c r="AF492" s="40">
        <v>0.315</v>
      </c>
      <c r="AG492" s="40">
        <v>95.734780000000015</v>
      </c>
      <c r="AH492" s="40">
        <v>96.840240000000009</v>
      </c>
      <c r="AI492" s="40">
        <v>96.996160000000003</v>
      </c>
      <c r="AJ492" s="40">
        <v>97.762709999999998</v>
      </c>
      <c r="AK492" s="40">
        <v>97.755849999999981</v>
      </c>
      <c r="AL492" s="40">
        <v>97.46862999999999</v>
      </c>
      <c r="AM492" s="40">
        <v>97.525143499999984</v>
      </c>
      <c r="AN492" s="40">
        <v>95.610320000000002</v>
      </c>
      <c r="AO492" s="40">
        <v>96.678239999999988</v>
      </c>
      <c r="AP492" s="40">
        <v>96.754879999999986</v>
      </c>
      <c r="AQ492" s="40">
        <v>97.666660000000007</v>
      </c>
      <c r="AR492" s="40">
        <v>97.739180000000005</v>
      </c>
      <c r="AS492" s="40">
        <v>97.513729999999981</v>
      </c>
      <c r="AT492" s="40">
        <v>97.456360900000007</v>
      </c>
      <c r="AU492" s="40">
        <v>95.436540000000008</v>
      </c>
      <c r="AV492" s="40">
        <v>96.497949999999989</v>
      </c>
      <c r="AW492" s="40">
        <v>96.657110000000017</v>
      </c>
      <c r="AX492" s="40">
        <v>97.603840000000019</v>
      </c>
      <c r="AY492" s="40">
        <v>97.700140000000005</v>
      </c>
      <c r="AZ492" s="40">
        <v>97.48254</v>
      </c>
      <c r="BA492" s="40">
        <v>97.393219900000005</v>
      </c>
      <c r="BB492" s="178">
        <v>43557</v>
      </c>
      <c r="BC492" s="178"/>
    </row>
    <row r="493" spans="1:55" s="44" customFormat="1" ht="45">
      <c r="A493" s="186" t="s">
        <v>1444</v>
      </c>
      <c r="B493" s="186" t="s">
        <v>1855</v>
      </c>
      <c r="C493" s="158" t="s">
        <v>10</v>
      </c>
      <c r="D493" s="158" t="s">
        <v>10</v>
      </c>
      <c r="E493" s="158" t="s">
        <v>10</v>
      </c>
      <c r="F493" s="158" t="s">
        <v>11</v>
      </c>
      <c r="G493" s="186" t="s">
        <v>1852</v>
      </c>
      <c r="H493" s="192">
        <v>6.1210000000000004</v>
      </c>
      <c r="I493" s="193">
        <v>240</v>
      </c>
      <c r="J493" s="194">
        <v>93</v>
      </c>
      <c r="K493" s="160" t="s">
        <v>1216</v>
      </c>
      <c r="L493" s="160" t="s">
        <v>1853</v>
      </c>
      <c r="M493" s="158" t="s">
        <v>1854</v>
      </c>
      <c r="N493" s="160">
        <v>43557</v>
      </c>
      <c r="O493" s="160" t="s">
        <v>1853</v>
      </c>
      <c r="P493" s="160" t="s">
        <v>17</v>
      </c>
      <c r="Q493" s="160" t="s">
        <v>17</v>
      </c>
      <c r="R493" s="189"/>
      <c r="S493" s="158" t="s">
        <v>11</v>
      </c>
      <c r="T493" s="158" t="s">
        <v>11</v>
      </c>
      <c r="U493" s="195">
        <v>14</v>
      </c>
      <c r="V493" s="196"/>
      <c r="W493" s="196"/>
      <c r="X493" s="196">
        <v>47</v>
      </c>
      <c r="Y493" s="196">
        <v>52</v>
      </c>
      <c r="Z493" s="196">
        <v>58</v>
      </c>
      <c r="AA493" s="195">
        <v>0.61212</v>
      </c>
      <c r="AB493" s="195">
        <v>1.22424</v>
      </c>
      <c r="AC493" s="195">
        <v>1.83636</v>
      </c>
      <c r="AD493" s="195">
        <v>3.0606</v>
      </c>
      <c r="AE493" s="195">
        <v>4.5908999999999995</v>
      </c>
      <c r="AF493" s="195">
        <v>6.1212</v>
      </c>
      <c r="AG493" s="197">
        <v>91.166000000000011</v>
      </c>
      <c r="AH493" s="197">
        <v>95.059999999999988</v>
      </c>
      <c r="AI493" s="197">
        <v>94.944000000000003</v>
      </c>
      <c r="AJ493" s="197">
        <v>94.080000000000013</v>
      </c>
      <c r="AK493" s="197">
        <v>92.396000000000001</v>
      </c>
      <c r="AL493" s="197">
        <v>90.674000000000007</v>
      </c>
      <c r="AM493" s="197">
        <v>93.053300000000007</v>
      </c>
      <c r="AN493" s="197">
        <v>91.048000000000002</v>
      </c>
      <c r="AO493" s="197">
        <v>94.984000000000009</v>
      </c>
      <c r="AP493" s="197">
        <v>94.852000000000004</v>
      </c>
      <c r="AQ493" s="197">
        <v>94.007999999999996</v>
      </c>
      <c r="AR493" s="197">
        <v>92.347999999999999</v>
      </c>
      <c r="AS493" s="197">
        <v>90.622</v>
      </c>
      <c r="AT493" s="197">
        <v>92.990579999999994</v>
      </c>
      <c r="AU493" s="197">
        <v>90.73599999999999</v>
      </c>
      <c r="AV493" s="197">
        <v>94.402000000000015</v>
      </c>
      <c r="AW493" s="197">
        <v>94.713999999999999</v>
      </c>
      <c r="AX493" s="197">
        <v>93.889999999999986</v>
      </c>
      <c r="AY493" s="197">
        <v>92.240000000000009</v>
      </c>
      <c r="AZ493" s="197">
        <v>90.52000000000001</v>
      </c>
      <c r="BA493" s="197">
        <v>92.845320000000001</v>
      </c>
      <c r="BB493" s="174">
        <v>43557</v>
      </c>
      <c r="BC493" s="58">
        <v>43810</v>
      </c>
    </row>
    <row r="494" spans="1:55" s="44" customFormat="1" ht="90">
      <c r="A494" s="18" t="s">
        <v>280</v>
      </c>
      <c r="B494" s="18" t="s">
        <v>1028</v>
      </c>
      <c r="C494" s="23" t="s">
        <v>10</v>
      </c>
      <c r="D494" s="23" t="s">
        <v>10</v>
      </c>
      <c r="E494" s="23" t="s">
        <v>11</v>
      </c>
      <c r="F494" s="23" t="s">
        <v>11</v>
      </c>
      <c r="G494" s="18" t="s">
        <v>708</v>
      </c>
      <c r="H494" s="19">
        <v>125</v>
      </c>
      <c r="I494" s="37">
        <v>600</v>
      </c>
      <c r="J494" s="19">
        <v>98.5</v>
      </c>
      <c r="K494" s="21" t="s">
        <v>1216</v>
      </c>
      <c r="L494" s="49" t="s">
        <v>709</v>
      </c>
      <c r="M494" s="38" t="s">
        <v>710</v>
      </c>
      <c r="N494" s="174">
        <v>43388</v>
      </c>
      <c r="O494" s="23" t="s">
        <v>17</v>
      </c>
      <c r="P494" s="23" t="s">
        <v>17</v>
      </c>
      <c r="Q494" s="23" t="s">
        <v>17</v>
      </c>
      <c r="R494" s="151"/>
      <c r="S494" s="39" t="s">
        <v>11</v>
      </c>
      <c r="T494" s="39" t="s">
        <v>11</v>
      </c>
      <c r="U494" s="153">
        <v>5.59</v>
      </c>
      <c r="V494" s="153"/>
      <c r="W494" s="153"/>
      <c r="X494" s="153">
        <v>860</v>
      </c>
      <c r="Y494" s="153">
        <v>945</v>
      </c>
      <c r="Z494" s="153">
        <v>1200</v>
      </c>
      <c r="AA494" s="40">
        <v>12.5</v>
      </c>
      <c r="AB494" s="40">
        <v>25</v>
      </c>
      <c r="AC494" s="40">
        <v>37.5</v>
      </c>
      <c r="AD494" s="40">
        <v>62.5</v>
      </c>
      <c r="AE494" s="40">
        <v>93.75</v>
      </c>
      <c r="AF494" s="40">
        <v>125</v>
      </c>
      <c r="AG494" s="40">
        <v>98.586801019777141</v>
      </c>
      <c r="AH494" s="40">
        <v>98.82652309567699</v>
      </c>
      <c r="AI494" s="40">
        <v>98.88387814308247</v>
      </c>
      <c r="AJ494" s="40">
        <v>98.682135105177181</v>
      </c>
      <c r="AK494" s="40">
        <v>98.446000650548712</v>
      </c>
      <c r="AL494" s="40">
        <v>98.25533618070061</v>
      </c>
      <c r="AM494" s="40">
        <v>98.563259098657895</v>
      </c>
      <c r="AN494" s="40">
        <v>98.289357567940598</v>
      </c>
      <c r="AO494" s="40">
        <v>98.584163778937167</v>
      </c>
      <c r="AP494" s="40">
        <v>98.588946856747839</v>
      </c>
      <c r="AQ494" s="40">
        <v>98.493126437907804</v>
      </c>
      <c r="AR494" s="40">
        <v>98.359351768917335</v>
      </c>
      <c r="AS494" s="40">
        <v>98.106737109659321</v>
      </c>
      <c r="AT494" s="40">
        <v>98.410805959444019</v>
      </c>
      <c r="AU494" s="40">
        <v>98.084097523523852</v>
      </c>
      <c r="AV494" s="40">
        <v>98.425857217687977</v>
      </c>
      <c r="AW494" s="40">
        <v>98.477267999265308</v>
      </c>
      <c r="AX494" s="40">
        <v>98.384840475419338</v>
      </c>
      <c r="AY494" s="40">
        <v>98.097001197396807</v>
      </c>
      <c r="AZ494" s="40">
        <v>97.625954277206347</v>
      </c>
      <c r="BA494" s="40">
        <v>98.195453770055877</v>
      </c>
      <c r="BB494" s="174">
        <v>43313</v>
      </c>
      <c r="BC494" s="174">
        <v>43388</v>
      </c>
    </row>
    <row r="495" spans="1:55" s="44" customFormat="1" ht="60">
      <c r="A495" s="18" t="s">
        <v>280</v>
      </c>
      <c r="B495" s="18" t="s">
        <v>1029</v>
      </c>
      <c r="C495" s="23" t="s">
        <v>10</v>
      </c>
      <c r="D495" s="23" t="s">
        <v>10</v>
      </c>
      <c r="E495" s="23" t="s">
        <v>11</v>
      </c>
      <c r="F495" s="23" t="s">
        <v>11</v>
      </c>
      <c r="G495" s="18" t="s">
        <v>735</v>
      </c>
      <c r="H495" s="19">
        <v>1666</v>
      </c>
      <c r="I495" s="37">
        <v>575</v>
      </c>
      <c r="J495" s="19">
        <v>98</v>
      </c>
      <c r="K495" s="21" t="s">
        <v>1220</v>
      </c>
      <c r="L495" s="49" t="s">
        <v>731</v>
      </c>
      <c r="M495" s="38" t="s">
        <v>732</v>
      </c>
      <c r="N495" s="174">
        <v>43388</v>
      </c>
      <c r="O495" s="23" t="s">
        <v>17</v>
      </c>
      <c r="P495" s="23" t="s">
        <v>17</v>
      </c>
      <c r="Q495" s="23" t="s">
        <v>17</v>
      </c>
      <c r="R495" s="151" t="s">
        <v>581</v>
      </c>
      <c r="S495" s="39" t="s">
        <v>11</v>
      </c>
      <c r="T495" s="39" t="s">
        <v>11</v>
      </c>
      <c r="U495" s="153">
        <v>295</v>
      </c>
      <c r="V495" s="153"/>
      <c r="W495" s="153"/>
      <c r="X495" s="153">
        <v>856</v>
      </c>
      <c r="Y495" s="153">
        <v>1024</v>
      </c>
      <c r="Z495" s="153">
        <v>1200</v>
      </c>
      <c r="AA495" s="40">
        <v>167</v>
      </c>
      <c r="AB495" s="40">
        <v>333</v>
      </c>
      <c r="AC495" s="40">
        <v>500</v>
      </c>
      <c r="AD495" s="40">
        <v>833</v>
      </c>
      <c r="AE495" s="40">
        <v>1250</v>
      </c>
      <c r="AF495" s="40">
        <v>1666</v>
      </c>
      <c r="AG495" s="40">
        <v>96.79</v>
      </c>
      <c r="AH495" s="40">
        <v>97.94</v>
      </c>
      <c r="AI495" s="40">
        <v>98.09</v>
      </c>
      <c r="AJ495" s="40">
        <v>98.15</v>
      </c>
      <c r="AK495" s="40">
        <v>97.94</v>
      </c>
      <c r="AL495" s="40">
        <v>97.66</v>
      </c>
      <c r="AM495" s="40">
        <v>97.9</v>
      </c>
      <c r="AN495" s="40">
        <v>96.33</v>
      </c>
      <c r="AO495" s="40">
        <v>97.56</v>
      </c>
      <c r="AP495" s="40">
        <v>97.92</v>
      </c>
      <c r="AQ495" s="40">
        <v>98.08</v>
      </c>
      <c r="AR495" s="40">
        <v>97.88</v>
      </c>
      <c r="AS495" s="40">
        <v>97.52</v>
      </c>
      <c r="AT495" s="40">
        <v>97.8</v>
      </c>
      <c r="AU495" s="40">
        <v>95.68</v>
      </c>
      <c r="AV495" s="40">
        <v>97.45</v>
      </c>
      <c r="AW495" s="40">
        <v>97.7</v>
      </c>
      <c r="AX495" s="40">
        <v>97.9</v>
      </c>
      <c r="AY495" s="40">
        <v>97.74</v>
      </c>
      <c r="AZ495" s="40">
        <v>97.44</v>
      </c>
      <c r="BA495" s="40">
        <v>97.7</v>
      </c>
      <c r="BB495" s="174">
        <v>43327</v>
      </c>
      <c r="BC495" s="174">
        <v>43388</v>
      </c>
    </row>
    <row r="496" spans="1:55" s="44" customFormat="1" ht="60">
      <c r="A496" s="18" t="s">
        <v>280</v>
      </c>
      <c r="B496" s="18" t="s">
        <v>1030</v>
      </c>
      <c r="C496" s="23" t="s">
        <v>10</v>
      </c>
      <c r="D496" s="23" t="s">
        <v>10</v>
      </c>
      <c r="E496" s="23" t="s">
        <v>11</v>
      </c>
      <c r="F496" s="23" t="s">
        <v>11</v>
      </c>
      <c r="G496" s="18" t="s">
        <v>736</v>
      </c>
      <c r="H496" s="19">
        <v>1666</v>
      </c>
      <c r="I496" s="37">
        <v>575</v>
      </c>
      <c r="J496" s="19">
        <v>98</v>
      </c>
      <c r="K496" s="21" t="s">
        <v>1220</v>
      </c>
      <c r="L496" s="49" t="s">
        <v>731</v>
      </c>
      <c r="M496" s="38" t="s">
        <v>732</v>
      </c>
      <c r="N496" s="174">
        <v>43388</v>
      </c>
      <c r="O496" s="23" t="s">
        <v>17</v>
      </c>
      <c r="P496" s="23" t="s">
        <v>17</v>
      </c>
      <c r="Q496" s="23" t="s">
        <v>17</v>
      </c>
      <c r="R496" s="151" t="s">
        <v>581</v>
      </c>
      <c r="S496" s="39" t="s">
        <v>11</v>
      </c>
      <c r="T496" s="39" t="s">
        <v>11</v>
      </c>
      <c r="U496" s="153">
        <v>295</v>
      </c>
      <c r="V496" s="153"/>
      <c r="W496" s="153"/>
      <c r="X496" s="153">
        <v>856</v>
      </c>
      <c r="Y496" s="153">
        <v>1024</v>
      </c>
      <c r="Z496" s="153">
        <v>1200</v>
      </c>
      <c r="AA496" s="40">
        <v>167</v>
      </c>
      <c r="AB496" s="40">
        <v>333</v>
      </c>
      <c r="AC496" s="40">
        <v>500</v>
      </c>
      <c r="AD496" s="40">
        <v>833</v>
      </c>
      <c r="AE496" s="40">
        <v>1250</v>
      </c>
      <c r="AF496" s="40">
        <v>1666</v>
      </c>
      <c r="AG496" s="40">
        <v>96.79</v>
      </c>
      <c r="AH496" s="40">
        <v>97.94</v>
      </c>
      <c r="AI496" s="40">
        <v>98.09</v>
      </c>
      <c r="AJ496" s="40">
        <v>98.15</v>
      </c>
      <c r="AK496" s="40">
        <v>97.94</v>
      </c>
      <c r="AL496" s="40">
        <v>97.66</v>
      </c>
      <c r="AM496" s="40">
        <v>97.9</v>
      </c>
      <c r="AN496" s="40">
        <v>96.33</v>
      </c>
      <c r="AO496" s="40">
        <v>97.56</v>
      </c>
      <c r="AP496" s="40">
        <v>97.92</v>
      </c>
      <c r="AQ496" s="40">
        <v>98.08</v>
      </c>
      <c r="AR496" s="40">
        <v>97.88</v>
      </c>
      <c r="AS496" s="40">
        <v>97.52</v>
      </c>
      <c r="AT496" s="40">
        <v>97.8</v>
      </c>
      <c r="AU496" s="40">
        <v>95.68</v>
      </c>
      <c r="AV496" s="40">
        <v>97.45</v>
      </c>
      <c r="AW496" s="40">
        <v>97.7</v>
      </c>
      <c r="AX496" s="40">
        <v>97.9</v>
      </c>
      <c r="AY496" s="40">
        <v>97.74</v>
      </c>
      <c r="AZ496" s="40">
        <v>97.44</v>
      </c>
      <c r="BA496" s="40">
        <v>97.7</v>
      </c>
      <c r="BB496" s="174">
        <v>43327</v>
      </c>
      <c r="BC496" s="174">
        <v>43388</v>
      </c>
    </row>
    <row r="497" spans="1:55" s="44" customFormat="1" ht="60">
      <c r="A497" s="18" t="s">
        <v>280</v>
      </c>
      <c r="B497" s="18" t="s">
        <v>1031</v>
      </c>
      <c r="C497" s="23" t="s">
        <v>10</v>
      </c>
      <c r="D497" s="23" t="s">
        <v>10</v>
      </c>
      <c r="E497" s="23" t="s">
        <v>11</v>
      </c>
      <c r="F497" s="23" t="s">
        <v>11</v>
      </c>
      <c r="G497" s="18" t="s">
        <v>737</v>
      </c>
      <c r="H497" s="19">
        <v>1666</v>
      </c>
      <c r="I497" s="37">
        <v>575</v>
      </c>
      <c r="J497" s="19">
        <v>98</v>
      </c>
      <c r="K497" s="21" t="s">
        <v>1220</v>
      </c>
      <c r="L497" s="49" t="s">
        <v>731</v>
      </c>
      <c r="M497" s="38" t="s">
        <v>732</v>
      </c>
      <c r="N497" s="174">
        <v>43388</v>
      </c>
      <c r="O497" s="23" t="s">
        <v>17</v>
      </c>
      <c r="P497" s="23" t="s">
        <v>17</v>
      </c>
      <c r="Q497" s="23" t="s">
        <v>17</v>
      </c>
      <c r="R497" s="151" t="s">
        <v>581</v>
      </c>
      <c r="S497" s="39" t="s">
        <v>11</v>
      </c>
      <c r="T497" s="39" t="s">
        <v>11</v>
      </c>
      <c r="U497" s="153">
        <v>295</v>
      </c>
      <c r="V497" s="153"/>
      <c r="W497" s="153"/>
      <c r="X497" s="153">
        <v>856</v>
      </c>
      <c r="Y497" s="153">
        <v>1024</v>
      </c>
      <c r="Z497" s="153">
        <v>1200</v>
      </c>
      <c r="AA497" s="40">
        <v>167</v>
      </c>
      <c r="AB497" s="40">
        <v>333</v>
      </c>
      <c r="AC497" s="40">
        <v>500</v>
      </c>
      <c r="AD497" s="40">
        <v>833</v>
      </c>
      <c r="AE497" s="40">
        <v>1250</v>
      </c>
      <c r="AF497" s="40">
        <v>1666</v>
      </c>
      <c r="AG497" s="40">
        <v>96.79</v>
      </c>
      <c r="AH497" s="40">
        <v>97.94</v>
      </c>
      <c r="AI497" s="40">
        <v>98.09</v>
      </c>
      <c r="AJ497" s="40">
        <v>98.15</v>
      </c>
      <c r="AK497" s="40">
        <v>97.94</v>
      </c>
      <c r="AL497" s="40">
        <v>97.66</v>
      </c>
      <c r="AM497" s="40">
        <v>97.9</v>
      </c>
      <c r="AN497" s="40">
        <v>96.33</v>
      </c>
      <c r="AO497" s="40">
        <v>97.56</v>
      </c>
      <c r="AP497" s="40">
        <v>97.92</v>
      </c>
      <c r="AQ497" s="40">
        <v>98.08</v>
      </c>
      <c r="AR497" s="40">
        <v>97.88</v>
      </c>
      <c r="AS497" s="40">
        <v>97.52</v>
      </c>
      <c r="AT497" s="40">
        <v>97.8</v>
      </c>
      <c r="AU497" s="40">
        <v>95.68</v>
      </c>
      <c r="AV497" s="40">
        <v>97.45</v>
      </c>
      <c r="AW497" s="40">
        <v>97.7</v>
      </c>
      <c r="AX497" s="40">
        <v>97.9</v>
      </c>
      <c r="AY497" s="40">
        <v>97.74</v>
      </c>
      <c r="AZ497" s="40">
        <v>97.44</v>
      </c>
      <c r="BA497" s="40">
        <v>97.7</v>
      </c>
      <c r="BB497" s="174">
        <v>43327</v>
      </c>
      <c r="BC497" s="174">
        <v>43388</v>
      </c>
    </row>
    <row r="498" spans="1:55" s="44" customFormat="1" ht="45">
      <c r="A498" s="18" t="s">
        <v>280</v>
      </c>
      <c r="B498" s="18" t="s">
        <v>1032</v>
      </c>
      <c r="C498" s="23" t="s">
        <v>10</v>
      </c>
      <c r="D498" s="23" t="s">
        <v>10</v>
      </c>
      <c r="E498" s="23" t="s">
        <v>11</v>
      </c>
      <c r="F498" s="23" t="s">
        <v>11</v>
      </c>
      <c r="G498" s="18" t="s">
        <v>734</v>
      </c>
      <c r="H498" s="19">
        <v>1800</v>
      </c>
      <c r="I498" s="37">
        <v>575</v>
      </c>
      <c r="J498" s="19">
        <v>98</v>
      </c>
      <c r="K498" s="21" t="s">
        <v>1220</v>
      </c>
      <c r="L498" s="49" t="s">
        <v>731</v>
      </c>
      <c r="M498" s="38" t="s">
        <v>732</v>
      </c>
      <c r="N498" s="174">
        <v>43388</v>
      </c>
      <c r="O498" s="23" t="s">
        <v>17</v>
      </c>
      <c r="P498" s="23" t="s">
        <v>17</v>
      </c>
      <c r="Q498" s="23" t="s">
        <v>17</v>
      </c>
      <c r="R498" s="151" t="s">
        <v>581</v>
      </c>
      <c r="S498" s="39" t="s">
        <v>11</v>
      </c>
      <c r="T498" s="39" t="s">
        <v>11</v>
      </c>
      <c r="U498" s="153">
        <v>295</v>
      </c>
      <c r="V498" s="153"/>
      <c r="W498" s="153"/>
      <c r="X498" s="153">
        <v>856</v>
      </c>
      <c r="Y498" s="153">
        <v>1024</v>
      </c>
      <c r="Z498" s="153">
        <v>1200</v>
      </c>
      <c r="AA498" s="40">
        <v>180</v>
      </c>
      <c r="AB498" s="40">
        <v>360</v>
      </c>
      <c r="AC498" s="40">
        <v>540</v>
      </c>
      <c r="AD498" s="40">
        <v>900</v>
      </c>
      <c r="AE498" s="40">
        <v>1350</v>
      </c>
      <c r="AF498" s="40">
        <v>1800</v>
      </c>
      <c r="AG498" s="40">
        <v>96.89</v>
      </c>
      <c r="AH498" s="40">
        <v>97.93</v>
      </c>
      <c r="AI498" s="40">
        <v>98.08</v>
      </c>
      <c r="AJ498" s="40">
        <v>98.11</v>
      </c>
      <c r="AK498" s="40">
        <v>97.92</v>
      </c>
      <c r="AL498" s="40">
        <v>97.47</v>
      </c>
      <c r="AM498" s="40">
        <v>97.9</v>
      </c>
      <c r="AN498" s="40">
        <v>96.67</v>
      </c>
      <c r="AO498" s="40">
        <v>97.74</v>
      </c>
      <c r="AP498" s="40">
        <v>98</v>
      </c>
      <c r="AQ498" s="40">
        <v>97.99</v>
      </c>
      <c r="AR498" s="40">
        <v>97.8</v>
      </c>
      <c r="AS498" s="40">
        <v>97.45</v>
      </c>
      <c r="AT498" s="40">
        <v>97.8</v>
      </c>
      <c r="AU498" s="40">
        <v>95.89</v>
      </c>
      <c r="AV498" s="40">
        <v>97.43</v>
      </c>
      <c r="AW498" s="40">
        <v>97.67</v>
      </c>
      <c r="AX498" s="40">
        <v>97.87</v>
      </c>
      <c r="AY498" s="40">
        <v>97.7</v>
      </c>
      <c r="AZ498" s="40">
        <v>97.34</v>
      </c>
      <c r="BA498" s="40">
        <v>97.6</v>
      </c>
      <c r="BB498" s="174">
        <v>43327</v>
      </c>
      <c r="BC498" s="174">
        <v>43388</v>
      </c>
    </row>
    <row r="499" spans="1:55" s="44" customFormat="1" ht="90">
      <c r="A499" s="18" t="s">
        <v>280</v>
      </c>
      <c r="B499" s="18" t="s">
        <v>1033</v>
      </c>
      <c r="C499" s="23" t="s">
        <v>10</v>
      </c>
      <c r="D499" s="23" t="s">
        <v>10</v>
      </c>
      <c r="E499" s="23" t="s">
        <v>11</v>
      </c>
      <c r="F499" s="23" t="s">
        <v>11</v>
      </c>
      <c r="G499" s="18" t="s">
        <v>733</v>
      </c>
      <c r="H499" s="19">
        <v>2000</v>
      </c>
      <c r="I499" s="37">
        <v>575</v>
      </c>
      <c r="J499" s="19">
        <v>97.5</v>
      </c>
      <c r="K499" s="21" t="s">
        <v>1220</v>
      </c>
      <c r="L499" s="49" t="s">
        <v>731</v>
      </c>
      <c r="M499" s="38" t="s">
        <v>732</v>
      </c>
      <c r="N499" s="174">
        <v>43388</v>
      </c>
      <c r="O499" s="23" t="s">
        <v>17</v>
      </c>
      <c r="P499" s="23" t="s">
        <v>17</v>
      </c>
      <c r="Q499" s="23" t="s">
        <v>17</v>
      </c>
      <c r="R499" s="151" t="s">
        <v>579</v>
      </c>
      <c r="S499" s="39" t="s">
        <v>11</v>
      </c>
      <c r="T499" s="39" t="s">
        <v>11</v>
      </c>
      <c r="U499" s="153">
        <v>295</v>
      </c>
      <c r="V499" s="153"/>
      <c r="W499" s="153"/>
      <c r="X499" s="153">
        <v>865</v>
      </c>
      <c r="Y499" s="153">
        <v>1042</v>
      </c>
      <c r="Z499" s="153">
        <v>1195</v>
      </c>
      <c r="AA499" s="40">
        <v>200</v>
      </c>
      <c r="AB499" s="40">
        <v>400</v>
      </c>
      <c r="AC499" s="40">
        <v>600</v>
      </c>
      <c r="AD499" s="40">
        <v>1000</v>
      </c>
      <c r="AE499" s="40">
        <v>1500</v>
      </c>
      <c r="AF499" s="40">
        <v>2000</v>
      </c>
      <c r="AG499" s="40">
        <v>96.76</v>
      </c>
      <c r="AH499" s="40">
        <v>97.71</v>
      </c>
      <c r="AI499" s="40">
        <v>97.98</v>
      </c>
      <c r="AJ499" s="40">
        <v>97.96</v>
      </c>
      <c r="AK499" s="40">
        <v>97.66</v>
      </c>
      <c r="AL499" s="40">
        <v>97.21</v>
      </c>
      <c r="AM499" s="40">
        <v>97.71</v>
      </c>
      <c r="AN499" s="40">
        <v>96.32</v>
      </c>
      <c r="AO499" s="40">
        <v>97.58</v>
      </c>
      <c r="AP499" s="40">
        <v>97.87</v>
      </c>
      <c r="AQ499" s="40">
        <v>97.83</v>
      </c>
      <c r="AR499" s="40">
        <v>97.56</v>
      </c>
      <c r="AS499" s="40">
        <v>97.15</v>
      </c>
      <c r="AT499" s="40">
        <v>97.58</v>
      </c>
      <c r="AU499" s="40">
        <v>95.92</v>
      </c>
      <c r="AV499" s="40">
        <v>97.38</v>
      </c>
      <c r="AW499" s="40">
        <v>97.69</v>
      </c>
      <c r="AX499" s="40">
        <v>97.72</v>
      </c>
      <c r="AY499" s="40">
        <v>97.5</v>
      </c>
      <c r="AZ499" s="40">
        <v>97.06</v>
      </c>
      <c r="BA499" s="40">
        <v>97.48</v>
      </c>
      <c r="BB499" s="174">
        <v>43327</v>
      </c>
      <c r="BC499" s="174">
        <v>43388</v>
      </c>
    </row>
    <row r="500" spans="1:55" s="44" customFormat="1" ht="45">
      <c r="A500" s="18" t="s">
        <v>280</v>
      </c>
      <c r="B500" s="18" t="s">
        <v>1034</v>
      </c>
      <c r="C500" s="23" t="s">
        <v>10</v>
      </c>
      <c r="D500" s="23" t="s">
        <v>10</v>
      </c>
      <c r="E500" s="23" t="s">
        <v>11</v>
      </c>
      <c r="F500" s="23" t="s">
        <v>11</v>
      </c>
      <c r="G500" s="18" t="s">
        <v>730</v>
      </c>
      <c r="H500" s="19">
        <v>2200</v>
      </c>
      <c r="I500" s="37">
        <v>600</v>
      </c>
      <c r="J500" s="19">
        <v>98</v>
      </c>
      <c r="K500" s="21" t="s">
        <v>1220</v>
      </c>
      <c r="L500" s="49" t="s">
        <v>731</v>
      </c>
      <c r="M500" s="38" t="s">
        <v>732</v>
      </c>
      <c r="N500" s="174">
        <v>43388</v>
      </c>
      <c r="O500" s="23" t="s">
        <v>17</v>
      </c>
      <c r="P500" s="23" t="s">
        <v>17</v>
      </c>
      <c r="Q500" s="23" t="s">
        <v>17</v>
      </c>
      <c r="R500" s="151" t="s">
        <v>580</v>
      </c>
      <c r="S500" s="39" t="s">
        <v>11</v>
      </c>
      <c r="T500" s="39" t="s">
        <v>11</v>
      </c>
      <c r="U500" s="153">
        <v>295</v>
      </c>
      <c r="V500" s="153"/>
      <c r="W500" s="153"/>
      <c r="X500" s="153">
        <v>905</v>
      </c>
      <c r="Y500" s="153">
        <v>1054</v>
      </c>
      <c r="Z500" s="153">
        <v>1200</v>
      </c>
      <c r="AA500" s="40">
        <v>220</v>
      </c>
      <c r="AB500" s="40">
        <v>440</v>
      </c>
      <c r="AC500" s="40">
        <v>660</v>
      </c>
      <c r="AD500" s="40">
        <v>1100</v>
      </c>
      <c r="AE500" s="40">
        <v>1650</v>
      </c>
      <c r="AF500" s="40">
        <v>2200</v>
      </c>
      <c r="AG500" s="40">
        <v>97.9</v>
      </c>
      <c r="AH500" s="40">
        <v>98.28</v>
      </c>
      <c r="AI500" s="40">
        <v>98.33</v>
      </c>
      <c r="AJ500" s="40">
        <v>98.2</v>
      </c>
      <c r="AK500" s="40">
        <v>97.82</v>
      </c>
      <c r="AL500" s="40">
        <v>97.24</v>
      </c>
      <c r="AM500" s="40">
        <v>98</v>
      </c>
      <c r="AN500" s="40">
        <v>97.6</v>
      </c>
      <c r="AO500" s="40">
        <v>98.1</v>
      </c>
      <c r="AP500" s="40">
        <v>98.19</v>
      </c>
      <c r="AQ500" s="40">
        <v>98.09</v>
      </c>
      <c r="AR500" s="40">
        <v>97.72</v>
      </c>
      <c r="AS500" s="40">
        <v>97.17</v>
      </c>
      <c r="AT500" s="40">
        <v>97.8</v>
      </c>
      <c r="AU500" s="40">
        <v>97.21</v>
      </c>
      <c r="AV500" s="40">
        <v>97.9</v>
      </c>
      <c r="AW500" s="40">
        <v>98.05</v>
      </c>
      <c r="AX500" s="40">
        <v>97.99</v>
      </c>
      <c r="AY500" s="40">
        <v>97.65</v>
      </c>
      <c r="AZ500" s="40">
        <v>97.1</v>
      </c>
      <c r="BA500" s="40">
        <v>97.7</v>
      </c>
      <c r="BB500" s="174">
        <v>43327</v>
      </c>
      <c r="BC500" s="174">
        <v>43388</v>
      </c>
    </row>
    <row r="501" spans="1:55" s="44" customFormat="1" ht="45">
      <c r="A501" s="18" t="s">
        <v>1140</v>
      </c>
      <c r="B501" s="18" t="s">
        <v>1246</v>
      </c>
      <c r="C501" s="23" t="s">
        <v>10</v>
      </c>
      <c r="D501" s="23" t="s">
        <v>10</v>
      </c>
      <c r="E501" s="23" t="s">
        <v>10</v>
      </c>
      <c r="F501" s="23" t="s">
        <v>11</v>
      </c>
      <c r="G501" s="18" t="s">
        <v>233</v>
      </c>
      <c r="H501" s="19">
        <v>8.6300000000000008</v>
      </c>
      <c r="I501" s="19">
        <v>208</v>
      </c>
      <c r="J501" s="19">
        <v>97</v>
      </c>
      <c r="K501" s="21" t="s">
        <v>1217</v>
      </c>
      <c r="L501" s="49" t="s">
        <v>453</v>
      </c>
      <c r="M501" s="21" t="s">
        <v>455</v>
      </c>
      <c r="N501" s="174">
        <v>43388</v>
      </c>
      <c r="O501" s="49" t="s">
        <v>453</v>
      </c>
      <c r="P501" s="23" t="s">
        <v>17</v>
      </c>
      <c r="Q501" s="23" t="s">
        <v>17</v>
      </c>
      <c r="R501" s="150"/>
      <c r="S501" s="20" t="s">
        <v>11</v>
      </c>
      <c r="T501" s="20" t="s">
        <v>11</v>
      </c>
      <c r="U501" s="19">
        <v>3.3</v>
      </c>
      <c r="V501" s="19"/>
      <c r="W501" s="19"/>
      <c r="X501" s="19">
        <v>330</v>
      </c>
      <c r="Y501" s="19">
        <v>480</v>
      </c>
      <c r="Z501" s="19">
        <v>550</v>
      </c>
      <c r="AA501" s="40">
        <v>0.86299999999999999</v>
      </c>
      <c r="AB501" s="40">
        <v>1.726</v>
      </c>
      <c r="AC501" s="40">
        <v>2.589</v>
      </c>
      <c r="AD501" s="40">
        <v>4.3150000000000004</v>
      </c>
      <c r="AE501" s="40">
        <v>6.4725000000000001</v>
      </c>
      <c r="AF501" s="40">
        <v>8.6300000000000008</v>
      </c>
      <c r="AG501" s="40">
        <v>95.560919999999996</v>
      </c>
      <c r="AH501" s="40">
        <v>96.370199999999997</v>
      </c>
      <c r="AI501" s="40">
        <v>96.519289999999998</v>
      </c>
      <c r="AJ501" s="40">
        <v>97.053700000000006</v>
      </c>
      <c r="AK501" s="40">
        <v>96.608760000000004</v>
      </c>
      <c r="AL501" s="40">
        <v>96.429270000000002</v>
      </c>
      <c r="AM501" s="40">
        <v>96.628640000000004</v>
      </c>
      <c r="AN501" s="40">
        <v>95.622730000000004</v>
      </c>
      <c r="AO501" s="40">
        <v>96.768129999999999</v>
      </c>
      <c r="AP501" s="40">
        <v>96.790099999999995</v>
      </c>
      <c r="AQ501" s="40">
        <v>97.453130000000002</v>
      </c>
      <c r="AR501" s="40">
        <v>97.126859999999994</v>
      </c>
      <c r="AS501" s="40">
        <v>96.958539999999999</v>
      </c>
      <c r="AT501" s="40">
        <v>97.068449999999999</v>
      </c>
      <c r="AU501" s="40">
        <v>95.032640000000001</v>
      </c>
      <c r="AV501" s="40">
        <v>96.781210000000002</v>
      </c>
      <c r="AW501" s="40">
        <v>97.151790000000005</v>
      </c>
      <c r="AX501" s="40">
        <v>97.339939999999999</v>
      </c>
      <c r="AY501" s="40">
        <v>96.997479999999996</v>
      </c>
      <c r="AZ501" s="40">
        <v>96.880499999999998</v>
      </c>
      <c r="BA501" s="40">
        <v>96.992649999999998</v>
      </c>
      <c r="BB501" s="174">
        <v>43024</v>
      </c>
      <c r="BC501" s="174">
        <v>43388</v>
      </c>
    </row>
    <row r="502" spans="1:55" s="44" customFormat="1" ht="45">
      <c r="A502" s="18" t="s">
        <v>1140</v>
      </c>
      <c r="B502" s="18" t="s">
        <v>1249</v>
      </c>
      <c r="C502" s="23" t="s">
        <v>10</v>
      </c>
      <c r="D502" s="23" t="s">
        <v>10</v>
      </c>
      <c r="E502" s="23" t="s">
        <v>10</v>
      </c>
      <c r="F502" s="23" t="s">
        <v>11</v>
      </c>
      <c r="G502" s="18" t="s">
        <v>234</v>
      </c>
      <c r="H502" s="19">
        <v>10.058</v>
      </c>
      <c r="I502" s="19">
        <v>240</v>
      </c>
      <c r="J502" s="19">
        <v>97</v>
      </c>
      <c r="K502" s="21" t="s">
        <v>1217</v>
      </c>
      <c r="L502" s="49" t="s">
        <v>453</v>
      </c>
      <c r="M502" s="21" t="s">
        <v>455</v>
      </c>
      <c r="N502" s="174">
        <v>43388</v>
      </c>
      <c r="O502" s="49" t="s">
        <v>453</v>
      </c>
      <c r="P502" s="23" t="s">
        <v>17</v>
      </c>
      <c r="Q502" s="23" t="s">
        <v>17</v>
      </c>
      <c r="R502" s="150"/>
      <c r="S502" s="20" t="s">
        <v>11</v>
      </c>
      <c r="T502" s="20" t="s">
        <v>11</v>
      </c>
      <c r="U502" s="19">
        <v>3.5</v>
      </c>
      <c r="V502" s="19"/>
      <c r="W502" s="19"/>
      <c r="X502" s="19">
        <v>330</v>
      </c>
      <c r="Y502" s="19">
        <v>480</v>
      </c>
      <c r="Z502" s="19">
        <v>550</v>
      </c>
      <c r="AA502" s="40">
        <v>1.0058</v>
      </c>
      <c r="AB502" s="40">
        <v>2.0116000000000001</v>
      </c>
      <c r="AC502" s="40">
        <v>3.0173999999999999</v>
      </c>
      <c r="AD502" s="40">
        <v>5.0289999999999999</v>
      </c>
      <c r="AE502" s="40">
        <v>7.5434999999999999</v>
      </c>
      <c r="AF502" s="40">
        <v>10.058</v>
      </c>
      <c r="AG502" s="40">
        <v>95.749579999999995</v>
      </c>
      <c r="AH502" s="40">
        <v>96.575100000000006</v>
      </c>
      <c r="AI502" s="40">
        <v>96.691590000000005</v>
      </c>
      <c r="AJ502" s="40">
        <v>96.532259999999994</v>
      </c>
      <c r="AK502" s="40">
        <v>96.916989999999998</v>
      </c>
      <c r="AL502" s="40">
        <v>96.60866</v>
      </c>
      <c r="AM502" s="40">
        <v>96.729939999999999</v>
      </c>
      <c r="AN502" s="40">
        <v>95.860209999999995</v>
      </c>
      <c r="AO502" s="40">
        <v>96.901910000000001</v>
      </c>
      <c r="AP502" s="40">
        <v>97.033869999999993</v>
      </c>
      <c r="AQ502" s="40">
        <v>97.052809999999994</v>
      </c>
      <c r="AR502" s="40">
        <v>97.614750000000001</v>
      </c>
      <c r="AS502" s="40">
        <v>97.300539999999998</v>
      </c>
      <c r="AT502" s="40">
        <v>97.305509999999998</v>
      </c>
      <c r="AU502" s="40">
        <v>95.375290000000007</v>
      </c>
      <c r="AV502" s="40">
        <v>96.937259999999995</v>
      </c>
      <c r="AW502" s="40">
        <v>97.397279999999995</v>
      </c>
      <c r="AX502" s="40">
        <v>97.640140000000002</v>
      </c>
      <c r="AY502" s="40">
        <v>97.536789999999996</v>
      </c>
      <c r="AZ502" s="40">
        <v>97.234260000000006</v>
      </c>
      <c r="BA502" s="40">
        <v>97.41019</v>
      </c>
      <c r="BB502" s="174">
        <v>43024</v>
      </c>
      <c r="BC502" s="174">
        <v>43388</v>
      </c>
    </row>
    <row r="503" spans="1:55" s="44" customFormat="1" ht="45">
      <c r="A503" s="18" t="s">
        <v>1140</v>
      </c>
      <c r="B503" s="18" t="s">
        <v>1250</v>
      </c>
      <c r="C503" s="23" t="s">
        <v>10</v>
      </c>
      <c r="D503" s="23" t="s">
        <v>10</v>
      </c>
      <c r="E503" s="23" t="s">
        <v>10</v>
      </c>
      <c r="F503" s="23" t="s">
        <v>11</v>
      </c>
      <c r="G503" s="18" t="s">
        <v>235</v>
      </c>
      <c r="H503" s="19">
        <v>10.164999999999999</v>
      </c>
      <c r="I503" s="19">
        <v>277</v>
      </c>
      <c r="J503" s="19">
        <v>97.5</v>
      </c>
      <c r="K503" s="21" t="s">
        <v>1217</v>
      </c>
      <c r="L503" s="49" t="s">
        <v>453</v>
      </c>
      <c r="M503" s="21" t="s">
        <v>455</v>
      </c>
      <c r="N503" s="174">
        <v>43388</v>
      </c>
      <c r="O503" s="49" t="s">
        <v>453</v>
      </c>
      <c r="P503" s="23" t="s">
        <v>17</v>
      </c>
      <c r="Q503" s="23" t="s">
        <v>17</v>
      </c>
      <c r="R503" s="150"/>
      <c r="S503" s="20" t="s">
        <v>11</v>
      </c>
      <c r="T503" s="20" t="s">
        <v>11</v>
      </c>
      <c r="U503" s="19">
        <v>3.7</v>
      </c>
      <c r="V503" s="19"/>
      <c r="W503" s="19"/>
      <c r="X503" s="19">
        <v>330</v>
      </c>
      <c r="Y503" s="19">
        <v>480</v>
      </c>
      <c r="Z503" s="19">
        <v>550</v>
      </c>
      <c r="AA503" s="40">
        <v>1.0165</v>
      </c>
      <c r="AB503" s="40">
        <v>2.0329999999999999</v>
      </c>
      <c r="AC503" s="40">
        <v>3.0495000000000001</v>
      </c>
      <c r="AD503" s="40">
        <v>5.0824999999999996</v>
      </c>
      <c r="AE503" s="40">
        <v>7.6237500000000002</v>
      </c>
      <c r="AF503" s="40">
        <v>10.164999999999999</v>
      </c>
      <c r="AG503" s="40">
        <v>95.579530000000005</v>
      </c>
      <c r="AH503" s="40">
        <v>96.429109999999994</v>
      </c>
      <c r="AI503" s="40">
        <v>96.930059999999997</v>
      </c>
      <c r="AJ503" s="40">
        <v>97.516750000000002</v>
      </c>
      <c r="AK503" s="40">
        <v>97.317729999999997</v>
      </c>
      <c r="AL503" s="40">
        <v>97.051460000000006</v>
      </c>
      <c r="AM503" s="40">
        <v>97.185730000000007</v>
      </c>
      <c r="AN503" s="40">
        <v>96.069519999999997</v>
      </c>
      <c r="AO503" s="40">
        <v>97.219009999999997</v>
      </c>
      <c r="AP503" s="40">
        <v>97.392870000000002</v>
      </c>
      <c r="AQ503" s="40">
        <v>98.122780000000006</v>
      </c>
      <c r="AR503" s="40">
        <v>97.960220000000007</v>
      </c>
      <c r="AS503" s="40">
        <v>97.731359999999995</v>
      </c>
      <c r="AT503" s="40">
        <v>97.802149999999997</v>
      </c>
      <c r="AU503" s="40">
        <v>95.873689999999996</v>
      </c>
      <c r="AV503" s="40">
        <v>97.160489999999996</v>
      </c>
      <c r="AW503" s="40">
        <v>97.925309999999996</v>
      </c>
      <c r="AX503" s="40">
        <v>97.953310000000002</v>
      </c>
      <c r="AY503" s="40">
        <v>97.950850000000003</v>
      </c>
      <c r="AZ503" s="40">
        <v>97.763180000000006</v>
      </c>
      <c r="BA503" s="40">
        <v>97.816320000000005</v>
      </c>
      <c r="BB503" s="174">
        <v>43024</v>
      </c>
      <c r="BC503" s="174">
        <v>43388</v>
      </c>
    </row>
    <row r="504" spans="1:55" s="44" customFormat="1" ht="45">
      <c r="A504" s="18" t="s">
        <v>1140</v>
      </c>
      <c r="B504" s="140" t="s">
        <v>1141</v>
      </c>
      <c r="C504" s="26" t="s">
        <v>10</v>
      </c>
      <c r="D504" s="26" t="s">
        <v>10</v>
      </c>
      <c r="E504" s="23" t="s">
        <v>10</v>
      </c>
      <c r="F504" s="23" t="s">
        <v>11</v>
      </c>
      <c r="G504" s="140" t="s">
        <v>1142</v>
      </c>
      <c r="H504" s="149">
        <v>32.270000000000003</v>
      </c>
      <c r="I504" s="129">
        <v>480</v>
      </c>
      <c r="J504" s="137">
        <v>98.5</v>
      </c>
      <c r="K504" s="21" t="s">
        <v>1217</v>
      </c>
      <c r="L504" s="58" t="s">
        <v>1143</v>
      </c>
      <c r="M504" s="26" t="s">
        <v>1144</v>
      </c>
      <c r="N504" s="174">
        <v>43480</v>
      </c>
      <c r="O504" s="58" t="s">
        <v>1143</v>
      </c>
      <c r="P504" s="23" t="s">
        <v>17</v>
      </c>
      <c r="Q504" s="23" t="s">
        <v>17</v>
      </c>
      <c r="R504" s="152"/>
      <c r="S504" s="131" t="s">
        <v>11</v>
      </c>
      <c r="T504" s="131" t="s">
        <v>11</v>
      </c>
      <c r="U504" s="132">
        <v>2.0920000000000001</v>
      </c>
      <c r="V504" s="133"/>
      <c r="W504" s="133"/>
      <c r="X504" s="133">
        <v>480</v>
      </c>
      <c r="Y504" s="133">
        <v>700</v>
      </c>
      <c r="Z504" s="133">
        <v>800</v>
      </c>
      <c r="AA504" s="132">
        <v>3.23</v>
      </c>
      <c r="AB504" s="132">
        <v>6.45</v>
      </c>
      <c r="AC504" s="132">
        <v>9.68</v>
      </c>
      <c r="AD504" s="132">
        <v>16.14</v>
      </c>
      <c r="AE504" s="132">
        <v>24.2</v>
      </c>
      <c r="AF504" s="132">
        <v>32.270000000000003</v>
      </c>
      <c r="AG504" s="137">
        <v>97.3</v>
      </c>
      <c r="AH504" s="137">
        <v>97.8</v>
      </c>
      <c r="AI504" s="137">
        <v>98.1</v>
      </c>
      <c r="AJ504" s="137">
        <v>98.1</v>
      </c>
      <c r="AK504" s="137">
        <v>97.8</v>
      </c>
      <c r="AL504" s="137">
        <v>97.5</v>
      </c>
      <c r="AM504" s="137">
        <v>97.9</v>
      </c>
      <c r="AN504" s="137">
        <v>97.8</v>
      </c>
      <c r="AO504" s="137">
        <v>98.6</v>
      </c>
      <c r="AP504" s="137">
        <v>98.8</v>
      </c>
      <c r="AQ504" s="137">
        <v>98.9</v>
      </c>
      <c r="AR504" s="137">
        <v>98.7</v>
      </c>
      <c r="AS504" s="137">
        <v>98.5</v>
      </c>
      <c r="AT504" s="137">
        <v>98.7</v>
      </c>
      <c r="AU504" s="137">
        <v>97.5</v>
      </c>
      <c r="AV504" s="137">
        <v>98</v>
      </c>
      <c r="AW504" s="137">
        <v>98.3</v>
      </c>
      <c r="AX504" s="137">
        <v>98.5</v>
      </c>
      <c r="AY504" s="137">
        <v>98.3</v>
      </c>
      <c r="AZ504" s="137">
        <v>98.1</v>
      </c>
      <c r="BA504" s="137">
        <v>98.3</v>
      </c>
      <c r="BB504" s="174">
        <v>43419</v>
      </c>
      <c r="BC504" s="178">
        <v>43480</v>
      </c>
    </row>
    <row r="505" spans="1:55" s="44" customFormat="1" ht="45">
      <c r="A505" s="18" t="s">
        <v>1140</v>
      </c>
      <c r="B505" s="140" t="s">
        <v>1145</v>
      </c>
      <c r="C505" s="26" t="s">
        <v>10</v>
      </c>
      <c r="D505" s="26" t="s">
        <v>10</v>
      </c>
      <c r="E505" s="23" t="s">
        <v>10</v>
      </c>
      <c r="F505" s="23" t="s">
        <v>11</v>
      </c>
      <c r="G505" s="140" t="s">
        <v>1146</v>
      </c>
      <c r="H505" s="149">
        <v>35.71</v>
      </c>
      <c r="I505" s="129">
        <v>480</v>
      </c>
      <c r="J505" s="137">
        <v>98.5</v>
      </c>
      <c r="K505" s="21" t="s">
        <v>1217</v>
      </c>
      <c r="L505" s="58" t="s">
        <v>1143</v>
      </c>
      <c r="M505" s="26" t="s">
        <v>1144</v>
      </c>
      <c r="N505" s="174">
        <v>43480</v>
      </c>
      <c r="O505" s="58" t="s">
        <v>1143</v>
      </c>
      <c r="P505" s="23" t="s">
        <v>17</v>
      </c>
      <c r="Q505" s="23" t="s">
        <v>17</v>
      </c>
      <c r="R505" s="152"/>
      <c r="S505" s="131" t="s">
        <v>11</v>
      </c>
      <c r="T505" s="131" t="s">
        <v>11</v>
      </c>
      <c r="U505" s="132">
        <v>2.0510000000000002</v>
      </c>
      <c r="V505" s="133"/>
      <c r="W505" s="133"/>
      <c r="X505" s="133">
        <v>520</v>
      </c>
      <c r="Y505" s="133">
        <v>700</v>
      </c>
      <c r="Z505" s="133">
        <v>800</v>
      </c>
      <c r="AA505" s="132">
        <v>3.57</v>
      </c>
      <c r="AB505" s="132">
        <v>7.14</v>
      </c>
      <c r="AC505" s="132">
        <v>10.71</v>
      </c>
      <c r="AD505" s="132">
        <v>17.86</v>
      </c>
      <c r="AE505" s="132">
        <v>26.78</v>
      </c>
      <c r="AF505" s="132">
        <v>35.71</v>
      </c>
      <c r="AG505" s="137">
        <v>97.5</v>
      </c>
      <c r="AH505" s="137">
        <v>98.1</v>
      </c>
      <c r="AI505" s="137">
        <v>98.2</v>
      </c>
      <c r="AJ505" s="137">
        <v>98.3</v>
      </c>
      <c r="AK505" s="137">
        <v>97.9</v>
      </c>
      <c r="AL505" s="137">
        <v>97.6</v>
      </c>
      <c r="AM505" s="137">
        <v>98</v>
      </c>
      <c r="AN505" s="137">
        <v>98</v>
      </c>
      <c r="AO505" s="137">
        <v>98.6</v>
      </c>
      <c r="AP505" s="137">
        <v>98.6</v>
      </c>
      <c r="AQ505" s="137">
        <v>98.6</v>
      </c>
      <c r="AR505" s="137">
        <v>98.6</v>
      </c>
      <c r="AS505" s="137">
        <v>98.4</v>
      </c>
      <c r="AT505" s="137">
        <v>98.6</v>
      </c>
      <c r="AU505" s="137">
        <v>97.4</v>
      </c>
      <c r="AV505" s="137">
        <v>98.1</v>
      </c>
      <c r="AW505" s="137">
        <v>98.2</v>
      </c>
      <c r="AX505" s="137">
        <v>98.2</v>
      </c>
      <c r="AY505" s="137">
        <v>98.3</v>
      </c>
      <c r="AZ505" s="137">
        <v>98.1</v>
      </c>
      <c r="BA505" s="137">
        <v>98.2</v>
      </c>
      <c r="BB505" s="174">
        <v>43419</v>
      </c>
      <c r="BC505" s="178">
        <v>43480</v>
      </c>
    </row>
    <row r="506" spans="1:55" s="44" customFormat="1" ht="45">
      <c r="A506" s="18" t="s">
        <v>1140</v>
      </c>
      <c r="B506" s="140" t="s">
        <v>1147</v>
      </c>
      <c r="C506" s="26" t="s">
        <v>10</v>
      </c>
      <c r="D506" s="26" t="s">
        <v>10</v>
      </c>
      <c r="E506" s="23" t="s">
        <v>10</v>
      </c>
      <c r="F506" s="23" t="s">
        <v>11</v>
      </c>
      <c r="G506" s="140" t="s">
        <v>1148</v>
      </c>
      <c r="H506" s="149">
        <v>39.85</v>
      </c>
      <c r="I506" s="129">
        <v>480</v>
      </c>
      <c r="J506" s="137">
        <v>98.5</v>
      </c>
      <c r="K506" s="21" t="s">
        <v>1217</v>
      </c>
      <c r="L506" s="58" t="s">
        <v>1143</v>
      </c>
      <c r="M506" s="26" t="s">
        <v>1144</v>
      </c>
      <c r="N506" s="174">
        <v>43480</v>
      </c>
      <c r="O506" s="58" t="s">
        <v>1143</v>
      </c>
      <c r="P506" s="23" t="s">
        <v>17</v>
      </c>
      <c r="Q506" s="23" t="s">
        <v>17</v>
      </c>
      <c r="R506" s="152"/>
      <c r="S506" s="131" t="s">
        <v>11</v>
      </c>
      <c r="T506" s="131" t="s">
        <v>11</v>
      </c>
      <c r="U506" s="132">
        <v>2.0510000000000002</v>
      </c>
      <c r="V506" s="133"/>
      <c r="W506" s="133"/>
      <c r="X506" s="133">
        <v>570</v>
      </c>
      <c r="Y506" s="133">
        <v>700</v>
      </c>
      <c r="Z506" s="133">
        <v>800</v>
      </c>
      <c r="AA506" s="132">
        <v>3.98</v>
      </c>
      <c r="AB506" s="132">
        <v>7.97</v>
      </c>
      <c r="AC506" s="132">
        <v>11.95</v>
      </c>
      <c r="AD506" s="132">
        <v>19.920000000000002</v>
      </c>
      <c r="AE506" s="132">
        <v>29.89</v>
      </c>
      <c r="AF506" s="132">
        <v>39.85</v>
      </c>
      <c r="AG506" s="137">
        <v>97.5</v>
      </c>
      <c r="AH506" s="137">
        <v>98</v>
      </c>
      <c r="AI506" s="137">
        <v>98</v>
      </c>
      <c r="AJ506" s="137">
        <v>98.2</v>
      </c>
      <c r="AK506" s="137">
        <v>98</v>
      </c>
      <c r="AL506" s="137">
        <v>97.6</v>
      </c>
      <c r="AM506" s="137">
        <v>98</v>
      </c>
      <c r="AN506" s="137">
        <v>98.2</v>
      </c>
      <c r="AO506" s="137">
        <v>98.6</v>
      </c>
      <c r="AP506" s="137">
        <v>98.6</v>
      </c>
      <c r="AQ506" s="137">
        <v>98.4</v>
      </c>
      <c r="AR506" s="137">
        <v>98.7</v>
      </c>
      <c r="AS506" s="137">
        <v>98.5</v>
      </c>
      <c r="AT506" s="137">
        <v>98.6</v>
      </c>
      <c r="AU506" s="137">
        <v>97.5</v>
      </c>
      <c r="AV506" s="137">
        <v>98.1</v>
      </c>
      <c r="AW506" s="137">
        <v>98.1</v>
      </c>
      <c r="AX506" s="137">
        <v>98</v>
      </c>
      <c r="AY506" s="137">
        <v>98.3</v>
      </c>
      <c r="AZ506" s="137">
        <v>98.1</v>
      </c>
      <c r="BA506" s="137">
        <v>98.2</v>
      </c>
      <c r="BB506" s="174">
        <v>43419</v>
      </c>
      <c r="BC506" s="178">
        <v>43480</v>
      </c>
    </row>
    <row r="507" spans="1:55" s="44" customFormat="1" ht="45">
      <c r="A507" s="18" t="s">
        <v>1140</v>
      </c>
      <c r="B507" s="18" t="s">
        <v>1227</v>
      </c>
      <c r="C507" s="23" t="s">
        <v>10</v>
      </c>
      <c r="D507" s="23" t="s">
        <v>10</v>
      </c>
      <c r="E507" s="23" t="s">
        <v>10</v>
      </c>
      <c r="F507" s="23" t="s">
        <v>11</v>
      </c>
      <c r="G507" s="18" t="s">
        <v>218</v>
      </c>
      <c r="H507" s="19">
        <v>3.62</v>
      </c>
      <c r="I507" s="19">
        <v>208</v>
      </c>
      <c r="J507" s="19">
        <v>95.5</v>
      </c>
      <c r="K507" s="21" t="s">
        <v>1217</v>
      </c>
      <c r="L507" s="49" t="s">
        <v>453</v>
      </c>
      <c r="M507" s="21" t="s">
        <v>454</v>
      </c>
      <c r="N507" s="174">
        <v>43480</v>
      </c>
      <c r="O507" s="49" t="s">
        <v>453</v>
      </c>
      <c r="P507" s="23" t="s">
        <v>17</v>
      </c>
      <c r="Q507" s="23" t="s">
        <v>17</v>
      </c>
      <c r="R507" s="150"/>
      <c r="S507" s="20" t="s">
        <v>10</v>
      </c>
      <c r="T507" s="20" t="s">
        <v>11</v>
      </c>
      <c r="U507" s="19">
        <v>0.05</v>
      </c>
      <c r="V507" s="19"/>
      <c r="W507" s="19"/>
      <c r="X507" s="19">
        <v>100</v>
      </c>
      <c r="Y507" s="19">
        <v>482</v>
      </c>
      <c r="Z507" s="19">
        <v>550</v>
      </c>
      <c r="AA507" s="40">
        <v>0.36</v>
      </c>
      <c r="AB507" s="40">
        <v>0.72</v>
      </c>
      <c r="AC507" s="40">
        <v>1.08</v>
      </c>
      <c r="AD507" s="40">
        <v>1.81</v>
      </c>
      <c r="AE507" s="40">
        <v>2.71</v>
      </c>
      <c r="AF507" s="40">
        <v>3.62</v>
      </c>
      <c r="AG507" s="40">
        <v>88.8</v>
      </c>
      <c r="AH507" s="40">
        <v>91.7</v>
      </c>
      <c r="AI507" s="40">
        <v>93.1</v>
      </c>
      <c r="AJ507" s="40">
        <v>94.6</v>
      </c>
      <c r="AK507" s="40">
        <v>95.2</v>
      </c>
      <c r="AL507" s="40">
        <v>95.2</v>
      </c>
      <c r="AM507" s="40">
        <v>94.4</v>
      </c>
      <c r="AN507" s="40">
        <v>92.2</v>
      </c>
      <c r="AO507" s="40">
        <v>95.7</v>
      </c>
      <c r="AP507" s="40">
        <v>95.7</v>
      </c>
      <c r="AQ507" s="40">
        <v>96.5</v>
      </c>
      <c r="AR507" s="40">
        <v>96.7</v>
      </c>
      <c r="AS507" s="40">
        <v>96.7</v>
      </c>
      <c r="AT507" s="40">
        <v>96.3</v>
      </c>
      <c r="AU507" s="40">
        <v>91.4</v>
      </c>
      <c r="AV507" s="40">
        <v>94.3</v>
      </c>
      <c r="AW507" s="40">
        <v>95.3</v>
      </c>
      <c r="AX507" s="40">
        <v>96.2</v>
      </c>
      <c r="AY507" s="40">
        <v>96.5</v>
      </c>
      <c r="AZ507" s="40">
        <v>96.6</v>
      </c>
      <c r="BA507" s="40">
        <v>96</v>
      </c>
      <c r="BB507" s="174">
        <v>43024</v>
      </c>
      <c r="BC507" s="174">
        <v>43480</v>
      </c>
    </row>
    <row r="508" spans="1:55" s="44" customFormat="1" ht="45">
      <c r="A508" s="18" t="s">
        <v>1140</v>
      </c>
      <c r="B508" s="18" t="s">
        <v>1228</v>
      </c>
      <c r="C508" s="23" t="s">
        <v>10</v>
      </c>
      <c r="D508" s="23" t="s">
        <v>10</v>
      </c>
      <c r="E508" s="23" t="s">
        <v>10</v>
      </c>
      <c r="F508" s="23" t="s">
        <v>11</v>
      </c>
      <c r="G508" s="18" t="s">
        <v>219</v>
      </c>
      <c r="H508" s="19">
        <v>4.05</v>
      </c>
      <c r="I508" s="19">
        <v>240</v>
      </c>
      <c r="J508" s="19">
        <v>96</v>
      </c>
      <c r="K508" s="21" t="s">
        <v>1217</v>
      </c>
      <c r="L508" s="49" t="s">
        <v>453</v>
      </c>
      <c r="M508" s="21" t="s">
        <v>454</v>
      </c>
      <c r="N508" s="174">
        <v>43480</v>
      </c>
      <c r="O508" s="49" t="s">
        <v>453</v>
      </c>
      <c r="P508" s="23" t="s">
        <v>17</v>
      </c>
      <c r="Q508" s="23" t="s">
        <v>17</v>
      </c>
      <c r="R508" s="150"/>
      <c r="S508" s="20" t="s">
        <v>10</v>
      </c>
      <c r="T508" s="20" t="s">
        <v>11</v>
      </c>
      <c r="U508" s="19">
        <v>0.05</v>
      </c>
      <c r="V508" s="19"/>
      <c r="W508" s="19"/>
      <c r="X508" s="19">
        <v>100</v>
      </c>
      <c r="Y508" s="19">
        <v>482</v>
      </c>
      <c r="Z508" s="19">
        <v>550</v>
      </c>
      <c r="AA508" s="40">
        <v>0.4</v>
      </c>
      <c r="AB508" s="40">
        <v>0.81</v>
      </c>
      <c r="AC508" s="40">
        <v>1.21</v>
      </c>
      <c r="AD508" s="40">
        <v>2.02</v>
      </c>
      <c r="AE508" s="40">
        <v>3.04</v>
      </c>
      <c r="AF508" s="40">
        <v>4.05</v>
      </c>
      <c r="AG508" s="40">
        <v>89.5</v>
      </c>
      <c r="AH508" s="40">
        <v>92.1</v>
      </c>
      <c r="AI508" s="40">
        <v>93.7</v>
      </c>
      <c r="AJ508" s="40">
        <v>95</v>
      </c>
      <c r="AK508" s="40">
        <v>95.5</v>
      </c>
      <c r="AL508" s="40">
        <v>95.6</v>
      </c>
      <c r="AM508" s="40">
        <v>94.8</v>
      </c>
      <c r="AN508" s="40">
        <v>93.1</v>
      </c>
      <c r="AO508" s="40">
        <v>95.4</v>
      </c>
      <c r="AP508" s="40">
        <v>96.2</v>
      </c>
      <c r="AQ508" s="40">
        <v>96.9</v>
      </c>
      <c r="AR508" s="40">
        <v>97.1</v>
      </c>
      <c r="AS508" s="40">
        <v>97.1</v>
      </c>
      <c r="AT508" s="40">
        <v>96.7</v>
      </c>
      <c r="AU508" s="40">
        <v>92.3</v>
      </c>
      <c r="AV508" s="40">
        <v>94.8</v>
      </c>
      <c r="AW508" s="40">
        <v>95.9</v>
      </c>
      <c r="AX508" s="40">
        <v>96.6</v>
      </c>
      <c r="AY508" s="40">
        <v>96.9</v>
      </c>
      <c r="AZ508" s="40">
        <v>97</v>
      </c>
      <c r="BA508" s="40">
        <v>96.4</v>
      </c>
      <c r="BB508" s="174">
        <v>43024</v>
      </c>
      <c r="BC508" s="174">
        <v>43480</v>
      </c>
    </row>
    <row r="509" spans="1:55" s="44" customFormat="1" ht="45">
      <c r="A509" s="18" t="s">
        <v>1140</v>
      </c>
      <c r="B509" s="18" t="s">
        <v>1229</v>
      </c>
      <c r="C509" s="23" t="s">
        <v>10</v>
      </c>
      <c r="D509" s="23" t="s">
        <v>10</v>
      </c>
      <c r="E509" s="23" t="s">
        <v>10</v>
      </c>
      <c r="F509" s="23" t="s">
        <v>11</v>
      </c>
      <c r="G509" s="18" t="s">
        <v>220</v>
      </c>
      <c r="H509" s="19">
        <v>4.0599999999999996</v>
      </c>
      <c r="I509" s="19">
        <v>277</v>
      </c>
      <c r="J509" s="19">
        <v>96</v>
      </c>
      <c r="K509" s="21" t="s">
        <v>1217</v>
      </c>
      <c r="L509" s="49" t="s">
        <v>453</v>
      </c>
      <c r="M509" s="21" t="s">
        <v>454</v>
      </c>
      <c r="N509" s="174">
        <v>43480</v>
      </c>
      <c r="O509" s="49" t="s">
        <v>453</v>
      </c>
      <c r="P509" s="23" t="s">
        <v>17</v>
      </c>
      <c r="Q509" s="23" t="s">
        <v>17</v>
      </c>
      <c r="R509" s="150"/>
      <c r="S509" s="20" t="s">
        <v>10</v>
      </c>
      <c r="T509" s="20" t="s">
        <v>11</v>
      </c>
      <c r="U509" s="19">
        <v>0.05</v>
      </c>
      <c r="V509" s="19"/>
      <c r="W509" s="19"/>
      <c r="X509" s="19">
        <v>100</v>
      </c>
      <c r="Y509" s="19">
        <v>482</v>
      </c>
      <c r="Z509" s="19">
        <v>550</v>
      </c>
      <c r="AA509" s="40">
        <v>0.41</v>
      </c>
      <c r="AB509" s="40">
        <v>0.81</v>
      </c>
      <c r="AC509" s="40">
        <v>1.22</v>
      </c>
      <c r="AD509" s="40">
        <v>2.0299999999999998</v>
      </c>
      <c r="AE509" s="40">
        <v>3.04</v>
      </c>
      <c r="AF509" s="40">
        <v>4.0599999999999996</v>
      </c>
      <c r="AG509" s="40">
        <v>88.3</v>
      </c>
      <c r="AH509" s="40">
        <v>91.5</v>
      </c>
      <c r="AI509" s="40">
        <v>93.1</v>
      </c>
      <c r="AJ509" s="40">
        <v>94.6</v>
      </c>
      <c r="AK509" s="40">
        <v>95.3</v>
      </c>
      <c r="AL509" s="40">
        <v>95.5</v>
      </c>
      <c r="AM509" s="40">
        <v>94.4</v>
      </c>
      <c r="AN509" s="40">
        <v>93.6</v>
      </c>
      <c r="AO509" s="40">
        <v>95.7</v>
      </c>
      <c r="AP509" s="40">
        <v>96.6</v>
      </c>
      <c r="AQ509" s="40">
        <v>95.3</v>
      </c>
      <c r="AR509" s="40">
        <v>97.4</v>
      </c>
      <c r="AS509" s="40">
        <v>97.4</v>
      </c>
      <c r="AT509" s="40">
        <v>96.6</v>
      </c>
      <c r="AU509" s="40">
        <v>92.7</v>
      </c>
      <c r="AV509" s="40">
        <v>95.1</v>
      </c>
      <c r="AW509" s="40">
        <v>96.3</v>
      </c>
      <c r="AX509" s="40">
        <v>96.9</v>
      </c>
      <c r="AY509" s="40">
        <v>97.2</v>
      </c>
      <c r="AZ509" s="40">
        <v>97.3</v>
      </c>
      <c r="BA509" s="40">
        <v>96.8</v>
      </c>
      <c r="BB509" s="174">
        <v>43024</v>
      </c>
      <c r="BC509" s="174">
        <v>43480</v>
      </c>
    </row>
    <row r="510" spans="1:55" s="44" customFormat="1" ht="45">
      <c r="A510" s="18" t="s">
        <v>1140</v>
      </c>
      <c r="B510" s="18" t="s">
        <v>1230</v>
      </c>
      <c r="C510" s="23" t="s">
        <v>10</v>
      </c>
      <c r="D510" s="23" t="s">
        <v>10</v>
      </c>
      <c r="E510" s="23" t="s">
        <v>10</v>
      </c>
      <c r="F510" s="23" t="s">
        <v>11</v>
      </c>
      <c r="G510" s="18" t="s">
        <v>108</v>
      </c>
      <c r="H510" s="19">
        <v>4.59</v>
      </c>
      <c r="I510" s="19">
        <v>208</v>
      </c>
      <c r="J510" s="19">
        <v>95.5</v>
      </c>
      <c r="K510" s="21" t="s">
        <v>1217</v>
      </c>
      <c r="L510" s="49" t="s">
        <v>453</v>
      </c>
      <c r="M510" s="21" t="s">
        <v>454</v>
      </c>
      <c r="N510" s="174">
        <v>43480</v>
      </c>
      <c r="O510" s="49" t="s">
        <v>453</v>
      </c>
      <c r="P510" s="23" t="s">
        <v>17</v>
      </c>
      <c r="Q510" s="23" t="s">
        <v>17</v>
      </c>
      <c r="R510" s="150"/>
      <c r="S510" s="20" t="s">
        <v>10</v>
      </c>
      <c r="T510" s="20" t="s">
        <v>11</v>
      </c>
      <c r="U510" s="19">
        <v>0.05</v>
      </c>
      <c r="V510" s="19"/>
      <c r="W510" s="19"/>
      <c r="X510" s="19">
        <v>100</v>
      </c>
      <c r="Y510" s="19">
        <v>482</v>
      </c>
      <c r="Z510" s="19">
        <v>550</v>
      </c>
      <c r="AA510" s="40">
        <v>0.46</v>
      </c>
      <c r="AB510" s="40">
        <v>0.92</v>
      </c>
      <c r="AC510" s="40">
        <v>1.38</v>
      </c>
      <c r="AD510" s="40">
        <v>2.2999999999999998</v>
      </c>
      <c r="AE510" s="40">
        <v>3.44</v>
      </c>
      <c r="AF510" s="40">
        <v>4.59</v>
      </c>
      <c r="AG510" s="40">
        <v>89.9</v>
      </c>
      <c r="AH510" s="40">
        <v>92.5</v>
      </c>
      <c r="AI510" s="40">
        <v>93.8</v>
      </c>
      <c r="AJ510" s="40">
        <v>94.9</v>
      </c>
      <c r="AK510" s="40">
        <v>95.1</v>
      </c>
      <c r="AL510" s="40">
        <v>95.1</v>
      </c>
      <c r="AM510" s="40">
        <v>94.6</v>
      </c>
      <c r="AN510" s="40">
        <v>93.2</v>
      </c>
      <c r="AO510" s="40">
        <v>95.3</v>
      </c>
      <c r="AP510" s="40">
        <v>96</v>
      </c>
      <c r="AQ510" s="40">
        <v>96.6</v>
      </c>
      <c r="AR510" s="40">
        <v>96.7</v>
      </c>
      <c r="AS510" s="40">
        <v>96.6</v>
      </c>
      <c r="AT510" s="40">
        <v>96.4</v>
      </c>
      <c r="AU510" s="40">
        <v>92.5</v>
      </c>
      <c r="AV510" s="40">
        <v>94.8</v>
      </c>
      <c r="AW510" s="40">
        <v>95.7</v>
      </c>
      <c r="AX510" s="40">
        <v>96.4</v>
      </c>
      <c r="AY510" s="40">
        <v>96.6</v>
      </c>
      <c r="AZ510" s="40">
        <v>96.5</v>
      </c>
      <c r="BA510" s="40">
        <v>96.2</v>
      </c>
      <c r="BB510" s="174">
        <v>43024</v>
      </c>
      <c r="BC510" s="174">
        <v>43480</v>
      </c>
    </row>
    <row r="511" spans="1:55" s="44" customFormat="1" ht="45">
      <c r="A511" s="18" t="s">
        <v>1140</v>
      </c>
      <c r="B511" s="18" t="s">
        <v>1232</v>
      </c>
      <c r="C511" s="23" t="s">
        <v>10</v>
      </c>
      <c r="D511" s="23" t="s">
        <v>10</v>
      </c>
      <c r="E511" s="23" t="s">
        <v>10</v>
      </c>
      <c r="F511" s="23" t="s">
        <v>11</v>
      </c>
      <c r="G511" s="18" t="s">
        <v>109</v>
      </c>
      <c r="H511" s="19">
        <v>5.07</v>
      </c>
      <c r="I511" s="19">
        <v>240</v>
      </c>
      <c r="J511" s="19">
        <v>96</v>
      </c>
      <c r="K511" s="21" t="s">
        <v>1217</v>
      </c>
      <c r="L511" s="49" t="s">
        <v>453</v>
      </c>
      <c r="M511" s="21" t="s">
        <v>454</v>
      </c>
      <c r="N511" s="174">
        <v>43480</v>
      </c>
      <c r="O511" s="49" t="s">
        <v>453</v>
      </c>
      <c r="P511" s="23" t="s">
        <v>17</v>
      </c>
      <c r="Q511" s="23" t="s">
        <v>17</v>
      </c>
      <c r="R511" s="150"/>
      <c r="S511" s="20" t="s">
        <v>10</v>
      </c>
      <c r="T511" s="20" t="s">
        <v>11</v>
      </c>
      <c r="U511" s="19">
        <v>0.05</v>
      </c>
      <c r="V511" s="19"/>
      <c r="W511" s="19"/>
      <c r="X511" s="19">
        <v>100</v>
      </c>
      <c r="Y511" s="19">
        <v>482</v>
      </c>
      <c r="Z511" s="19">
        <v>550</v>
      </c>
      <c r="AA511" s="40">
        <v>0.51</v>
      </c>
      <c r="AB511" s="40">
        <v>1.01</v>
      </c>
      <c r="AC511" s="40">
        <v>1.52</v>
      </c>
      <c r="AD511" s="40">
        <v>2.5299999999999998</v>
      </c>
      <c r="AE511" s="40">
        <v>3.8</v>
      </c>
      <c r="AF511" s="40">
        <v>5.07</v>
      </c>
      <c r="AG511" s="40">
        <v>90.5</v>
      </c>
      <c r="AH511" s="40">
        <v>93</v>
      </c>
      <c r="AI511" s="40">
        <v>94.3</v>
      </c>
      <c r="AJ511" s="40">
        <v>95.2</v>
      </c>
      <c r="AK511" s="40">
        <v>95.4</v>
      </c>
      <c r="AL511" s="40">
        <v>95.3</v>
      </c>
      <c r="AM511" s="40">
        <v>94.9</v>
      </c>
      <c r="AN511" s="40">
        <v>93.9</v>
      </c>
      <c r="AO511" s="40">
        <v>95.8</v>
      </c>
      <c r="AP511" s="40">
        <v>96.5</v>
      </c>
      <c r="AQ511" s="40">
        <v>97</v>
      </c>
      <c r="AR511" s="40">
        <v>97.1</v>
      </c>
      <c r="AS511" s="40">
        <v>96.9</v>
      </c>
      <c r="AT511" s="40">
        <v>96.8</v>
      </c>
      <c r="AU511" s="40">
        <v>93.1</v>
      </c>
      <c r="AV511" s="40">
        <v>95.3</v>
      </c>
      <c r="AW511" s="40">
        <v>96.1</v>
      </c>
      <c r="AX511" s="40">
        <v>96.8</v>
      </c>
      <c r="AY511" s="40">
        <v>96.9</v>
      </c>
      <c r="AZ511" s="40">
        <v>96.9</v>
      </c>
      <c r="BA511" s="40">
        <v>96.6</v>
      </c>
      <c r="BB511" s="174">
        <v>43024</v>
      </c>
      <c r="BC511" s="174">
        <v>43480</v>
      </c>
    </row>
    <row r="512" spans="1:55" s="44" customFormat="1" ht="45">
      <c r="A512" s="18" t="s">
        <v>1140</v>
      </c>
      <c r="B512" s="18" t="s">
        <v>1231</v>
      </c>
      <c r="C512" s="23" t="s">
        <v>10</v>
      </c>
      <c r="D512" s="23" t="s">
        <v>10</v>
      </c>
      <c r="E512" s="23" t="s">
        <v>10</v>
      </c>
      <c r="F512" s="23" t="s">
        <v>11</v>
      </c>
      <c r="G512" s="18" t="s">
        <v>110</v>
      </c>
      <c r="H512" s="19">
        <v>5.0599999999999996</v>
      </c>
      <c r="I512" s="19">
        <v>277</v>
      </c>
      <c r="J512" s="19">
        <v>96.5</v>
      </c>
      <c r="K512" s="21" t="s">
        <v>1217</v>
      </c>
      <c r="L512" s="49" t="s">
        <v>453</v>
      </c>
      <c r="M512" s="21" t="s">
        <v>454</v>
      </c>
      <c r="N512" s="174">
        <v>43480</v>
      </c>
      <c r="O512" s="49" t="s">
        <v>453</v>
      </c>
      <c r="P512" s="23" t="s">
        <v>17</v>
      </c>
      <c r="Q512" s="23" t="s">
        <v>17</v>
      </c>
      <c r="R512" s="150"/>
      <c r="S512" s="20" t="s">
        <v>10</v>
      </c>
      <c r="T512" s="20" t="s">
        <v>11</v>
      </c>
      <c r="U512" s="19">
        <v>0.05</v>
      </c>
      <c r="V512" s="19"/>
      <c r="W512" s="19"/>
      <c r="X512" s="19">
        <v>100</v>
      </c>
      <c r="Y512" s="19">
        <v>482</v>
      </c>
      <c r="Z512" s="19">
        <v>550</v>
      </c>
      <c r="AA512" s="40">
        <v>0.51</v>
      </c>
      <c r="AB512" s="40">
        <v>1.01</v>
      </c>
      <c r="AC512" s="40">
        <v>1.52</v>
      </c>
      <c r="AD512" s="40">
        <v>2.5299999999999998</v>
      </c>
      <c r="AE512" s="40">
        <v>3.8</v>
      </c>
      <c r="AF512" s="40">
        <v>5.0599999999999996</v>
      </c>
      <c r="AG512" s="40">
        <v>89.5</v>
      </c>
      <c r="AH512" s="40">
        <v>92.3</v>
      </c>
      <c r="AI512" s="40">
        <v>93.8</v>
      </c>
      <c r="AJ512" s="40">
        <v>95</v>
      </c>
      <c r="AK512" s="40">
        <v>95.5</v>
      </c>
      <c r="AL512" s="40">
        <v>95.5</v>
      </c>
      <c r="AM512" s="40">
        <v>94.8</v>
      </c>
      <c r="AN512" s="40">
        <v>94.3</v>
      </c>
      <c r="AO512" s="40">
        <v>96.1</v>
      </c>
      <c r="AP512" s="40">
        <v>96.8</v>
      </c>
      <c r="AQ512" s="40">
        <v>97.3</v>
      </c>
      <c r="AR512" s="40">
        <v>97.4</v>
      </c>
      <c r="AS512" s="40">
        <v>97.3</v>
      </c>
      <c r="AT512" s="40">
        <v>97.1</v>
      </c>
      <c r="AU512" s="40">
        <v>93.5</v>
      </c>
      <c r="AV512" s="40">
        <v>95.6</v>
      </c>
      <c r="AW512" s="40">
        <v>96.4</v>
      </c>
      <c r="AX512" s="40">
        <v>97</v>
      </c>
      <c r="AY512" s="40">
        <v>97.2</v>
      </c>
      <c r="AZ512" s="40">
        <v>97.2</v>
      </c>
      <c r="BA512" s="40">
        <v>96.9</v>
      </c>
      <c r="BB512" s="174">
        <v>43024</v>
      </c>
      <c r="BC512" s="174">
        <v>43480</v>
      </c>
    </row>
    <row r="513" spans="1:55" s="44" customFormat="1" ht="45">
      <c r="A513" s="18" t="s">
        <v>1140</v>
      </c>
      <c r="B513" s="18" t="s">
        <v>1233</v>
      </c>
      <c r="C513" s="23" t="s">
        <v>10</v>
      </c>
      <c r="D513" s="23" t="s">
        <v>10</v>
      </c>
      <c r="E513" s="23" t="s">
        <v>10</v>
      </c>
      <c r="F513" s="23" t="s">
        <v>11</v>
      </c>
      <c r="G513" s="18" t="s">
        <v>114</v>
      </c>
      <c r="H513" s="19">
        <v>5.34</v>
      </c>
      <c r="I513" s="19">
        <v>208</v>
      </c>
      <c r="J513" s="19">
        <v>96</v>
      </c>
      <c r="K513" s="21" t="s">
        <v>1217</v>
      </c>
      <c r="L513" s="49" t="s">
        <v>453</v>
      </c>
      <c r="M513" s="21" t="s">
        <v>454</v>
      </c>
      <c r="N513" s="174">
        <v>43480</v>
      </c>
      <c r="O513" s="49" t="s">
        <v>453</v>
      </c>
      <c r="P513" s="23" t="s">
        <v>17</v>
      </c>
      <c r="Q513" s="23" t="s">
        <v>17</v>
      </c>
      <c r="R513" s="150"/>
      <c r="S513" s="20" t="s">
        <v>10</v>
      </c>
      <c r="T513" s="20" t="s">
        <v>11</v>
      </c>
      <c r="U513" s="19">
        <v>0.05</v>
      </c>
      <c r="V513" s="19"/>
      <c r="W513" s="19"/>
      <c r="X513" s="19">
        <v>100</v>
      </c>
      <c r="Y513" s="19">
        <v>482</v>
      </c>
      <c r="Z513" s="19">
        <v>550</v>
      </c>
      <c r="AA513" s="40">
        <v>0.53</v>
      </c>
      <c r="AB513" s="40">
        <v>1.07</v>
      </c>
      <c r="AC513" s="40">
        <v>1.6</v>
      </c>
      <c r="AD513" s="40">
        <v>2.67</v>
      </c>
      <c r="AE513" s="40">
        <v>4.01</v>
      </c>
      <c r="AF513" s="40">
        <v>5.34</v>
      </c>
      <c r="AG513" s="40">
        <v>90.7</v>
      </c>
      <c r="AH513" s="40">
        <v>93.2</v>
      </c>
      <c r="AI513" s="40">
        <v>94.3</v>
      </c>
      <c r="AJ513" s="40">
        <v>95</v>
      </c>
      <c r="AK513" s="40">
        <v>95</v>
      </c>
      <c r="AL513" s="40">
        <v>94.9</v>
      </c>
      <c r="AM513" s="40">
        <v>94.7</v>
      </c>
      <c r="AN513" s="40">
        <v>93.9</v>
      </c>
      <c r="AO513" s="40">
        <v>95.7</v>
      </c>
      <c r="AP513" s="40">
        <v>96.3</v>
      </c>
      <c r="AQ513" s="40">
        <v>96.7</v>
      </c>
      <c r="AR513" s="40">
        <v>96.6</v>
      </c>
      <c r="AS513" s="40">
        <v>96.4</v>
      </c>
      <c r="AT513" s="40">
        <v>96.4</v>
      </c>
      <c r="AU513" s="40">
        <v>93.3</v>
      </c>
      <c r="AV513" s="40">
        <v>95.3</v>
      </c>
      <c r="AW513" s="40">
        <v>95.9</v>
      </c>
      <c r="AX513" s="40">
        <v>96.5</v>
      </c>
      <c r="AY513" s="40">
        <v>96.5</v>
      </c>
      <c r="AZ513" s="40">
        <v>96.3</v>
      </c>
      <c r="BA513" s="40">
        <v>96.2</v>
      </c>
      <c r="BB513" s="174">
        <v>43024</v>
      </c>
      <c r="BC513" s="174">
        <v>43480</v>
      </c>
    </row>
    <row r="514" spans="1:55" s="44" customFormat="1" ht="45">
      <c r="A514" s="18" t="s">
        <v>1140</v>
      </c>
      <c r="B514" s="18" t="s">
        <v>1234</v>
      </c>
      <c r="C514" s="23" t="s">
        <v>10</v>
      </c>
      <c r="D514" s="23" t="s">
        <v>10</v>
      </c>
      <c r="E514" s="23" t="s">
        <v>10</v>
      </c>
      <c r="F514" s="23" t="s">
        <v>11</v>
      </c>
      <c r="G514" s="18" t="s">
        <v>115</v>
      </c>
      <c r="H514" s="19">
        <v>6.08</v>
      </c>
      <c r="I514" s="19">
        <v>240</v>
      </c>
      <c r="J514" s="19">
        <v>96</v>
      </c>
      <c r="K514" s="21" t="s">
        <v>1217</v>
      </c>
      <c r="L514" s="49" t="s">
        <v>453</v>
      </c>
      <c r="M514" s="21" t="s">
        <v>454</v>
      </c>
      <c r="N514" s="174">
        <v>43480</v>
      </c>
      <c r="O514" s="49" t="s">
        <v>453</v>
      </c>
      <c r="P514" s="23" t="s">
        <v>17</v>
      </c>
      <c r="Q514" s="23" t="s">
        <v>17</v>
      </c>
      <c r="R514" s="150"/>
      <c r="S514" s="20" t="s">
        <v>10</v>
      </c>
      <c r="T514" s="20" t="s">
        <v>11</v>
      </c>
      <c r="U514" s="19">
        <v>0.05</v>
      </c>
      <c r="V514" s="19"/>
      <c r="W514" s="19"/>
      <c r="X514" s="19">
        <v>100</v>
      </c>
      <c r="Y514" s="19">
        <v>482</v>
      </c>
      <c r="Z514" s="19">
        <v>550</v>
      </c>
      <c r="AA514" s="40">
        <v>0.61</v>
      </c>
      <c r="AB514" s="40">
        <v>1.22</v>
      </c>
      <c r="AC514" s="40">
        <v>1.82</v>
      </c>
      <c r="AD514" s="40">
        <v>3.04</v>
      </c>
      <c r="AE514" s="40">
        <v>4.5599999999999996</v>
      </c>
      <c r="AF514" s="40">
        <v>6.08</v>
      </c>
      <c r="AG514" s="40">
        <v>91.3</v>
      </c>
      <c r="AH514" s="40">
        <v>93.6</v>
      </c>
      <c r="AI514" s="40">
        <v>94.7</v>
      </c>
      <c r="AJ514" s="40">
        <v>95.4</v>
      </c>
      <c r="AK514" s="40">
        <v>95.5</v>
      </c>
      <c r="AL514" s="40">
        <v>95.6</v>
      </c>
      <c r="AM514" s="40">
        <v>95.1</v>
      </c>
      <c r="AN514" s="40">
        <v>94.6</v>
      </c>
      <c r="AO514" s="40">
        <v>96.1</v>
      </c>
      <c r="AP514" s="40">
        <v>96.7</v>
      </c>
      <c r="AQ514" s="40">
        <v>97</v>
      </c>
      <c r="AR514" s="40">
        <v>97</v>
      </c>
      <c r="AS514" s="40">
        <v>96.8</v>
      </c>
      <c r="AT514" s="40">
        <v>96.8</v>
      </c>
      <c r="AU514" s="40">
        <v>93.9</v>
      </c>
      <c r="AV514" s="40">
        <v>95.6</v>
      </c>
      <c r="AW514" s="40">
        <v>96.3</v>
      </c>
      <c r="AX514" s="40">
        <v>96.8</v>
      </c>
      <c r="AY514" s="40">
        <v>96.8</v>
      </c>
      <c r="AZ514" s="40">
        <v>96.7</v>
      </c>
      <c r="BA514" s="40">
        <v>96.6</v>
      </c>
      <c r="BB514" s="174">
        <v>43024</v>
      </c>
      <c r="BC514" s="174">
        <v>43480</v>
      </c>
    </row>
    <row r="515" spans="1:55" s="44" customFormat="1" ht="45">
      <c r="A515" s="18" t="s">
        <v>1140</v>
      </c>
      <c r="B515" s="18" t="s">
        <v>1235</v>
      </c>
      <c r="C515" s="23" t="s">
        <v>10</v>
      </c>
      <c r="D515" s="23" t="s">
        <v>10</v>
      </c>
      <c r="E515" s="23" t="s">
        <v>10</v>
      </c>
      <c r="F515" s="23" t="s">
        <v>11</v>
      </c>
      <c r="G515" s="18" t="s">
        <v>116</v>
      </c>
      <c r="H515" s="19">
        <v>6.08</v>
      </c>
      <c r="I515" s="19">
        <v>277</v>
      </c>
      <c r="J515" s="19">
        <v>96.5</v>
      </c>
      <c r="K515" s="21" t="s">
        <v>1217</v>
      </c>
      <c r="L515" s="49" t="s">
        <v>453</v>
      </c>
      <c r="M515" s="21" t="s">
        <v>454</v>
      </c>
      <c r="N515" s="174">
        <v>43480</v>
      </c>
      <c r="O515" s="49" t="s">
        <v>453</v>
      </c>
      <c r="P515" s="23" t="s">
        <v>17</v>
      </c>
      <c r="Q515" s="23" t="s">
        <v>17</v>
      </c>
      <c r="R515" s="150"/>
      <c r="S515" s="20" t="s">
        <v>10</v>
      </c>
      <c r="T515" s="20" t="s">
        <v>11</v>
      </c>
      <c r="U515" s="19">
        <v>0.05</v>
      </c>
      <c r="V515" s="19"/>
      <c r="W515" s="19"/>
      <c r="X515" s="19">
        <v>100</v>
      </c>
      <c r="Y515" s="19">
        <v>482</v>
      </c>
      <c r="Z515" s="19">
        <v>550</v>
      </c>
      <c r="AA515" s="40">
        <v>0.61</v>
      </c>
      <c r="AB515" s="40">
        <v>1.22</v>
      </c>
      <c r="AC515" s="40">
        <v>1.82</v>
      </c>
      <c r="AD515" s="40">
        <v>3.04</v>
      </c>
      <c r="AE515" s="40">
        <v>4.5599999999999996</v>
      </c>
      <c r="AF515" s="40">
        <v>6.08</v>
      </c>
      <c r="AG515" s="40">
        <v>90.4</v>
      </c>
      <c r="AH515" s="40">
        <v>93</v>
      </c>
      <c r="AI515" s="40">
        <v>94.4</v>
      </c>
      <c r="AJ515" s="40">
        <v>95.3</v>
      </c>
      <c r="AK515" s="40">
        <v>95.4</v>
      </c>
      <c r="AL515" s="40">
        <v>95.3</v>
      </c>
      <c r="AM515" s="40">
        <v>94.9</v>
      </c>
      <c r="AN515" s="40">
        <v>94.9</v>
      </c>
      <c r="AO515" s="40">
        <v>96.4</v>
      </c>
      <c r="AP515" s="40">
        <v>96.9</v>
      </c>
      <c r="AQ515" s="40">
        <v>97.3</v>
      </c>
      <c r="AR515" s="40">
        <v>97.4</v>
      </c>
      <c r="AS515" s="40">
        <v>97.2</v>
      </c>
      <c r="AT515" s="40">
        <v>97.2</v>
      </c>
      <c r="AU515" s="40">
        <v>94.1</v>
      </c>
      <c r="AV515" s="40">
        <v>95.9</v>
      </c>
      <c r="AW515" s="40">
        <v>96.6</v>
      </c>
      <c r="AX515" s="40">
        <v>97.1</v>
      </c>
      <c r="AY515" s="40">
        <v>97.2</v>
      </c>
      <c r="AZ515" s="40">
        <v>97.1</v>
      </c>
      <c r="BA515" s="40">
        <v>96.9</v>
      </c>
      <c r="BB515" s="174">
        <v>43024</v>
      </c>
      <c r="BC515" s="174">
        <v>43480</v>
      </c>
    </row>
    <row r="516" spans="1:55" s="44" customFormat="1" ht="45">
      <c r="A516" s="18" t="s">
        <v>1140</v>
      </c>
      <c r="B516" s="18" t="s">
        <v>1236</v>
      </c>
      <c r="C516" s="23" t="s">
        <v>10</v>
      </c>
      <c r="D516" s="23" t="s">
        <v>10</v>
      </c>
      <c r="E516" s="23" t="s">
        <v>10</v>
      </c>
      <c r="F516" s="23" t="s">
        <v>11</v>
      </c>
      <c r="G516" s="18" t="s">
        <v>221</v>
      </c>
      <c r="H516" s="19">
        <v>6.093</v>
      </c>
      <c r="I516" s="19">
        <v>208</v>
      </c>
      <c r="J516" s="19">
        <v>96</v>
      </c>
      <c r="K516" s="21" t="s">
        <v>1217</v>
      </c>
      <c r="L516" s="49" t="s">
        <v>453</v>
      </c>
      <c r="M516" s="21" t="s">
        <v>454</v>
      </c>
      <c r="N516" s="174">
        <v>43480</v>
      </c>
      <c r="O516" s="49" t="s">
        <v>453</v>
      </c>
      <c r="P516" s="23" t="s">
        <v>17</v>
      </c>
      <c r="Q516" s="23" t="s">
        <v>17</v>
      </c>
      <c r="R516" s="150"/>
      <c r="S516" s="20" t="s">
        <v>10</v>
      </c>
      <c r="T516" s="20" t="s">
        <v>11</v>
      </c>
      <c r="U516" s="19">
        <v>0.05</v>
      </c>
      <c r="V516" s="19"/>
      <c r="W516" s="19"/>
      <c r="X516" s="19">
        <v>280</v>
      </c>
      <c r="Y516" s="19">
        <v>385</v>
      </c>
      <c r="Z516" s="19">
        <v>485</v>
      </c>
      <c r="AA516" s="40">
        <v>609.29999999999995</v>
      </c>
      <c r="AB516" s="40">
        <v>1218.5999999999999</v>
      </c>
      <c r="AC516" s="40">
        <v>1827.9</v>
      </c>
      <c r="AD516" s="40">
        <v>3046.5</v>
      </c>
      <c r="AE516" s="40">
        <v>4569.75</v>
      </c>
      <c r="AF516" s="40">
        <v>6093</v>
      </c>
      <c r="AG516" s="40">
        <v>93.9</v>
      </c>
      <c r="AH516" s="40">
        <v>95.4</v>
      </c>
      <c r="AI516" s="40">
        <v>95.8</v>
      </c>
      <c r="AJ516" s="40">
        <v>95.9</v>
      </c>
      <c r="AK516" s="40">
        <v>95.5</v>
      </c>
      <c r="AL516" s="40">
        <v>95.3</v>
      </c>
      <c r="AM516" s="40">
        <v>95.6</v>
      </c>
      <c r="AN516" s="40">
        <v>95.4</v>
      </c>
      <c r="AO516" s="40">
        <v>96.6</v>
      </c>
      <c r="AP516" s="40">
        <v>96.8</v>
      </c>
      <c r="AQ516" s="40">
        <v>96.6</v>
      </c>
      <c r="AR516" s="40">
        <v>96.1</v>
      </c>
      <c r="AS516" s="40">
        <v>95.9</v>
      </c>
      <c r="AT516" s="40">
        <v>96.3</v>
      </c>
      <c r="AU516" s="40">
        <v>94.3</v>
      </c>
      <c r="AV516" s="40">
        <v>95.9</v>
      </c>
      <c r="AW516" s="40">
        <v>96.4</v>
      </c>
      <c r="AX516" s="40">
        <v>96.5</v>
      </c>
      <c r="AY516" s="40">
        <v>96.2</v>
      </c>
      <c r="AZ516" s="40">
        <v>96</v>
      </c>
      <c r="BA516" s="40">
        <v>96.2</v>
      </c>
      <c r="BB516" s="174">
        <v>43024</v>
      </c>
      <c r="BC516" s="174">
        <v>43480</v>
      </c>
    </row>
    <row r="517" spans="1:55" s="44" customFormat="1" ht="45">
      <c r="A517" s="18" t="s">
        <v>1140</v>
      </c>
      <c r="B517" s="18" t="s">
        <v>1238</v>
      </c>
      <c r="C517" s="23" t="s">
        <v>10</v>
      </c>
      <c r="D517" s="23" t="s">
        <v>10</v>
      </c>
      <c r="E517" s="23" t="s">
        <v>10</v>
      </c>
      <c r="F517" s="23" t="s">
        <v>11</v>
      </c>
      <c r="G517" s="18" t="s">
        <v>222</v>
      </c>
      <c r="H517" s="19">
        <v>7.0110000000000001</v>
      </c>
      <c r="I517" s="19">
        <v>240</v>
      </c>
      <c r="J517" s="19">
        <v>96.5</v>
      </c>
      <c r="K517" s="21" t="s">
        <v>1217</v>
      </c>
      <c r="L517" s="49" t="s">
        <v>453</v>
      </c>
      <c r="M517" s="21" t="s">
        <v>454</v>
      </c>
      <c r="N517" s="174">
        <v>43480</v>
      </c>
      <c r="O517" s="49" t="s">
        <v>453</v>
      </c>
      <c r="P517" s="23" t="s">
        <v>17</v>
      </c>
      <c r="Q517" s="23" t="s">
        <v>17</v>
      </c>
      <c r="R517" s="150"/>
      <c r="S517" s="20" t="s">
        <v>10</v>
      </c>
      <c r="T517" s="20" t="s">
        <v>11</v>
      </c>
      <c r="U517" s="19">
        <v>5.0999999999999997E-2</v>
      </c>
      <c r="V517" s="19"/>
      <c r="W517" s="19"/>
      <c r="X517" s="19">
        <v>270</v>
      </c>
      <c r="Y517" s="19">
        <v>385</v>
      </c>
      <c r="Z517" s="19">
        <v>485</v>
      </c>
      <c r="AA517" s="40">
        <v>701.11</v>
      </c>
      <c r="AB517" s="40">
        <v>1402.22</v>
      </c>
      <c r="AC517" s="40">
        <v>2103.33</v>
      </c>
      <c r="AD517" s="40">
        <v>3505.55</v>
      </c>
      <c r="AE517" s="40">
        <v>5258.33</v>
      </c>
      <c r="AF517" s="40">
        <v>7011.1</v>
      </c>
      <c r="AG517" s="40">
        <v>94</v>
      </c>
      <c r="AH517" s="40">
        <v>95.7</v>
      </c>
      <c r="AI517" s="40">
        <v>95.9</v>
      </c>
      <c r="AJ517" s="40">
        <v>96</v>
      </c>
      <c r="AK517" s="40">
        <v>95.8</v>
      </c>
      <c r="AL517" s="40">
        <v>95.5</v>
      </c>
      <c r="AM517" s="40">
        <v>95.8</v>
      </c>
      <c r="AN517" s="40">
        <v>95.7</v>
      </c>
      <c r="AO517" s="40">
        <v>96.8</v>
      </c>
      <c r="AP517" s="40">
        <v>97</v>
      </c>
      <c r="AQ517" s="40">
        <v>96.9</v>
      </c>
      <c r="AR517" s="40">
        <v>96.7</v>
      </c>
      <c r="AS517" s="40">
        <v>96.4</v>
      </c>
      <c r="AT517" s="40">
        <v>96.7</v>
      </c>
      <c r="AU517" s="40">
        <v>94.6</v>
      </c>
      <c r="AV517" s="40">
        <v>96.4</v>
      </c>
      <c r="AW517" s="40">
        <v>96.8</v>
      </c>
      <c r="AX517" s="40">
        <v>96.9</v>
      </c>
      <c r="AY517" s="40">
        <v>96.7</v>
      </c>
      <c r="AZ517" s="40">
        <v>96.3</v>
      </c>
      <c r="BA517" s="40">
        <v>96.6</v>
      </c>
      <c r="BB517" s="174">
        <v>43024</v>
      </c>
      <c r="BC517" s="174">
        <v>43480</v>
      </c>
    </row>
    <row r="518" spans="1:55" s="44" customFormat="1" ht="45">
      <c r="A518" s="18" t="s">
        <v>1140</v>
      </c>
      <c r="B518" s="18" t="s">
        <v>1239</v>
      </c>
      <c r="C518" s="23" t="s">
        <v>10</v>
      </c>
      <c r="D518" s="23" t="s">
        <v>10</v>
      </c>
      <c r="E518" s="23" t="s">
        <v>10</v>
      </c>
      <c r="F518" s="23" t="s">
        <v>11</v>
      </c>
      <c r="G518" s="18" t="s">
        <v>223</v>
      </c>
      <c r="H518" s="19">
        <v>7.01607</v>
      </c>
      <c r="I518" s="19">
        <v>277</v>
      </c>
      <c r="J518" s="19">
        <v>96.5</v>
      </c>
      <c r="K518" s="21" t="s">
        <v>1217</v>
      </c>
      <c r="L518" s="49" t="s">
        <v>453</v>
      </c>
      <c r="M518" s="21" t="s">
        <v>454</v>
      </c>
      <c r="N518" s="174">
        <v>43480</v>
      </c>
      <c r="O518" s="49" t="s">
        <v>453</v>
      </c>
      <c r="P518" s="23" t="s">
        <v>17</v>
      </c>
      <c r="Q518" s="23" t="s">
        <v>17</v>
      </c>
      <c r="R518" s="150"/>
      <c r="S518" s="20" t="s">
        <v>10</v>
      </c>
      <c r="T518" s="20" t="s">
        <v>11</v>
      </c>
      <c r="U518" s="19">
        <v>5.0999999999999997E-2</v>
      </c>
      <c r="V518" s="19"/>
      <c r="W518" s="19"/>
      <c r="X518" s="19">
        <v>275</v>
      </c>
      <c r="Y518" s="19">
        <v>385</v>
      </c>
      <c r="Z518" s="19">
        <v>480</v>
      </c>
      <c r="AA518" s="40">
        <v>701.61</v>
      </c>
      <c r="AB518" s="40">
        <v>1403.21</v>
      </c>
      <c r="AC518" s="40">
        <v>2104.8200000000002</v>
      </c>
      <c r="AD518" s="40">
        <v>3508.04</v>
      </c>
      <c r="AE518" s="40">
        <v>5262.05</v>
      </c>
      <c r="AF518" s="40">
        <v>7016.07</v>
      </c>
      <c r="AG518" s="40">
        <v>92.8</v>
      </c>
      <c r="AH518" s="40">
        <v>95.2</v>
      </c>
      <c r="AI518" s="40">
        <v>95.4</v>
      </c>
      <c r="AJ518" s="40">
        <v>95.9</v>
      </c>
      <c r="AK518" s="40">
        <v>96.1</v>
      </c>
      <c r="AL518" s="40">
        <v>95.9</v>
      </c>
      <c r="AM518" s="40">
        <v>95.8</v>
      </c>
      <c r="AN518" s="40">
        <v>93.6</v>
      </c>
      <c r="AO518" s="40">
        <v>96.3</v>
      </c>
      <c r="AP518" s="40">
        <v>96.7</v>
      </c>
      <c r="AQ518" s="40">
        <v>96.9</v>
      </c>
      <c r="AR518" s="40">
        <v>96.8</v>
      </c>
      <c r="AS518" s="40">
        <v>96.5</v>
      </c>
      <c r="AT518" s="40">
        <v>96.6</v>
      </c>
      <c r="AU518" s="40">
        <v>95</v>
      </c>
      <c r="AV518" s="40">
        <v>96.6</v>
      </c>
      <c r="AW518" s="40">
        <v>97.1</v>
      </c>
      <c r="AX518" s="40">
        <v>97.3</v>
      </c>
      <c r="AY518" s="40">
        <v>97.2</v>
      </c>
      <c r="AZ518" s="40">
        <v>97</v>
      </c>
      <c r="BA518" s="40">
        <v>97.1</v>
      </c>
      <c r="BB518" s="174">
        <v>43024</v>
      </c>
      <c r="BC518" s="174">
        <v>43480</v>
      </c>
    </row>
    <row r="519" spans="1:55" s="44" customFormat="1" ht="45">
      <c r="A519" s="18" t="s">
        <v>1140</v>
      </c>
      <c r="B519" s="18" t="s">
        <v>1237</v>
      </c>
      <c r="C519" s="23" t="s">
        <v>10</v>
      </c>
      <c r="D519" s="23" t="s">
        <v>10</v>
      </c>
      <c r="E519" s="23" t="s">
        <v>10</v>
      </c>
      <c r="F519" s="23" t="s">
        <v>11</v>
      </c>
      <c r="G519" s="18" t="s">
        <v>224</v>
      </c>
      <c r="H519" s="19">
        <v>6.7410100000000002</v>
      </c>
      <c r="I519" s="19">
        <v>208</v>
      </c>
      <c r="J519" s="19">
        <v>96</v>
      </c>
      <c r="K519" s="21" t="s">
        <v>1217</v>
      </c>
      <c r="L519" s="49" t="s">
        <v>453</v>
      </c>
      <c r="M519" s="21" t="s">
        <v>454</v>
      </c>
      <c r="N519" s="174">
        <v>43480</v>
      </c>
      <c r="O519" s="49" t="s">
        <v>453</v>
      </c>
      <c r="P519" s="23" t="s">
        <v>17</v>
      </c>
      <c r="Q519" s="23" t="s">
        <v>17</v>
      </c>
      <c r="R519" s="150"/>
      <c r="S519" s="20" t="s">
        <v>10</v>
      </c>
      <c r="T519" s="20" t="s">
        <v>11</v>
      </c>
      <c r="U519" s="19">
        <v>0.05</v>
      </c>
      <c r="V519" s="19"/>
      <c r="W519" s="19"/>
      <c r="X519" s="19">
        <v>270</v>
      </c>
      <c r="Y519" s="19">
        <v>380</v>
      </c>
      <c r="Z519" s="19">
        <v>480</v>
      </c>
      <c r="AA519" s="40">
        <v>674.1</v>
      </c>
      <c r="AB519" s="40">
        <v>1348.2</v>
      </c>
      <c r="AC519" s="40">
        <v>2022.3</v>
      </c>
      <c r="AD519" s="40">
        <v>3370.51</v>
      </c>
      <c r="AE519" s="40">
        <v>5055.76</v>
      </c>
      <c r="AF519" s="40">
        <v>6741.01</v>
      </c>
      <c r="AG519" s="40">
        <v>94.1</v>
      </c>
      <c r="AH519" s="40">
        <v>95.5</v>
      </c>
      <c r="AI519" s="40">
        <v>95.7</v>
      </c>
      <c r="AJ519" s="40">
        <v>95.7</v>
      </c>
      <c r="AK519" s="40">
        <v>95.2</v>
      </c>
      <c r="AL519" s="40">
        <v>95</v>
      </c>
      <c r="AM519" s="40">
        <v>95.3</v>
      </c>
      <c r="AN519" s="40">
        <v>95.7</v>
      </c>
      <c r="AO519" s="40">
        <v>96.7</v>
      </c>
      <c r="AP519" s="40">
        <v>96.8</v>
      </c>
      <c r="AQ519" s="40">
        <v>96.6</v>
      </c>
      <c r="AR519" s="40">
        <v>96.1</v>
      </c>
      <c r="AS519" s="40">
        <v>95.9</v>
      </c>
      <c r="AT519" s="40">
        <v>96.3</v>
      </c>
      <c r="AU519" s="40">
        <v>94.7</v>
      </c>
      <c r="AV519" s="40">
        <v>96.2</v>
      </c>
      <c r="AW519" s="40">
        <v>96.5</v>
      </c>
      <c r="AX519" s="40">
        <v>96.5</v>
      </c>
      <c r="AY519" s="40">
        <v>96.1</v>
      </c>
      <c r="AZ519" s="40">
        <v>95.8</v>
      </c>
      <c r="BA519" s="40">
        <v>96.2</v>
      </c>
      <c r="BB519" s="174">
        <v>43024</v>
      </c>
      <c r="BC519" s="174">
        <v>43480</v>
      </c>
    </row>
    <row r="520" spans="1:55" s="44" customFormat="1" ht="45">
      <c r="A520" s="18" t="s">
        <v>1140</v>
      </c>
      <c r="B520" s="18" t="s">
        <v>1241</v>
      </c>
      <c r="C520" s="23" t="s">
        <v>10</v>
      </c>
      <c r="D520" s="23" t="s">
        <v>10</v>
      </c>
      <c r="E520" s="23" t="s">
        <v>10</v>
      </c>
      <c r="F520" s="23" t="s">
        <v>11</v>
      </c>
      <c r="G520" s="18" t="s">
        <v>225</v>
      </c>
      <c r="H520" s="19">
        <v>7.6040000000000001</v>
      </c>
      <c r="I520" s="19">
        <v>240</v>
      </c>
      <c r="J520" s="19">
        <v>96.5</v>
      </c>
      <c r="K520" s="21" t="s">
        <v>1217</v>
      </c>
      <c r="L520" s="49" t="s">
        <v>453</v>
      </c>
      <c r="M520" s="21" t="s">
        <v>455</v>
      </c>
      <c r="N520" s="174">
        <v>43480</v>
      </c>
      <c r="O520" s="49" t="s">
        <v>453</v>
      </c>
      <c r="P520" s="23" t="s">
        <v>17</v>
      </c>
      <c r="Q520" s="23" t="s">
        <v>17</v>
      </c>
      <c r="R520" s="150"/>
      <c r="S520" s="20" t="s">
        <v>10</v>
      </c>
      <c r="T520" s="20" t="s">
        <v>11</v>
      </c>
      <c r="U520" s="19">
        <v>5.0999999999999997E-2</v>
      </c>
      <c r="V520" s="19"/>
      <c r="W520" s="19"/>
      <c r="X520" s="19">
        <v>270</v>
      </c>
      <c r="Y520" s="19">
        <v>380</v>
      </c>
      <c r="Z520" s="19">
        <v>480</v>
      </c>
      <c r="AA520" s="40">
        <v>760.4</v>
      </c>
      <c r="AB520" s="40">
        <v>1520.8</v>
      </c>
      <c r="AC520" s="40">
        <v>2281.19</v>
      </c>
      <c r="AD520" s="40">
        <v>3801.99</v>
      </c>
      <c r="AE520" s="40">
        <v>5702.99</v>
      </c>
      <c r="AF520" s="40">
        <v>7603.98</v>
      </c>
      <c r="AG520" s="40">
        <v>94.3</v>
      </c>
      <c r="AH520" s="40">
        <v>95.8</v>
      </c>
      <c r="AI520" s="40">
        <v>96.2</v>
      </c>
      <c r="AJ520" s="40">
        <v>96.1</v>
      </c>
      <c r="AK520" s="40">
        <v>95.8</v>
      </c>
      <c r="AL520" s="40">
        <v>95.3</v>
      </c>
      <c r="AM520" s="40">
        <v>95.8</v>
      </c>
      <c r="AN520" s="40">
        <v>96.1</v>
      </c>
      <c r="AO520" s="40">
        <v>97</v>
      </c>
      <c r="AP520" s="40">
        <v>97.2</v>
      </c>
      <c r="AQ520" s="40">
        <v>97.1</v>
      </c>
      <c r="AR520" s="40">
        <v>96.8</v>
      </c>
      <c r="AS520" s="40">
        <v>96.3</v>
      </c>
      <c r="AT520" s="40">
        <v>96.9</v>
      </c>
      <c r="AU520" s="40">
        <v>94.9</v>
      </c>
      <c r="AV520" s="40">
        <v>96.5</v>
      </c>
      <c r="AW520" s="40">
        <v>96.9</v>
      </c>
      <c r="AX520" s="40">
        <v>96.9</v>
      </c>
      <c r="AY520" s="40">
        <v>96.7</v>
      </c>
      <c r="AZ520" s="40">
        <v>96.3</v>
      </c>
      <c r="BA520" s="40">
        <v>96.7</v>
      </c>
      <c r="BB520" s="174">
        <v>43024</v>
      </c>
      <c r="BC520" s="174">
        <v>43480</v>
      </c>
    </row>
    <row r="521" spans="1:55" s="44" customFormat="1" ht="45">
      <c r="A521" s="18" t="s">
        <v>1140</v>
      </c>
      <c r="B521" s="18" t="s">
        <v>1242</v>
      </c>
      <c r="C521" s="23" t="s">
        <v>10</v>
      </c>
      <c r="D521" s="23" t="s">
        <v>10</v>
      </c>
      <c r="E521" s="23" t="s">
        <v>10</v>
      </c>
      <c r="F521" s="23" t="s">
        <v>11</v>
      </c>
      <c r="G521" s="18" t="s">
        <v>226</v>
      </c>
      <c r="H521" s="19">
        <v>7.6520000000000001</v>
      </c>
      <c r="I521" s="19">
        <v>277</v>
      </c>
      <c r="J521" s="19">
        <v>96.5</v>
      </c>
      <c r="K521" s="21" t="s">
        <v>1217</v>
      </c>
      <c r="L521" s="49" t="s">
        <v>453</v>
      </c>
      <c r="M521" s="21" t="s">
        <v>455</v>
      </c>
      <c r="N521" s="174">
        <v>43480</v>
      </c>
      <c r="O521" s="49" t="s">
        <v>453</v>
      </c>
      <c r="P521" s="23" t="s">
        <v>17</v>
      </c>
      <c r="Q521" s="23" t="s">
        <v>17</v>
      </c>
      <c r="R521" s="150"/>
      <c r="S521" s="20" t="s">
        <v>10</v>
      </c>
      <c r="T521" s="20" t="s">
        <v>11</v>
      </c>
      <c r="U521" s="19">
        <v>5.0999999999999997E-2</v>
      </c>
      <c r="V521" s="19"/>
      <c r="W521" s="19"/>
      <c r="X521" s="19">
        <v>270</v>
      </c>
      <c r="Y521" s="19">
        <v>380</v>
      </c>
      <c r="Z521" s="19">
        <v>480</v>
      </c>
      <c r="AA521" s="40">
        <v>765.15</v>
      </c>
      <c r="AB521" s="40">
        <v>1530.3</v>
      </c>
      <c r="AC521" s="40">
        <v>2295.4499999999998</v>
      </c>
      <c r="AD521" s="40">
        <v>3825.75</v>
      </c>
      <c r="AE521" s="40">
        <v>5738.63</v>
      </c>
      <c r="AF521" s="40">
        <v>7651.5</v>
      </c>
      <c r="AG521" s="40">
        <v>94.3</v>
      </c>
      <c r="AH521" s="40">
        <v>95.8</v>
      </c>
      <c r="AI521" s="40">
        <v>96.2</v>
      </c>
      <c r="AJ521" s="40">
        <v>96.1</v>
      </c>
      <c r="AK521" s="40">
        <v>95.8</v>
      </c>
      <c r="AL521" s="40">
        <v>95.3</v>
      </c>
      <c r="AM521" s="40">
        <v>95.8</v>
      </c>
      <c r="AN521" s="40">
        <v>96.1</v>
      </c>
      <c r="AO521" s="40">
        <v>97</v>
      </c>
      <c r="AP521" s="40">
        <v>97.2</v>
      </c>
      <c r="AQ521" s="40">
        <v>97.1</v>
      </c>
      <c r="AR521" s="40">
        <v>96.8</v>
      </c>
      <c r="AS521" s="40">
        <v>96.3</v>
      </c>
      <c r="AT521" s="40">
        <v>96.9</v>
      </c>
      <c r="AU521" s="40">
        <v>94.9</v>
      </c>
      <c r="AV521" s="40">
        <v>96.5</v>
      </c>
      <c r="AW521" s="40">
        <v>96.9</v>
      </c>
      <c r="AX521" s="40">
        <v>96.9</v>
      </c>
      <c r="AY521" s="40">
        <v>96.7</v>
      </c>
      <c r="AZ521" s="40">
        <v>96.3</v>
      </c>
      <c r="BA521" s="40">
        <v>96.7</v>
      </c>
      <c r="BB521" s="174">
        <v>43024</v>
      </c>
      <c r="BC521" s="174">
        <v>43480</v>
      </c>
    </row>
    <row r="522" spans="1:55" s="44" customFormat="1" ht="45">
      <c r="A522" s="18" t="s">
        <v>1140</v>
      </c>
      <c r="B522" s="18" t="s">
        <v>1240</v>
      </c>
      <c r="C522" s="23" t="s">
        <v>10</v>
      </c>
      <c r="D522" s="23" t="s">
        <v>10</v>
      </c>
      <c r="E522" s="23" t="s">
        <v>10</v>
      </c>
      <c r="F522" s="23" t="s">
        <v>11</v>
      </c>
      <c r="G522" s="18" t="s">
        <v>227</v>
      </c>
      <c r="H522" s="19">
        <v>7.1070000000000002</v>
      </c>
      <c r="I522" s="19">
        <v>208</v>
      </c>
      <c r="J522" s="19">
        <v>97</v>
      </c>
      <c r="K522" s="21" t="s">
        <v>1217</v>
      </c>
      <c r="L522" s="49" t="s">
        <v>453</v>
      </c>
      <c r="M522" s="21" t="s">
        <v>455</v>
      </c>
      <c r="N522" s="174">
        <v>43388</v>
      </c>
      <c r="O522" s="49" t="s">
        <v>453</v>
      </c>
      <c r="P522" s="23" t="s">
        <v>17</v>
      </c>
      <c r="Q522" s="23" t="s">
        <v>17</v>
      </c>
      <c r="R522" s="150"/>
      <c r="S522" s="20" t="s">
        <v>11</v>
      </c>
      <c r="T522" s="20" t="s">
        <v>11</v>
      </c>
      <c r="U522" s="19">
        <v>3.3</v>
      </c>
      <c r="V522" s="19"/>
      <c r="W522" s="19"/>
      <c r="X522" s="19">
        <v>330</v>
      </c>
      <c r="Y522" s="19">
        <v>480</v>
      </c>
      <c r="Z522" s="19">
        <v>550</v>
      </c>
      <c r="AA522" s="40">
        <v>0.7107</v>
      </c>
      <c r="AB522" s="40">
        <v>1.4214</v>
      </c>
      <c r="AC522" s="40">
        <v>2.1320999999999999</v>
      </c>
      <c r="AD522" s="40">
        <v>3.5535000000000001</v>
      </c>
      <c r="AE522" s="40">
        <v>5.3302500000000004</v>
      </c>
      <c r="AF522" s="40">
        <v>7.1070000000000002</v>
      </c>
      <c r="AG522" s="40">
        <v>95.231939999999994</v>
      </c>
      <c r="AH522" s="40">
        <v>96.898070000000004</v>
      </c>
      <c r="AI522" s="40">
        <v>97.166759999999996</v>
      </c>
      <c r="AJ522" s="40">
        <v>97.215220000000002</v>
      </c>
      <c r="AK522" s="40">
        <v>96.94059</v>
      </c>
      <c r="AL522" s="40">
        <v>96.732650000000007</v>
      </c>
      <c r="AM522" s="40">
        <v>96.944540000000003</v>
      </c>
      <c r="AN522" s="40">
        <v>95.324839999999995</v>
      </c>
      <c r="AO522" s="40">
        <v>96.898070000000004</v>
      </c>
      <c r="AP522" s="40">
        <v>97.353549999999998</v>
      </c>
      <c r="AQ522" s="40">
        <v>97.525599999999997</v>
      </c>
      <c r="AR522" s="40">
        <v>97.365679999999998</v>
      </c>
      <c r="AS522" s="40">
        <v>97.204369999999997</v>
      </c>
      <c r="AT522" s="40">
        <v>97.284729999999996</v>
      </c>
      <c r="AU522" s="40">
        <v>94.567530000000005</v>
      </c>
      <c r="AV522" s="40">
        <v>96.538659999999993</v>
      </c>
      <c r="AW522" s="40">
        <v>97.078320000000005</v>
      </c>
      <c r="AX522" s="40">
        <v>97.371020000000001</v>
      </c>
      <c r="AY522" s="40">
        <v>97.291730000000001</v>
      </c>
      <c r="AZ522" s="40">
        <v>97.130870000000002</v>
      </c>
      <c r="BA522" s="40">
        <v>97.128110000000007</v>
      </c>
      <c r="BB522" s="174">
        <v>43024</v>
      </c>
      <c r="BC522" s="174">
        <v>43388</v>
      </c>
    </row>
    <row r="523" spans="1:55" s="44" customFormat="1" ht="45">
      <c r="A523" s="18" t="s">
        <v>1140</v>
      </c>
      <c r="B523" s="18" t="s">
        <v>1244</v>
      </c>
      <c r="C523" s="23" t="s">
        <v>10</v>
      </c>
      <c r="D523" s="23" t="s">
        <v>10</v>
      </c>
      <c r="E523" s="23" t="s">
        <v>10</v>
      </c>
      <c r="F523" s="23" t="s">
        <v>11</v>
      </c>
      <c r="G523" s="18" t="s">
        <v>228</v>
      </c>
      <c r="H523" s="19">
        <v>8.0609999999999999</v>
      </c>
      <c r="I523" s="19">
        <v>240</v>
      </c>
      <c r="J523" s="19">
        <v>97.5</v>
      </c>
      <c r="K523" s="21" t="s">
        <v>1217</v>
      </c>
      <c r="L523" s="49" t="s">
        <v>453</v>
      </c>
      <c r="M523" s="21" t="s">
        <v>455</v>
      </c>
      <c r="N523" s="174">
        <v>43388</v>
      </c>
      <c r="O523" s="49" t="s">
        <v>453</v>
      </c>
      <c r="P523" s="23" t="s">
        <v>17</v>
      </c>
      <c r="Q523" s="23" t="s">
        <v>17</v>
      </c>
      <c r="R523" s="150"/>
      <c r="S523" s="20" t="s">
        <v>11</v>
      </c>
      <c r="T523" s="20" t="s">
        <v>11</v>
      </c>
      <c r="U523" s="19">
        <v>3.5</v>
      </c>
      <c r="V523" s="19"/>
      <c r="W523" s="19"/>
      <c r="X523" s="19">
        <v>330</v>
      </c>
      <c r="Y523" s="19">
        <v>480</v>
      </c>
      <c r="Z523" s="19">
        <v>550</v>
      </c>
      <c r="AA523" s="40">
        <v>0.80610000000000004</v>
      </c>
      <c r="AB523" s="40">
        <v>1.6122000000000001</v>
      </c>
      <c r="AC523" s="40">
        <v>2.4182999999999999</v>
      </c>
      <c r="AD523" s="40">
        <v>4.0305</v>
      </c>
      <c r="AE523" s="40">
        <v>6.04575</v>
      </c>
      <c r="AF523" s="40">
        <v>8.0609999999999999</v>
      </c>
      <c r="AG523" s="40">
        <v>95.4816</v>
      </c>
      <c r="AH523" s="40">
        <v>96.806020000000004</v>
      </c>
      <c r="AI523" s="40">
        <v>97.298220000000001</v>
      </c>
      <c r="AJ523" s="40">
        <v>97.457989999999995</v>
      </c>
      <c r="AK523" s="40">
        <v>97.318010000000001</v>
      </c>
      <c r="AL523" s="40">
        <v>97.01661</v>
      </c>
      <c r="AM523" s="40">
        <v>97.230900000000005</v>
      </c>
      <c r="AN523" s="40">
        <v>95.793940000000006</v>
      </c>
      <c r="AO523" s="40">
        <v>97.091250000000002</v>
      </c>
      <c r="AP523" s="40">
        <v>97.595429999999993</v>
      </c>
      <c r="AQ523" s="40">
        <v>97.858990000000006</v>
      </c>
      <c r="AR523" s="40">
        <v>97.792810000000003</v>
      </c>
      <c r="AS523" s="40">
        <v>97.576599999999999</v>
      </c>
      <c r="AT523" s="40">
        <v>97.657179999999997</v>
      </c>
      <c r="AU523" s="40">
        <v>95.263710000000003</v>
      </c>
      <c r="AV523" s="40">
        <v>96.757559999999998</v>
      </c>
      <c r="AW523" s="40">
        <v>97.312370000000001</v>
      </c>
      <c r="AX523" s="40">
        <v>97.63409</v>
      </c>
      <c r="AY523" s="40">
        <v>97.694239999999994</v>
      </c>
      <c r="AZ523" s="40">
        <v>97.527929999999998</v>
      </c>
      <c r="BA523" s="40">
        <v>97.483410000000006</v>
      </c>
      <c r="BB523" s="174">
        <v>43024</v>
      </c>
      <c r="BC523" s="174">
        <v>43388</v>
      </c>
    </row>
    <row r="524" spans="1:55" s="44" customFormat="1" ht="45">
      <c r="A524" s="18" t="s">
        <v>1140</v>
      </c>
      <c r="B524" s="18" t="s">
        <v>1245</v>
      </c>
      <c r="C524" s="23" t="s">
        <v>10</v>
      </c>
      <c r="D524" s="23" t="s">
        <v>10</v>
      </c>
      <c r="E524" s="23" t="s">
        <v>10</v>
      </c>
      <c r="F524" s="23" t="s">
        <v>11</v>
      </c>
      <c r="G524" s="18" t="s">
        <v>229</v>
      </c>
      <c r="H524" s="19">
        <v>8.1370000000000005</v>
      </c>
      <c r="I524" s="19">
        <v>277</v>
      </c>
      <c r="J524" s="19">
        <v>97.5</v>
      </c>
      <c r="K524" s="21" t="s">
        <v>1217</v>
      </c>
      <c r="L524" s="49" t="s">
        <v>453</v>
      </c>
      <c r="M524" s="21" t="s">
        <v>455</v>
      </c>
      <c r="N524" s="174">
        <v>43388</v>
      </c>
      <c r="O524" s="49" t="s">
        <v>453</v>
      </c>
      <c r="P524" s="23" t="s">
        <v>17</v>
      </c>
      <c r="Q524" s="23" t="s">
        <v>17</v>
      </c>
      <c r="R524" s="150"/>
      <c r="S524" s="20" t="s">
        <v>11</v>
      </c>
      <c r="T524" s="20" t="s">
        <v>11</v>
      </c>
      <c r="U524" s="19">
        <v>3.7</v>
      </c>
      <c r="V524" s="19"/>
      <c r="W524" s="19"/>
      <c r="X524" s="19">
        <v>330</v>
      </c>
      <c r="Y524" s="19">
        <v>480</v>
      </c>
      <c r="Z524" s="19">
        <v>550</v>
      </c>
      <c r="AA524" s="40">
        <v>0.81369999999999998</v>
      </c>
      <c r="AB524" s="40">
        <v>1.6274</v>
      </c>
      <c r="AC524" s="40">
        <v>2.4411</v>
      </c>
      <c r="AD524" s="40">
        <v>4.0685000000000002</v>
      </c>
      <c r="AE524" s="40">
        <v>6.1027500000000003</v>
      </c>
      <c r="AF524" s="40">
        <v>8.1370000000000005</v>
      </c>
      <c r="AG524" s="40">
        <v>95.442130000000006</v>
      </c>
      <c r="AH524" s="40">
        <v>96.610879999999995</v>
      </c>
      <c r="AI524" s="40">
        <v>97.182379999999995</v>
      </c>
      <c r="AJ524" s="40">
        <v>97.519840000000002</v>
      </c>
      <c r="AK524" s="40">
        <v>97.492549999999994</v>
      </c>
      <c r="AL524" s="40">
        <v>97.242800000000003</v>
      </c>
      <c r="AM524" s="40">
        <v>97.322469999999996</v>
      </c>
      <c r="AN524" s="40">
        <v>96.269720000000007</v>
      </c>
      <c r="AO524" s="40">
        <v>97.204390000000004</v>
      </c>
      <c r="AP524" s="40">
        <v>97.776979999999995</v>
      </c>
      <c r="AQ524" s="40">
        <v>98.099580000000003</v>
      </c>
      <c r="AR524" s="40">
        <v>98.098389999999995</v>
      </c>
      <c r="AS524" s="40">
        <v>97.949449999999999</v>
      </c>
      <c r="AT524" s="40">
        <v>97.934780000000003</v>
      </c>
      <c r="AU524" s="40">
        <v>95.863069999999993</v>
      </c>
      <c r="AV524" s="40">
        <v>96.889769999999999</v>
      </c>
      <c r="AW524" s="40">
        <v>97.487949999999998</v>
      </c>
      <c r="AX524" s="40">
        <v>97.839110000000005</v>
      </c>
      <c r="AY524" s="40">
        <v>97.964219999999997</v>
      </c>
      <c r="AZ524" s="40">
        <v>97.894599999999997</v>
      </c>
      <c r="BA524" s="40">
        <v>97.739540000000005</v>
      </c>
      <c r="BB524" s="174">
        <v>43024</v>
      </c>
      <c r="BC524" s="174">
        <v>43388</v>
      </c>
    </row>
    <row r="525" spans="1:55" s="44" customFormat="1" ht="45">
      <c r="A525" s="18" t="s">
        <v>1140</v>
      </c>
      <c r="B525" s="18" t="s">
        <v>1243</v>
      </c>
      <c r="C525" s="23" t="s">
        <v>10</v>
      </c>
      <c r="D525" s="23" t="s">
        <v>10</v>
      </c>
      <c r="E525" s="23" t="s">
        <v>10</v>
      </c>
      <c r="F525" s="23" t="s">
        <v>11</v>
      </c>
      <c r="G525" s="18" t="s">
        <v>230</v>
      </c>
      <c r="H525" s="19">
        <v>7.8639999999999999</v>
      </c>
      <c r="I525" s="19">
        <v>208</v>
      </c>
      <c r="J525" s="19">
        <v>97</v>
      </c>
      <c r="K525" s="21" t="s">
        <v>1217</v>
      </c>
      <c r="L525" s="49" t="s">
        <v>453</v>
      </c>
      <c r="M525" s="21" t="s">
        <v>455</v>
      </c>
      <c r="N525" s="174">
        <v>43388</v>
      </c>
      <c r="O525" s="49" t="s">
        <v>453</v>
      </c>
      <c r="P525" s="23" t="s">
        <v>17</v>
      </c>
      <c r="Q525" s="23" t="s">
        <v>17</v>
      </c>
      <c r="R525" s="150"/>
      <c r="S525" s="20" t="s">
        <v>11</v>
      </c>
      <c r="T525" s="20" t="s">
        <v>11</v>
      </c>
      <c r="U525" s="19">
        <v>3.3</v>
      </c>
      <c r="V525" s="19"/>
      <c r="W525" s="19"/>
      <c r="X525" s="19">
        <v>330</v>
      </c>
      <c r="Y525" s="19">
        <v>480</v>
      </c>
      <c r="Z525" s="19">
        <v>550</v>
      </c>
      <c r="AA525" s="40">
        <v>0.78639999999999999</v>
      </c>
      <c r="AB525" s="40">
        <v>1.5728</v>
      </c>
      <c r="AC525" s="40">
        <v>2.3592</v>
      </c>
      <c r="AD525" s="40">
        <v>3.9319999999999999</v>
      </c>
      <c r="AE525" s="40">
        <v>5.8979999999999997</v>
      </c>
      <c r="AF525" s="40">
        <v>7.8639999999999999</v>
      </c>
      <c r="AG525" s="40">
        <v>95.43432</v>
      </c>
      <c r="AH525" s="40">
        <v>96.863429999999994</v>
      </c>
      <c r="AI525" s="40">
        <v>97.122839999999997</v>
      </c>
      <c r="AJ525" s="40">
        <v>97.083680000000001</v>
      </c>
      <c r="AK525" s="40">
        <v>96.760149999999996</v>
      </c>
      <c r="AL525" s="40">
        <v>96.539320000000004</v>
      </c>
      <c r="AM525" s="40">
        <v>96.812700000000007</v>
      </c>
      <c r="AN525" s="40">
        <v>95.518439999999998</v>
      </c>
      <c r="AO525" s="40">
        <v>96.989900000000006</v>
      </c>
      <c r="AP525" s="40">
        <v>97.353149999999999</v>
      </c>
      <c r="AQ525" s="40">
        <v>97.446280000000002</v>
      </c>
      <c r="AR525" s="40">
        <v>97.178740000000005</v>
      </c>
      <c r="AS525" s="40">
        <v>97.000060000000005</v>
      </c>
      <c r="AT525" s="40">
        <v>97.171059999999997</v>
      </c>
      <c r="AU525" s="40">
        <v>94.826999999999998</v>
      </c>
      <c r="AV525" s="40">
        <v>96.616910000000004</v>
      </c>
      <c r="AW525" s="40">
        <v>97.056359999999998</v>
      </c>
      <c r="AX525" s="40">
        <v>97.24727</v>
      </c>
      <c r="AY525" s="40">
        <v>97.081869999999995</v>
      </c>
      <c r="AZ525" s="40">
        <v>96.893640000000005</v>
      </c>
      <c r="BA525" s="40">
        <v>96.990690000000001</v>
      </c>
      <c r="BB525" s="174">
        <v>43024</v>
      </c>
      <c r="BC525" s="174">
        <v>43388</v>
      </c>
    </row>
    <row r="526" spans="1:55" s="44" customFormat="1" ht="45">
      <c r="A526" s="18" t="s">
        <v>1140</v>
      </c>
      <c r="B526" s="18" t="s">
        <v>1247</v>
      </c>
      <c r="C526" s="23" t="s">
        <v>10</v>
      </c>
      <c r="D526" s="23" t="s">
        <v>10</v>
      </c>
      <c r="E526" s="23" t="s">
        <v>10</v>
      </c>
      <c r="F526" s="23" t="s">
        <v>11</v>
      </c>
      <c r="G526" s="18" t="s">
        <v>231</v>
      </c>
      <c r="H526" s="19">
        <v>9.0609999999999999</v>
      </c>
      <c r="I526" s="19">
        <v>240</v>
      </c>
      <c r="J526" s="19">
        <v>97.5</v>
      </c>
      <c r="K526" s="21" t="s">
        <v>1217</v>
      </c>
      <c r="L526" s="49" t="s">
        <v>453</v>
      </c>
      <c r="M526" s="21" t="s">
        <v>455</v>
      </c>
      <c r="N526" s="174">
        <v>43388</v>
      </c>
      <c r="O526" s="49" t="s">
        <v>453</v>
      </c>
      <c r="P526" s="23" t="s">
        <v>17</v>
      </c>
      <c r="Q526" s="23" t="s">
        <v>17</v>
      </c>
      <c r="R526" s="150"/>
      <c r="S526" s="20" t="s">
        <v>11</v>
      </c>
      <c r="T526" s="20" t="s">
        <v>11</v>
      </c>
      <c r="U526" s="19">
        <v>3.5</v>
      </c>
      <c r="V526" s="19"/>
      <c r="W526" s="19"/>
      <c r="X526" s="19">
        <v>330</v>
      </c>
      <c r="Y526" s="19">
        <v>480</v>
      </c>
      <c r="Z526" s="19">
        <v>550</v>
      </c>
      <c r="AA526" s="40">
        <v>0.90610000000000002</v>
      </c>
      <c r="AB526" s="40">
        <v>1.8122</v>
      </c>
      <c r="AC526" s="40">
        <v>2.7183000000000002</v>
      </c>
      <c r="AD526" s="40">
        <v>4.5305</v>
      </c>
      <c r="AE526" s="40">
        <v>6.79575</v>
      </c>
      <c r="AF526" s="40">
        <v>9.0609999999999999</v>
      </c>
      <c r="AG526" s="40">
        <v>95.93065</v>
      </c>
      <c r="AH526" s="40">
        <v>97.035060000000001</v>
      </c>
      <c r="AI526" s="40">
        <v>97.362440000000007</v>
      </c>
      <c r="AJ526" s="40">
        <v>97.405529999999999</v>
      </c>
      <c r="AK526" s="40">
        <v>97.158659999999998</v>
      </c>
      <c r="AL526" s="40">
        <v>96.78322</v>
      </c>
      <c r="AM526" s="40">
        <v>97.160880000000006</v>
      </c>
      <c r="AN526" s="40">
        <v>96.126360000000005</v>
      </c>
      <c r="AO526" s="40">
        <v>97.330820000000003</v>
      </c>
      <c r="AP526" s="40">
        <v>97.709829999999997</v>
      </c>
      <c r="AQ526" s="40">
        <v>97.856560000000002</v>
      </c>
      <c r="AR526" s="40">
        <v>97.706140000000005</v>
      </c>
      <c r="AS526" s="40">
        <v>97.435649999999995</v>
      </c>
      <c r="AT526" s="40">
        <v>97.642690000000002</v>
      </c>
      <c r="AU526" s="40">
        <v>95.536010000000005</v>
      </c>
      <c r="AV526" s="40">
        <v>96.982789999999994</v>
      </c>
      <c r="AW526" s="40">
        <v>97.334860000000006</v>
      </c>
      <c r="AX526" s="40">
        <v>97.587569999999999</v>
      </c>
      <c r="AY526" s="40">
        <v>97.556820000000002</v>
      </c>
      <c r="AZ526" s="40">
        <v>97.313829999999996</v>
      </c>
      <c r="BA526" s="40">
        <v>97.414959999999994</v>
      </c>
      <c r="BB526" s="174">
        <v>43024</v>
      </c>
      <c r="BC526" s="174">
        <v>43388</v>
      </c>
    </row>
    <row r="527" spans="1:55" s="44" customFormat="1" ht="45">
      <c r="A527" s="18" t="s">
        <v>1140</v>
      </c>
      <c r="B527" s="18" t="s">
        <v>1248</v>
      </c>
      <c r="C527" s="23" t="s">
        <v>10</v>
      </c>
      <c r="D527" s="23" t="s">
        <v>10</v>
      </c>
      <c r="E527" s="23" t="s">
        <v>10</v>
      </c>
      <c r="F527" s="23" t="s">
        <v>11</v>
      </c>
      <c r="G527" s="18" t="s">
        <v>232</v>
      </c>
      <c r="H527" s="19">
        <v>9.1690000000000005</v>
      </c>
      <c r="I527" s="19">
        <v>277</v>
      </c>
      <c r="J527" s="19">
        <v>97.5</v>
      </c>
      <c r="K527" s="21" t="s">
        <v>1217</v>
      </c>
      <c r="L527" s="49" t="s">
        <v>453</v>
      </c>
      <c r="M527" s="21" t="s">
        <v>455</v>
      </c>
      <c r="N527" s="174">
        <v>43388</v>
      </c>
      <c r="O527" s="49" t="s">
        <v>453</v>
      </c>
      <c r="P527" s="23" t="s">
        <v>17</v>
      </c>
      <c r="Q527" s="23" t="s">
        <v>17</v>
      </c>
      <c r="R527" s="150"/>
      <c r="S527" s="20" t="s">
        <v>11</v>
      </c>
      <c r="T527" s="20" t="s">
        <v>11</v>
      </c>
      <c r="U527" s="19">
        <v>3.7</v>
      </c>
      <c r="V527" s="19"/>
      <c r="W527" s="19"/>
      <c r="X527" s="19">
        <v>330</v>
      </c>
      <c r="Y527" s="19">
        <v>480</v>
      </c>
      <c r="Z527" s="19">
        <v>550</v>
      </c>
      <c r="AA527" s="40">
        <v>0.91690000000000005</v>
      </c>
      <c r="AB527" s="40">
        <v>1.8338000000000001</v>
      </c>
      <c r="AC527" s="40">
        <v>2.7507000000000001</v>
      </c>
      <c r="AD527" s="40">
        <v>4.5845000000000002</v>
      </c>
      <c r="AE527" s="40">
        <v>6.8767500000000004</v>
      </c>
      <c r="AF527" s="40">
        <v>9.1690000000000005</v>
      </c>
      <c r="AG527" s="40">
        <v>95.687690000000003</v>
      </c>
      <c r="AH527" s="40">
        <v>96.865970000000004</v>
      </c>
      <c r="AI527" s="40">
        <v>97.33663</v>
      </c>
      <c r="AJ527" s="40">
        <v>97.541709999999995</v>
      </c>
      <c r="AK527" s="40">
        <v>97.445030000000003</v>
      </c>
      <c r="AL527" s="40">
        <v>97.157430000000005</v>
      </c>
      <c r="AM527" s="40">
        <v>97.338700000000003</v>
      </c>
      <c r="AN527" s="40">
        <v>96.344859999999997</v>
      </c>
      <c r="AO527" s="40">
        <v>97.280630000000002</v>
      </c>
      <c r="AP527" s="40">
        <v>97.773439999999994</v>
      </c>
      <c r="AQ527" s="40">
        <v>98.113960000000006</v>
      </c>
      <c r="AR527" s="40">
        <v>98.064689999999999</v>
      </c>
      <c r="AS527" s="40">
        <v>97.891440000000003</v>
      </c>
      <c r="AT527" s="40">
        <v>97.923429999999996</v>
      </c>
      <c r="AU527" s="40">
        <v>95.934560000000005</v>
      </c>
      <c r="AV527" s="40">
        <v>97.087289999999996</v>
      </c>
      <c r="AW527" s="40">
        <v>97.619349999999997</v>
      </c>
      <c r="AX527" s="40">
        <v>97.924369999999996</v>
      </c>
      <c r="AY527" s="40">
        <v>98.000309999999999</v>
      </c>
      <c r="AZ527" s="40">
        <v>97.894289999999998</v>
      </c>
      <c r="BA527" s="40">
        <v>97.805059999999997</v>
      </c>
      <c r="BB527" s="174">
        <v>43024</v>
      </c>
      <c r="BC527" s="174">
        <v>43388</v>
      </c>
    </row>
    <row r="528" spans="1:55" s="44" customFormat="1" ht="45">
      <c r="A528" s="18" t="s">
        <v>274</v>
      </c>
      <c r="B528" s="140" t="s">
        <v>1037</v>
      </c>
      <c r="C528" s="26" t="s">
        <v>10</v>
      </c>
      <c r="D528" s="26" t="s">
        <v>10</v>
      </c>
      <c r="E528" s="23" t="s">
        <v>10</v>
      </c>
      <c r="F528" s="23" t="s">
        <v>11</v>
      </c>
      <c r="G528" s="18" t="s">
        <v>125</v>
      </c>
      <c r="H528" s="19">
        <v>98.013000000000005</v>
      </c>
      <c r="I528" s="19">
        <v>480</v>
      </c>
      <c r="J528" s="19">
        <v>94</v>
      </c>
      <c r="K528" s="21" t="s">
        <v>1217</v>
      </c>
      <c r="L528" s="49" t="s">
        <v>458</v>
      </c>
      <c r="M528" s="21" t="s">
        <v>459</v>
      </c>
      <c r="N528" s="174">
        <v>43388</v>
      </c>
      <c r="O528" s="49" t="s">
        <v>458</v>
      </c>
      <c r="P528" s="23" t="s">
        <v>17</v>
      </c>
      <c r="Q528" s="23" t="s">
        <v>17</v>
      </c>
      <c r="R528" s="150"/>
      <c r="S528" s="20" t="s">
        <v>11</v>
      </c>
      <c r="T528" s="20" t="s">
        <v>11</v>
      </c>
      <c r="U528" s="19">
        <v>997</v>
      </c>
      <c r="V528" s="19"/>
      <c r="W528" s="19"/>
      <c r="X528" s="19">
        <v>500</v>
      </c>
      <c r="Y528" s="19">
        <v>650</v>
      </c>
      <c r="Z528" s="19">
        <v>850</v>
      </c>
      <c r="AA528" s="40">
        <v>9.8012999999999995</v>
      </c>
      <c r="AB528" s="40">
        <v>19.602599999999999</v>
      </c>
      <c r="AC528" s="40">
        <v>29.4039</v>
      </c>
      <c r="AD528" s="40">
        <v>49.006500000000003</v>
      </c>
      <c r="AE528" s="40">
        <v>73.509749999999997</v>
      </c>
      <c r="AF528" s="40">
        <v>98.013000000000005</v>
      </c>
      <c r="AG528" s="40">
        <v>87.311549999999997</v>
      </c>
      <c r="AH528" s="40">
        <v>92.459919999999997</v>
      </c>
      <c r="AI528" s="40">
        <v>94.048630000000003</v>
      </c>
      <c r="AJ528" s="40">
        <v>95.034940000000006</v>
      </c>
      <c r="AK528" s="40">
        <v>95.106219999999993</v>
      </c>
      <c r="AL528" s="40">
        <v>94.79683</v>
      </c>
      <c r="AM528" s="40">
        <v>94.504769999999994</v>
      </c>
      <c r="AN528" s="40">
        <v>86.571629999999999</v>
      </c>
      <c r="AO528" s="40">
        <v>91.932190000000006</v>
      </c>
      <c r="AP528" s="40">
        <v>93.578500000000005</v>
      </c>
      <c r="AQ528" s="40">
        <v>94.542100000000005</v>
      </c>
      <c r="AR528" s="40">
        <v>94.643979999999999</v>
      </c>
      <c r="AS528" s="40">
        <v>94.38073</v>
      </c>
      <c r="AT528" s="40">
        <v>94.023079999999993</v>
      </c>
      <c r="AU528" s="40">
        <v>85.595879999999994</v>
      </c>
      <c r="AV528" s="40">
        <v>91.278369999999995</v>
      </c>
      <c r="AW528" s="40">
        <v>92.999359999999996</v>
      </c>
      <c r="AX528" s="40">
        <v>94.071690000000004</v>
      </c>
      <c r="AY528" s="40">
        <v>94.262630000000001</v>
      </c>
      <c r="AZ528" s="40">
        <v>94.043989999999994</v>
      </c>
      <c r="BA528" s="40">
        <v>93.564130000000006</v>
      </c>
      <c r="BB528" s="174">
        <v>42917</v>
      </c>
      <c r="BC528" s="174">
        <v>43388</v>
      </c>
    </row>
    <row r="529" spans="1:55" s="44" customFormat="1" ht="45">
      <c r="A529" s="18" t="s">
        <v>274</v>
      </c>
      <c r="B529" s="140" t="s">
        <v>1038</v>
      </c>
      <c r="C529" s="26" t="s">
        <v>10</v>
      </c>
      <c r="D529" s="26" t="s">
        <v>10</v>
      </c>
      <c r="E529" s="23" t="s">
        <v>10</v>
      </c>
      <c r="F529" s="23" t="s">
        <v>11</v>
      </c>
      <c r="G529" s="18" t="s">
        <v>126</v>
      </c>
      <c r="H529" s="19">
        <v>147.47</v>
      </c>
      <c r="I529" s="19">
        <v>480</v>
      </c>
      <c r="J529" s="19">
        <v>94.5</v>
      </c>
      <c r="K529" s="21" t="s">
        <v>1217</v>
      </c>
      <c r="L529" s="49" t="s">
        <v>458</v>
      </c>
      <c r="M529" s="21" t="s">
        <v>459</v>
      </c>
      <c r="N529" s="174">
        <v>43388</v>
      </c>
      <c r="O529" s="49" t="s">
        <v>458</v>
      </c>
      <c r="P529" s="23" t="s">
        <v>17</v>
      </c>
      <c r="Q529" s="23" t="s">
        <v>17</v>
      </c>
      <c r="R529" s="150"/>
      <c r="S529" s="20" t="s">
        <v>11</v>
      </c>
      <c r="T529" s="20" t="s">
        <v>11</v>
      </c>
      <c r="U529" s="19">
        <v>1360</v>
      </c>
      <c r="V529" s="19"/>
      <c r="W529" s="19"/>
      <c r="X529" s="19">
        <v>500</v>
      </c>
      <c r="Y529" s="19">
        <v>650</v>
      </c>
      <c r="Z529" s="19">
        <v>850</v>
      </c>
      <c r="AA529" s="40">
        <v>14.747</v>
      </c>
      <c r="AB529" s="40">
        <v>29.494</v>
      </c>
      <c r="AC529" s="40">
        <v>44.241</v>
      </c>
      <c r="AD529" s="40">
        <v>73.734999999999999</v>
      </c>
      <c r="AE529" s="40">
        <v>110.60250000000001</v>
      </c>
      <c r="AF529" s="40">
        <v>147.47</v>
      </c>
      <c r="AG529" s="40">
        <v>88.591089999999994</v>
      </c>
      <c r="AH529" s="40">
        <v>93.098050000000001</v>
      </c>
      <c r="AI529" s="40">
        <v>94.450109999999995</v>
      </c>
      <c r="AJ529" s="40">
        <v>95.172200000000004</v>
      </c>
      <c r="AK529" s="40">
        <v>95.219030000000004</v>
      </c>
      <c r="AL529" s="40">
        <v>94.892799999999994</v>
      </c>
      <c r="AM529" s="40">
        <v>94.72945</v>
      </c>
      <c r="AN529" s="40">
        <v>87.832819999999998</v>
      </c>
      <c r="AO529" s="40">
        <v>92.61909</v>
      </c>
      <c r="AP529" s="40">
        <v>94.083389999999994</v>
      </c>
      <c r="AQ529" s="40">
        <v>94.967160000000007</v>
      </c>
      <c r="AR529" s="40">
        <v>95.022580000000005</v>
      </c>
      <c r="AS529" s="40">
        <v>94.700680000000006</v>
      </c>
      <c r="AT529" s="40">
        <v>94.474379999999996</v>
      </c>
      <c r="AU529" s="40">
        <v>86.74418</v>
      </c>
      <c r="AV529" s="40">
        <v>91.896339999999995</v>
      </c>
      <c r="AW529" s="40">
        <v>93.455410000000001</v>
      </c>
      <c r="AX529" s="40">
        <v>94.34769</v>
      </c>
      <c r="AY529" s="40">
        <v>94.47269</v>
      </c>
      <c r="AZ529" s="40">
        <v>94.236149999999995</v>
      </c>
      <c r="BA529" s="40">
        <v>93.874579999999995</v>
      </c>
      <c r="BB529" s="174">
        <v>42917</v>
      </c>
      <c r="BC529" s="174">
        <v>43388</v>
      </c>
    </row>
    <row r="530" spans="1:55" s="44" customFormat="1" ht="45">
      <c r="A530" s="18" t="s">
        <v>274</v>
      </c>
      <c r="B530" s="140" t="s">
        <v>1039</v>
      </c>
      <c r="C530" s="26" t="s">
        <v>10</v>
      </c>
      <c r="D530" s="26" t="s">
        <v>10</v>
      </c>
      <c r="E530" s="23" t="s">
        <v>10</v>
      </c>
      <c r="F530" s="23" t="s">
        <v>11</v>
      </c>
      <c r="G530" s="18" t="s">
        <v>127</v>
      </c>
      <c r="H530" s="19">
        <v>244.02600000000001</v>
      </c>
      <c r="I530" s="19">
        <v>480</v>
      </c>
      <c r="J530" s="19">
        <v>95</v>
      </c>
      <c r="K530" s="21" t="s">
        <v>1217</v>
      </c>
      <c r="L530" s="49" t="s">
        <v>458</v>
      </c>
      <c r="M530" s="21" t="s">
        <v>459</v>
      </c>
      <c r="N530" s="174">
        <v>43388</v>
      </c>
      <c r="O530" s="49" t="s">
        <v>458</v>
      </c>
      <c r="P530" s="23" t="s">
        <v>17</v>
      </c>
      <c r="Q530" s="23" t="s">
        <v>17</v>
      </c>
      <c r="R530" s="150"/>
      <c r="S530" s="20" t="s">
        <v>11</v>
      </c>
      <c r="T530" s="20" t="s">
        <v>11</v>
      </c>
      <c r="U530" s="19">
        <v>1860</v>
      </c>
      <c r="V530" s="19"/>
      <c r="W530" s="19"/>
      <c r="X530" s="19">
        <v>500</v>
      </c>
      <c r="Y530" s="19">
        <v>650</v>
      </c>
      <c r="Z530" s="19">
        <v>850</v>
      </c>
      <c r="AA530" s="40">
        <v>24.4026</v>
      </c>
      <c r="AB530" s="40">
        <v>48.805199999999999</v>
      </c>
      <c r="AC530" s="40">
        <v>73.207800000000006</v>
      </c>
      <c r="AD530" s="40">
        <v>122.01300000000001</v>
      </c>
      <c r="AE530" s="40">
        <v>183.01949999999999</v>
      </c>
      <c r="AF530" s="40">
        <v>244.02600000000001</v>
      </c>
      <c r="AG530" s="40">
        <v>91.392179999999996</v>
      </c>
      <c r="AH530" s="40">
        <v>94.968000000000004</v>
      </c>
      <c r="AI530" s="40">
        <v>95.701229999999995</v>
      </c>
      <c r="AJ530" s="40">
        <v>96.032960000000003</v>
      </c>
      <c r="AK530" s="40">
        <v>95.780090000000001</v>
      </c>
      <c r="AL530" s="40">
        <v>95.415419999999997</v>
      </c>
      <c r="AM530" s="40">
        <v>95.589370000000002</v>
      </c>
      <c r="AN530" s="40">
        <v>90.445620000000005</v>
      </c>
      <c r="AO530" s="40">
        <v>94.396190000000004</v>
      </c>
      <c r="AP530" s="40">
        <v>95.214219999999997</v>
      </c>
      <c r="AQ530" s="40">
        <v>95.574529999999996</v>
      </c>
      <c r="AR530" s="40">
        <v>95.383780000000002</v>
      </c>
      <c r="AS530" s="40">
        <v>95.019170000000003</v>
      </c>
      <c r="AT530" s="40">
        <v>95.138350000000003</v>
      </c>
      <c r="AU530" s="40">
        <v>89.216269999999994</v>
      </c>
      <c r="AV530" s="40">
        <v>93.574600000000004</v>
      </c>
      <c r="AW530" s="40">
        <v>94.598749999999995</v>
      </c>
      <c r="AX530" s="40">
        <v>95.079480000000004</v>
      </c>
      <c r="AY530" s="40">
        <v>94.960419999999999</v>
      </c>
      <c r="AZ530" s="40">
        <v>94.629959999999997</v>
      </c>
      <c r="BA530" s="40">
        <v>94.626440000000002</v>
      </c>
      <c r="BB530" s="174">
        <v>42917</v>
      </c>
      <c r="BC530" s="174">
        <v>43388</v>
      </c>
    </row>
    <row r="531" spans="1:55" s="44" customFormat="1" ht="60">
      <c r="A531" s="18" t="s">
        <v>274</v>
      </c>
      <c r="B531" s="18" t="s">
        <v>1040</v>
      </c>
      <c r="C531" s="23" t="s">
        <v>10</v>
      </c>
      <c r="D531" s="23" t="s">
        <v>10</v>
      </c>
      <c r="E531" s="23" t="s">
        <v>10</v>
      </c>
      <c r="F531" s="23" t="s">
        <v>11</v>
      </c>
      <c r="G531" s="18" t="s">
        <v>576</v>
      </c>
      <c r="H531" s="19">
        <v>498.34</v>
      </c>
      <c r="I531" s="37">
        <v>400</v>
      </c>
      <c r="J531" s="19">
        <v>96</v>
      </c>
      <c r="K531" s="21" t="s">
        <v>1217</v>
      </c>
      <c r="L531" s="49" t="s">
        <v>577</v>
      </c>
      <c r="M531" s="38" t="s">
        <v>578</v>
      </c>
      <c r="N531" s="174">
        <v>43388</v>
      </c>
      <c r="O531" s="49" t="s">
        <v>577</v>
      </c>
      <c r="P531" s="23" t="s">
        <v>17</v>
      </c>
      <c r="Q531" s="23" t="s">
        <v>17</v>
      </c>
      <c r="R531" s="151" t="s">
        <v>572</v>
      </c>
      <c r="S531" s="39" t="s">
        <v>11</v>
      </c>
      <c r="T531" s="39" t="s">
        <v>11</v>
      </c>
      <c r="U531" s="153">
        <v>289.89999999999998</v>
      </c>
      <c r="V531" s="153"/>
      <c r="W531" s="153"/>
      <c r="X531" s="153">
        <v>640</v>
      </c>
      <c r="Y531" s="153">
        <v>750</v>
      </c>
      <c r="Z531" s="153">
        <v>900</v>
      </c>
      <c r="AA531" s="40">
        <v>49.83</v>
      </c>
      <c r="AB531" s="40">
        <v>99.67</v>
      </c>
      <c r="AC531" s="40">
        <v>149.5</v>
      </c>
      <c r="AD531" s="40">
        <v>249.17</v>
      </c>
      <c r="AE531" s="40">
        <v>373.76</v>
      </c>
      <c r="AF531" s="40">
        <v>498.34</v>
      </c>
      <c r="AG531" s="40">
        <v>93.95</v>
      </c>
      <c r="AH531" s="40">
        <v>96</v>
      </c>
      <c r="AI531" s="40">
        <v>96.6</v>
      </c>
      <c r="AJ531" s="40">
        <v>96.83</v>
      </c>
      <c r="AK531" s="40">
        <v>96.64</v>
      </c>
      <c r="AL531" s="40">
        <v>96.31</v>
      </c>
      <c r="AM531" s="40">
        <v>96.52</v>
      </c>
      <c r="AN531" s="40">
        <v>93.16</v>
      </c>
      <c r="AO531" s="40">
        <v>95.61</v>
      </c>
      <c r="AP531" s="40">
        <v>96.3</v>
      </c>
      <c r="AQ531" s="40">
        <v>96.61</v>
      </c>
      <c r="AR531" s="40">
        <v>96.47</v>
      </c>
      <c r="AS531" s="40">
        <v>96.13</v>
      </c>
      <c r="AT531" s="40">
        <v>96.28</v>
      </c>
      <c r="AU531" s="40">
        <v>92.19</v>
      </c>
      <c r="AV531" s="40">
        <v>95.03</v>
      </c>
      <c r="AW531" s="40">
        <v>95.86</v>
      </c>
      <c r="AX531" s="40">
        <v>96.27</v>
      </c>
      <c r="AY531" s="40">
        <v>96.14</v>
      </c>
      <c r="AZ531" s="40">
        <v>95.84</v>
      </c>
      <c r="BA531" s="40">
        <v>95.9</v>
      </c>
      <c r="BB531" s="174">
        <v>43221</v>
      </c>
      <c r="BC531" s="174">
        <v>43388</v>
      </c>
    </row>
    <row r="532" spans="1:55" s="44" customFormat="1" ht="45">
      <c r="A532" s="18" t="s">
        <v>274</v>
      </c>
      <c r="B532" s="140" t="s">
        <v>1036</v>
      </c>
      <c r="C532" s="26" t="s">
        <v>10</v>
      </c>
      <c r="D532" s="26" t="s">
        <v>10</v>
      </c>
      <c r="E532" s="23" t="s">
        <v>10</v>
      </c>
      <c r="F532" s="23" t="s">
        <v>11</v>
      </c>
      <c r="G532" s="18" t="s">
        <v>124</v>
      </c>
      <c r="H532" s="19">
        <v>48.58</v>
      </c>
      <c r="I532" s="19">
        <v>480</v>
      </c>
      <c r="J532" s="19">
        <v>94</v>
      </c>
      <c r="K532" s="21" t="s">
        <v>1217</v>
      </c>
      <c r="L532" s="49" t="s">
        <v>458</v>
      </c>
      <c r="M532" s="21" t="s">
        <v>459</v>
      </c>
      <c r="N532" s="174">
        <v>43388</v>
      </c>
      <c r="O532" s="49" t="s">
        <v>458</v>
      </c>
      <c r="P532" s="23" t="s">
        <v>17</v>
      </c>
      <c r="Q532" s="23" t="s">
        <v>17</v>
      </c>
      <c r="R532" s="150"/>
      <c r="S532" s="20" t="s">
        <v>11</v>
      </c>
      <c r="T532" s="20" t="s">
        <v>11</v>
      </c>
      <c r="U532" s="19">
        <v>860</v>
      </c>
      <c r="V532" s="19"/>
      <c r="W532" s="19"/>
      <c r="X532" s="19">
        <v>500</v>
      </c>
      <c r="Y532" s="19">
        <v>650</v>
      </c>
      <c r="Z532" s="19">
        <v>850</v>
      </c>
      <c r="AA532" s="40">
        <v>4.8579999999999997</v>
      </c>
      <c r="AB532" s="40">
        <v>9.7159999999999993</v>
      </c>
      <c r="AC532" s="40">
        <v>14.574</v>
      </c>
      <c r="AD532" s="40">
        <v>24.29</v>
      </c>
      <c r="AE532" s="40">
        <v>36.435000000000002</v>
      </c>
      <c r="AF532" s="40">
        <v>48.58</v>
      </c>
      <c r="AG532" s="40">
        <v>87.323880000000003</v>
      </c>
      <c r="AH532" s="40">
        <v>92.417400000000001</v>
      </c>
      <c r="AI532" s="40">
        <v>93.964190000000002</v>
      </c>
      <c r="AJ532" s="40">
        <v>94.910979999999995</v>
      </c>
      <c r="AK532" s="40">
        <v>94.934809999999999</v>
      </c>
      <c r="AL532" s="40">
        <v>94.62491</v>
      </c>
      <c r="AM532" s="40">
        <v>94.367530000000002</v>
      </c>
      <c r="AN532" s="40">
        <v>86.479619999999997</v>
      </c>
      <c r="AO532" s="40">
        <v>91.834270000000004</v>
      </c>
      <c r="AP532" s="40">
        <v>93.521519999999995</v>
      </c>
      <c r="AQ532" s="40">
        <v>94.538150000000002</v>
      </c>
      <c r="AR532" s="40">
        <v>94.624470000000002</v>
      </c>
      <c r="AS532" s="40">
        <v>94.313730000000007</v>
      </c>
      <c r="AT532" s="40">
        <v>93.99315</v>
      </c>
      <c r="AU532" s="40">
        <v>85.50658</v>
      </c>
      <c r="AV532" s="40">
        <v>91.214849999999998</v>
      </c>
      <c r="AW532" s="40">
        <v>92.892110000000002</v>
      </c>
      <c r="AX532" s="40">
        <v>94.127089999999995</v>
      </c>
      <c r="AY532" s="40">
        <v>94.148269999999997</v>
      </c>
      <c r="AZ532" s="40">
        <v>93.923240000000007</v>
      </c>
      <c r="BA532" s="40">
        <v>93.489490000000004</v>
      </c>
      <c r="BB532" s="174">
        <v>42917</v>
      </c>
      <c r="BC532" s="174">
        <v>43388</v>
      </c>
    </row>
    <row r="533" spans="1:55" s="44" customFormat="1" ht="45">
      <c r="A533" s="18" t="s">
        <v>274</v>
      </c>
      <c r="B533" s="18" t="s">
        <v>1035</v>
      </c>
      <c r="C533" s="23" t="s">
        <v>10</v>
      </c>
      <c r="D533" s="23" t="s">
        <v>10</v>
      </c>
      <c r="E533" s="23" t="s">
        <v>10</v>
      </c>
      <c r="F533" s="23" t="s">
        <v>11</v>
      </c>
      <c r="G533" s="139" t="s">
        <v>269</v>
      </c>
      <c r="H533" s="125">
        <v>30.02</v>
      </c>
      <c r="I533" s="127">
        <v>480</v>
      </c>
      <c r="J533" s="136">
        <v>96.5</v>
      </c>
      <c r="K533" s="21" t="s">
        <v>1217</v>
      </c>
      <c r="L533" s="49" t="s">
        <v>456</v>
      </c>
      <c r="M533" s="128" t="s">
        <v>457</v>
      </c>
      <c r="N533" s="174">
        <v>43388</v>
      </c>
      <c r="O533" s="49" t="s">
        <v>456</v>
      </c>
      <c r="P533" s="23" t="s">
        <v>17</v>
      </c>
      <c r="Q533" s="23" t="s">
        <v>17</v>
      </c>
      <c r="R533" s="151"/>
      <c r="S533" s="23" t="s">
        <v>11</v>
      </c>
      <c r="T533" s="23" t="s">
        <v>11</v>
      </c>
      <c r="U533" s="19">
        <v>1.857</v>
      </c>
      <c r="V533" s="153"/>
      <c r="W533" s="153"/>
      <c r="X533" s="153">
        <v>350</v>
      </c>
      <c r="Y533" s="153">
        <v>600</v>
      </c>
      <c r="Z533" s="153">
        <v>750</v>
      </c>
      <c r="AA533" s="40">
        <v>3.0020000000000002</v>
      </c>
      <c r="AB533" s="40">
        <v>6.0040000000000004</v>
      </c>
      <c r="AC533" s="40">
        <v>9.0060000000000002</v>
      </c>
      <c r="AD533" s="40">
        <v>15.01</v>
      </c>
      <c r="AE533" s="40">
        <v>22.515000000000001</v>
      </c>
      <c r="AF533" s="40">
        <v>30.02</v>
      </c>
      <c r="AG533" s="40">
        <v>91.232795624893384</v>
      </c>
      <c r="AH533" s="40">
        <v>94.277589242188768</v>
      </c>
      <c r="AI533" s="40">
        <v>95.180370789174333</v>
      </c>
      <c r="AJ533" s="40">
        <v>95.634277535394332</v>
      </c>
      <c r="AK533" s="40">
        <v>95.561081132163324</v>
      </c>
      <c r="AL533" s="40">
        <v>95.189468782718862</v>
      </c>
      <c r="AM533" s="40">
        <v>95.274880503421414</v>
      </c>
      <c r="AN533" s="40">
        <v>94.080385566728907</v>
      </c>
      <c r="AO533" s="40">
        <v>95.918546060046893</v>
      </c>
      <c r="AP533" s="40">
        <v>96.606888485455713</v>
      </c>
      <c r="AQ533" s="40">
        <v>97.008558536409453</v>
      </c>
      <c r="AR533" s="40">
        <v>97.030608016695339</v>
      </c>
      <c r="AS533" s="40">
        <v>96.872169309812364</v>
      </c>
      <c r="AT533" s="40">
        <v>96.793597350911327</v>
      </c>
      <c r="AU533" s="40">
        <v>94.989078239317621</v>
      </c>
      <c r="AV533" s="40">
        <v>96.634957862780169</v>
      </c>
      <c r="AW533" s="40">
        <v>97.181154036798375</v>
      </c>
      <c r="AX533" s="40">
        <v>97.444638792448188</v>
      </c>
      <c r="AY533" s="40">
        <v>97.447094622802723</v>
      </c>
      <c r="AZ533" s="40">
        <v>97.266416161831131</v>
      </c>
      <c r="BA533" s="40">
        <v>97.266704611718652</v>
      </c>
      <c r="BB533" s="174">
        <v>43040</v>
      </c>
      <c r="BC533" s="174">
        <v>43388</v>
      </c>
    </row>
    <row r="534" spans="1:55" s="44" customFormat="1" ht="45">
      <c r="A534" s="18" t="s">
        <v>6</v>
      </c>
      <c r="B534" s="18" t="s">
        <v>1041</v>
      </c>
      <c r="C534" s="39" t="s">
        <v>10</v>
      </c>
      <c r="D534" s="39" t="s">
        <v>10</v>
      </c>
      <c r="E534" s="23" t="s">
        <v>10</v>
      </c>
      <c r="F534" s="23" t="s">
        <v>11</v>
      </c>
      <c r="G534" s="18" t="s">
        <v>143</v>
      </c>
      <c r="H534" s="19">
        <v>3</v>
      </c>
      <c r="I534" s="19">
        <v>208</v>
      </c>
      <c r="J534" s="19">
        <v>96</v>
      </c>
      <c r="K534" s="21" t="s">
        <v>1219</v>
      </c>
      <c r="L534" s="49" t="s">
        <v>460</v>
      </c>
      <c r="M534" s="21" t="s">
        <v>461</v>
      </c>
      <c r="N534" s="174">
        <v>43388</v>
      </c>
      <c r="O534" s="49" t="s">
        <v>460</v>
      </c>
      <c r="P534" s="23" t="s">
        <v>17</v>
      </c>
      <c r="Q534" s="23" t="s">
        <v>17</v>
      </c>
      <c r="R534" s="150"/>
      <c r="S534" s="20" t="s">
        <v>10</v>
      </c>
      <c r="T534" s="20" t="s">
        <v>11</v>
      </c>
      <c r="U534" s="19">
        <v>5.36</v>
      </c>
      <c r="V534" s="19"/>
      <c r="W534" s="19"/>
      <c r="X534" s="19">
        <v>155</v>
      </c>
      <c r="Y534" s="19">
        <v>365</v>
      </c>
      <c r="Z534" s="19">
        <v>480</v>
      </c>
      <c r="AA534" s="40">
        <v>0.30320000000000003</v>
      </c>
      <c r="AB534" s="40">
        <v>0.60640000000000005</v>
      </c>
      <c r="AC534" s="40">
        <v>0.90959999999999996</v>
      </c>
      <c r="AD534" s="40">
        <v>1.516</v>
      </c>
      <c r="AE534" s="40">
        <v>2.274</v>
      </c>
      <c r="AF534" s="40">
        <v>3.032</v>
      </c>
      <c r="AG534" s="40">
        <v>92.082847310823283</v>
      </c>
      <c r="AH534" s="40">
        <v>94.907812539893044</v>
      </c>
      <c r="AI534" s="40">
        <v>95.629452499667281</v>
      </c>
      <c r="AJ534" s="40">
        <v>95.991624416925447</v>
      </c>
      <c r="AK534" s="40">
        <v>95.996645587599161</v>
      </c>
      <c r="AL534" s="40">
        <v>95.731527423095798</v>
      </c>
      <c r="AM534" s="40">
        <v>95.727278479524358</v>
      </c>
      <c r="AN534" s="40">
        <v>92.071008131935372</v>
      </c>
      <c r="AO534" s="40">
        <v>95.659723853330703</v>
      </c>
      <c r="AP534" s="40">
        <v>96.458307803469552</v>
      </c>
      <c r="AQ534" s="40">
        <v>97.043468119824496</v>
      </c>
      <c r="AR534" s="40">
        <v>97.202121349789977</v>
      </c>
      <c r="AS534" s="40">
        <v>97.084010489748991</v>
      </c>
      <c r="AT534" s="40">
        <v>96.791276599399595</v>
      </c>
      <c r="AU534" s="40">
        <v>88.515418011062167</v>
      </c>
      <c r="AV534" s="40">
        <v>94.502976183803142</v>
      </c>
      <c r="AW534" s="40">
        <v>95.722745381337489</v>
      </c>
      <c r="AX534" s="40">
        <v>96.424646022747879</v>
      </c>
      <c r="AY534" s="40">
        <v>96.772413583948293</v>
      </c>
      <c r="AZ534" s="40">
        <v>96.64426016014221</v>
      </c>
      <c r="BA534" s="40">
        <v>96.123262847669906</v>
      </c>
      <c r="BB534" s="174">
        <v>43313</v>
      </c>
      <c r="BC534" s="174">
        <v>43511</v>
      </c>
    </row>
    <row r="535" spans="1:55" s="44" customFormat="1" ht="45">
      <c r="A535" s="18" t="s">
        <v>6</v>
      </c>
      <c r="B535" s="18" t="s">
        <v>1043</v>
      </c>
      <c r="C535" s="39" t="s">
        <v>10</v>
      </c>
      <c r="D535" s="39" t="s">
        <v>10</v>
      </c>
      <c r="E535" s="23" t="s">
        <v>10</v>
      </c>
      <c r="F535" s="23" t="s">
        <v>11</v>
      </c>
      <c r="G535" s="18" t="s">
        <v>144</v>
      </c>
      <c r="H535" s="19">
        <v>3</v>
      </c>
      <c r="I535" s="19">
        <v>240</v>
      </c>
      <c r="J535" s="19">
        <v>96.5</v>
      </c>
      <c r="K535" s="21" t="s">
        <v>1219</v>
      </c>
      <c r="L535" s="49" t="s">
        <v>460</v>
      </c>
      <c r="M535" s="21" t="s">
        <v>461</v>
      </c>
      <c r="N535" s="174">
        <v>43388</v>
      </c>
      <c r="O535" s="49" t="s">
        <v>460</v>
      </c>
      <c r="P535" s="23" t="s">
        <v>17</v>
      </c>
      <c r="Q535" s="23" t="s">
        <v>17</v>
      </c>
      <c r="R535" s="150"/>
      <c r="S535" s="20" t="s">
        <v>10</v>
      </c>
      <c r="T535" s="20" t="s">
        <v>11</v>
      </c>
      <c r="U535" s="19">
        <v>5.39</v>
      </c>
      <c r="V535" s="19"/>
      <c r="W535" s="19"/>
      <c r="X535" s="19">
        <v>155</v>
      </c>
      <c r="Y535" s="19">
        <v>365</v>
      </c>
      <c r="Z535" s="19">
        <v>480</v>
      </c>
      <c r="AA535" s="40">
        <v>0.30402668918918918</v>
      </c>
      <c r="AB535" s="40">
        <v>0.60805337837837836</v>
      </c>
      <c r="AC535" s="40">
        <v>0.91208006756756754</v>
      </c>
      <c r="AD535" s="40">
        <v>1.5201334459459459</v>
      </c>
      <c r="AE535" s="40">
        <v>2.2802001689189186</v>
      </c>
      <c r="AF535" s="40">
        <v>3.0402668918918918</v>
      </c>
      <c r="AG535" s="40">
        <v>90.951224418581774</v>
      </c>
      <c r="AH535" s="40">
        <v>94.441972778565543</v>
      </c>
      <c r="AI535" s="40">
        <v>95.383118364394548</v>
      </c>
      <c r="AJ535" s="40">
        <v>95.941753675717251</v>
      </c>
      <c r="AK535" s="40">
        <v>96.037813109429734</v>
      </c>
      <c r="AL535" s="40">
        <v>95.94092229249739</v>
      </c>
      <c r="AM535" s="40">
        <v>95.650977153922128</v>
      </c>
      <c r="AN535" s="40">
        <v>92.03553711429818</v>
      </c>
      <c r="AO535" s="40">
        <v>95.784786159583902</v>
      </c>
      <c r="AP535" s="40">
        <v>96.641076797758544</v>
      </c>
      <c r="AQ535" s="40">
        <v>97.163663961863477</v>
      </c>
      <c r="AR535" s="40">
        <v>97.516387567042486</v>
      </c>
      <c r="AS535" s="40">
        <v>97.582074705372591</v>
      </c>
      <c r="AT535" s="40">
        <v>97.034748586074627</v>
      </c>
      <c r="AU535" s="40">
        <v>88.509780526514959</v>
      </c>
      <c r="AV535" s="40">
        <v>94.438549047417638</v>
      </c>
      <c r="AW535" s="40">
        <v>95.736397687134939</v>
      </c>
      <c r="AX535" s="40">
        <v>96.677883011273849</v>
      </c>
      <c r="AY535" s="40">
        <v>97.024958205206346</v>
      </c>
      <c r="AZ535" s="40">
        <v>97.000804957798053</v>
      </c>
      <c r="BA535" s="40">
        <v>96.326309924904464</v>
      </c>
      <c r="BB535" s="174">
        <v>43313</v>
      </c>
      <c r="BC535" s="174">
        <v>43511</v>
      </c>
    </row>
    <row r="536" spans="1:55" s="44" customFormat="1" ht="45">
      <c r="A536" s="18" t="s">
        <v>6</v>
      </c>
      <c r="B536" s="18" t="s">
        <v>1588</v>
      </c>
      <c r="C536" s="23" t="s">
        <v>10</v>
      </c>
      <c r="D536" s="23" t="s">
        <v>10</v>
      </c>
      <c r="E536" s="23" t="s">
        <v>10</v>
      </c>
      <c r="F536" s="23" t="s">
        <v>11</v>
      </c>
      <c r="G536" s="18" t="s">
        <v>1532</v>
      </c>
      <c r="H536" s="19">
        <v>3.0276000000000001</v>
      </c>
      <c r="I536" s="37">
        <v>208</v>
      </c>
      <c r="J536" s="19">
        <v>96</v>
      </c>
      <c r="K536" s="20" t="s">
        <v>1219</v>
      </c>
      <c r="L536" s="49" t="s">
        <v>1533</v>
      </c>
      <c r="M536" s="38" t="s">
        <v>1534</v>
      </c>
      <c r="N536" s="174">
        <v>43586</v>
      </c>
      <c r="O536" s="38" t="s">
        <v>1533</v>
      </c>
      <c r="P536" s="38" t="s">
        <v>17</v>
      </c>
      <c r="Q536" s="38" t="s">
        <v>17</v>
      </c>
      <c r="R536" s="151"/>
      <c r="S536" s="39" t="s">
        <v>10</v>
      </c>
      <c r="T536" s="39" t="s">
        <v>11</v>
      </c>
      <c r="U536" s="172">
        <v>5.36</v>
      </c>
      <c r="V536" s="153"/>
      <c r="W536" s="153"/>
      <c r="X536" s="153">
        <v>155</v>
      </c>
      <c r="Y536" s="153">
        <v>365</v>
      </c>
      <c r="Z536" s="153">
        <v>480</v>
      </c>
      <c r="AA536" s="40">
        <v>0.30276000000000003</v>
      </c>
      <c r="AB536" s="40">
        <v>0.60552000000000006</v>
      </c>
      <c r="AC536" s="40">
        <v>0.90827999999999998</v>
      </c>
      <c r="AD536" s="40">
        <v>1.5138</v>
      </c>
      <c r="AE536" s="40">
        <v>2.2707000000000002</v>
      </c>
      <c r="AF536" s="40">
        <v>3.0276000000000001</v>
      </c>
      <c r="AG536" s="40">
        <v>92.082847310823283</v>
      </c>
      <c r="AH536" s="40">
        <v>94.907812539893044</v>
      </c>
      <c r="AI536" s="40">
        <v>95.629452499667281</v>
      </c>
      <c r="AJ536" s="40">
        <v>95.991624416925447</v>
      </c>
      <c r="AK536" s="40">
        <v>95.996645587599161</v>
      </c>
      <c r="AL536" s="40">
        <v>95.731527423095798</v>
      </c>
      <c r="AM536" s="40">
        <v>95.727278479524358</v>
      </c>
      <c r="AN536" s="40">
        <v>92.071008131935372</v>
      </c>
      <c r="AO536" s="40">
        <v>95.659723853330703</v>
      </c>
      <c r="AP536" s="40">
        <v>96.458307803469552</v>
      </c>
      <c r="AQ536" s="40">
        <v>97.043468119824496</v>
      </c>
      <c r="AR536" s="40">
        <v>97.202121349789977</v>
      </c>
      <c r="AS536" s="40">
        <v>97.084010489748991</v>
      </c>
      <c r="AT536" s="40">
        <v>96.791276599399595</v>
      </c>
      <c r="AU536" s="40">
        <v>88.515418011062167</v>
      </c>
      <c r="AV536" s="40">
        <v>94.502976183803142</v>
      </c>
      <c r="AW536" s="40">
        <v>95.722745381337489</v>
      </c>
      <c r="AX536" s="40">
        <v>96.424646022747879</v>
      </c>
      <c r="AY536" s="40">
        <v>96.772413583948293</v>
      </c>
      <c r="AZ536" s="40">
        <v>96.64426016014221</v>
      </c>
      <c r="BA536" s="40">
        <v>96.123262847669906</v>
      </c>
      <c r="BB536" s="178">
        <v>43586</v>
      </c>
      <c r="BC536" s="178"/>
    </row>
    <row r="537" spans="1:55" s="44" customFormat="1" ht="45">
      <c r="A537" s="18" t="s">
        <v>6</v>
      </c>
      <c r="B537" s="18" t="s">
        <v>1589</v>
      </c>
      <c r="C537" s="23" t="s">
        <v>10</v>
      </c>
      <c r="D537" s="23" t="s">
        <v>10</v>
      </c>
      <c r="E537" s="23" t="s">
        <v>10</v>
      </c>
      <c r="F537" s="23" t="s">
        <v>11</v>
      </c>
      <c r="G537" s="18" t="s">
        <v>1535</v>
      </c>
      <c r="H537" s="19">
        <v>3.036</v>
      </c>
      <c r="I537" s="37">
        <v>240</v>
      </c>
      <c r="J537" s="19">
        <v>96.5</v>
      </c>
      <c r="K537" s="20" t="s">
        <v>1219</v>
      </c>
      <c r="L537" s="49" t="s">
        <v>1533</v>
      </c>
      <c r="M537" s="38" t="s">
        <v>1534</v>
      </c>
      <c r="N537" s="174">
        <v>43586</v>
      </c>
      <c r="O537" s="38" t="s">
        <v>1533</v>
      </c>
      <c r="P537" s="38" t="s">
        <v>17</v>
      </c>
      <c r="Q537" s="38" t="s">
        <v>17</v>
      </c>
      <c r="R537" s="151"/>
      <c r="S537" s="39" t="s">
        <v>10</v>
      </c>
      <c r="T537" s="39" t="s">
        <v>11</v>
      </c>
      <c r="U537" s="172">
        <v>5.39</v>
      </c>
      <c r="V537" s="153"/>
      <c r="W537" s="153"/>
      <c r="X537" s="153">
        <v>155</v>
      </c>
      <c r="Y537" s="153">
        <v>365</v>
      </c>
      <c r="Z537" s="153">
        <v>480</v>
      </c>
      <c r="AA537" s="40">
        <v>0.30362</v>
      </c>
      <c r="AB537" s="40">
        <v>0.60724</v>
      </c>
      <c r="AC537" s="40">
        <v>0.91086</v>
      </c>
      <c r="AD537" s="40">
        <v>1.5181</v>
      </c>
      <c r="AE537" s="40">
        <v>2.2771499999999998</v>
      </c>
      <c r="AF537" s="40">
        <v>3.0362</v>
      </c>
      <c r="AG537" s="40">
        <v>90.951999999999998</v>
      </c>
      <c r="AH537" s="40">
        <v>94.441999999999993</v>
      </c>
      <c r="AI537" s="40">
        <v>95.379999999999981</v>
      </c>
      <c r="AJ537" s="40">
        <v>95.94</v>
      </c>
      <c r="AK537" s="40">
        <v>96.037999999999997</v>
      </c>
      <c r="AL537" s="40">
        <v>95.940000000000012</v>
      </c>
      <c r="AM537" s="40">
        <v>95.650319999999994</v>
      </c>
      <c r="AN537" s="40">
        <v>92.035999999999987</v>
      </c>
      <c r="AO537" s="40">
        <v>95.787999999999997</v>
      </c>
      <c r="AP537" s="40">
        <v>96.641999999999996</v>
      </c>
      <c r="AQ537" s="40">
        <v>97.166000000000011</v>
      </c>
      <c r="AR537" s="40">
        <v>97.515999999999991</v>
      </c>
      <c r="AS537" s="40">
        <v>97.580000000000013</v>
      </c>
      <c r="AT537" s="40">
        <v>97.035219999999995</v>
      </c>
      <c r="AU537" s="40">
        <v>88.51</v>
      </c>
      <c r="AV537" s="40">
        <v>94.438000000000002</v>
      </c>
      <c r="AW537" s="40">
        <v>95.738000000000014</v>
      </c>
      <c r="AX537" s="40">
        <v>96.677999999999997</v>
      </c>
      <c r="AY537" s="40">
        <v>97.024000000000001</v>
      </c>
      <c r="AZ537" s="40">
        <v>97</v>
      </c>
      <c r="BA537" s="40">
        <v>96.325960000000009</v>
      </c>
      <c r="BB537" s="178">
        <v>43586</v>
      </c>
      <c r="BC537" s="178"/>
    </row>
    <row r="538" spans="1:55" s="44" customFormat="1" ht="45">
      <c r="A538" s="18" t="s">
        <v>6</v>
      </c>
      <c r="B538" s="18" t="s">
        <v>1042</v>
      </c>
      <c r="C538" s="23" t="s">
        <v>10</v>
      </c>
      <c r="D538" s="23" t="s">
        <v>10</v>
      </c>
      <c r="E538" s="23" t="s">
        <v>10</v>
      </c>
      <c r="F538" s="23" t="s">
        <v>11</v>
      </c>
      <c r="G538" s="18" t="s">
        <v>693</v>
      </c>
      <c r="H538" s="19">
        <v>3</v>
      </c>
      <c r="I538" s="37">
        <v>208</v>
      </c>
      <c r="J538" s="19">
        <v>96</v>
      </c>
      <c r="K538" s="21" t="s">
        <v>1219</v>
      </c>
      <c r="L538" s="49" t="s">
        <v>694</v>
      </c>
      <c r="M538" s="38" t="s">
        <v>461</v>
      </c>
      <c r="N538" s="174">
        <v>43388</v>
      </c>
      <c r="O538" s="49" t="s">
        <v>694</v>
      </c>
      <c r="P538" s="23" t="s">
        <v>17</v>
      </c>
      <c r="Q538" s="23" t="s">
        <v>17</v>
      </c>
      <c r="R538" s="151"/>
      <c r="S538" s="39" t="s">
        <v>10</v>
      </c>
      <c r="T538" s="39" t="s">
        <v>11</v>
      </c>
      <c r="U538" s="153">
        <v>5.36</v>
      </c>
      <c r="V538" s="153"/>
      <c r="W538" s="153"/>
      <c r="X538" s="153">
        <v>155</v>
      </c>
      <c r="Y538" s="153">
        <v>365</v>
      </c>
      <c r="Z538" s="153">
        <v>480</v>
      </c>
      <c r="AA538" s="40">
        <v>0.30320000000000003</v>
      </c>
      <c r="AB538" s="40">
        <v>0.60640000000000005</v>
      </c>
      <c r="AC538" s="40">
        <v>0.90959999999999996</v>
      </c>
      <c r="AD538" s="40">
        <v>1.516</v>
      </c>
      <c r="AE538" s="40">
        <v>2.274</v>
      </c>
      <c r="AF538" s="40">
        <v>3.032</v>
      </c>
      <c r="AG538" s="40">
        <v>92.082847310823283</v>
      </c>
      <c r="AH538" s="40">
        <v>94.907812539893044</v>
      </c>
      <c r="AI538" s="40">
        <v>95.629452499667281</v>
      </c>
      <c r="AJ538" s="40">
        <v>95.991624416925447</v>
      </c>
      <c r="AK538" s="40">
        <v>95.996645587599161</v>
      </c>
      <c r="AL538" s="40">
        <v>95.731527423095798</v>
      </c>
      <c r="AM538" s="40">
        <v>95.727278479524358</v>
      </c>
      <c r="AN538" s="40">
        <v>92.071008131935372</v>
      </c>
      <c r="AO538" s="40">
        <v>95.659723853330703</v>
      </c>
      <c r="AP538" s="40">
        <v>96.458307803469552</v>
      </c>
      <c r="AQ538" s="40">
        <v>97.043468119824496</v>
      </c>
      <c r="AR538" s="40">
        <v>97.202121349789977</v>
      </c>
      <c r="AS538" s="40">
        <v>97.084010489748991</v>
      </c>
      <c r="AT538" s="40">
        <v>96.791276599399595</v>
      </c>
      <c r="AU538" s="40">
        <v>88.515418011062167</v>
      </c>
      <c r="AV538" s="40">
        <v>94.502976183803142</v>
      </c>
      <c r="AW538" s="40">
        <v>95.722745381337489</v>
      </c>
      <c r="AX538" s="40">
        <v>96.424646022747879</v>
      </c>
      <c r="AY538" s="40">
        <v>96.772413583948293</v>
      </c>
      <c r="AZ538" s="40">
        <v>96.64426016014221</v>
      </c>
      <c r="BA538" s="40">
        <v>96.123262847669906</v>
      </c>
      <c r="BB538" s="174">
        <v>43313</v>
      </c>
      <c r="BC538" s="174">
        <v>43511</v>
      </c>
    </row>
    <row r="539" spans="1:55" s="44" customFormat="1" ht="45">
      <c r="A539" s="18" t="s">
        <v>6</v>
      </c>
      <c r="B539" s="18" t="s">
        <v>1044</v>
      </c>
      <c r="C539" s="23" t="s">
        <v>10</v>
      </c>
      <c r="D539" s="23" t="s">
        <v>10</v>
      </c>
      <c r="E539" s="23" t="s">
        <v>10</v>
      </c>
      <c r="F539" s="23" t="s">
        <v>11</v>
      </c>
      <c r="G539" s="18" t="s">
        <v>695</v>
      </c>
      <c r="H539" s="19">
        <v>3</v>
      </c>
      <c r="I539" s="37">
        <v>240</v>
      </c>
      <c r="J539" s="19">
        <v>96.5</v>
      </c>
      <c r="K539" s="21" t="s">
        <v>1219</v>
      </c>
      <c r="L539" s="49" t="s">
        <v>694</v>
      </c>
      <c r="M539" s="38" t="s">
        <v>461</v>
      </c>
      <c r="N539" s="174">
        <v>43388</v>
      </c>
      <c r="O539" s="49" t="s">
        <v>694</v>
      </c>
      <c r="P539" s="23" t="s">
        <v>17</v>
      </c>
      <c r="Q539" s="23" t="s">
        <v>17</v>
      </c>
      <c r="R539" s="151"/>
      <c r="S539" s="39" t="s">
        <v>10</v>
      </c>
      <c r="T539" s="39" t="s">
        <v>11</v>
      </c>
      <c r="U539" s="153">
        <v>5.39</v>
      </c>
      <c r="V539" s="153"/>
      <c r="W539" s="153"/>
      <c r="X539" s="153">
        <v>155</v>
      </c>
      <c r="Y539" s="153">
        <v>365</v>
      </c>
      <c r="Z539" s="153">
        <v>480</v>
      </c>
      <c r="AA539" s="40">
        <v>0.30402668918918918</v>
      </c>
      <c r="AB539" s="40">
        <v>0.60805337837837836</v>
      </c>
      <c r="AC539" s="40">
        <v>0.91208006756756754</v>
      </c>
      <c r="AD539" s="40">
        <v>1.5201334459459459</v>
      </c>
      <c r="AE539" s="40">
        <v>2.2802001689189186</v>
      </c>
      <c r="AF539" s="40">
        <v>3.0402668918918918</v>
      </c>
      <c r="AG539" s="40">
        <v>90.951224418581774</v>
      </c>
      <c r="AH539" s="40">
        <v>94.441972778565543</v>
      </c>
      <c r="AI539" s="40">
        <v>95.383118364394548</v>
      </c>
      <c r="AJ539" s="40">
        <v>95.941753675717251</v>
      </c>
      <c r="AK539" s="40">
        <v>96.037813109429734</v>
      </c>
      <c r="AL539" s="40">
        <v>95.94092229249739</v>
      </c>
      <c r="AM539" s="40">
        <v>95.650977153922128</v>
      </c>
      <c r="AN539" s="40">
        <v>92.03553711429818</v>
      </c>
      <c r="AO539" s="40">
        <v>95.784786159583902</v>
      </c>
      <c r="AP539" s="40">
        <v>96.641076797758544</v>
      </c>
      <c r="AQ539" s="40">
        <v>97.163663961863477</v>
      </c>
      <c r="AR539" s="40">
        <v>97.516387567042486</v>
      </c>
      <c r="AS539" s="40">
        <v>97.582074705372591</v>
      </c>
      <c r="AT539" s="40">
        <v>97.034748586074627</v>
      </c>
      <c r="AU539" s="40">
        <v>88.509780526514959</v>
      </c>
      <c r="AV539" s="40">
        <v>94.438549047417638</v>
      </c>
      <c r="AW539" s="40">
        <v>95.736397687134939</v>
      </c>
      <c r="AX539" s="40">
        <v>96.677883011273849</v>
      </c>
      <c r="AY539" s="40">
        <v>97.024958205206346</v>
      </c>
      <c r="AZ539" s="40">
        <v>97.000804957798053</v>
      </c>
      <c r="BA539" s="40">
        <v>96.326309924904464</v>
      </c>
      <c r="BB539" s="174">
        <v>43313</v>
      </c>
      <c r="BC539" s="174">
        <v>43511</v>
      </c>
    </row>
    <row r="540" spans="1:55" s="44" customFormat="1" ht="45">
      <c r="A540" s="18" t="s">
        <v>6</v>
      </c>
      <c r="B540" s="18" t="s">
        <v>1827</v>
      </c>
      <c r="C540" s="23" t="s">
        <v>10</v>
      </c>
      <c r="D540" s="23" t="s">
        <v>10</v>
      </c>
      <c r="E540" s="23" t="s">
        <v>10</v>
      </c>
      <c r="F540" s="23" t="s">
        <v>11</v>
      </c>
      <c r="G540" s="18" t="s">
        <v>1823</v>
      </c>
      <c r="H540" s="19">
        <v>3.028</v>
      </c>
      <c r="I540" s="37">
        <v>208</v>
      </c>
      <c r="J540" s="19">
        <v>96</v>
      </c>
      <c r="K540" s="20" t="s">
        <v>1219</v>
      </c>
      <c r="L540" s="49" t="s">
        <v>1533</v>
      </c>
      <c r="M540" s="38" t="s">
        <v>1534</v>
      </c>
      <c r="N540" s="124">
        <v>43784</v>
      </c>
      <c r="O540" s="38" t="s">
        <v>1533</v>
      </c>
      <c r="P540" s="38" t="s">
        <v>17</v>
      </c>
      <c r="Q540" s="38" t="s">
        <v>17</v>
      </c>
      <c r="R540" s="151"/>
      <c r="S540" s="39" t="s">
        <v>10</v>
      </c>
      <c r="T540" s="39" t="s">
        <v>11</v>
      </c>
      <c r="U540" s="153">
        <v>5.36</v>
      </c>
      <c r="V540" s="153"/>
      <c r="W540" s="153"/>
      <c r="X540" s="153">
        <v>155</v>
      </c>
      <c r="Y540" s="153">
        <v>365</v>
      </c>
      <c r="Z540" s="153">
        <v>480</v>
      </c>
      <c r="AA540" s="40">
        <v>0.30299999999999999</v>
      </c>
      <c r="AB540" s="40">
        <v>0.60599999999999998</v>
      </c>
      <c r="AC540" s="40">
        <v>0.90800000000000003</v>
      </c>
      <c r="AD540" s="40">
        <v>1.514</v>
      </c>
      <c r="AE540" s="40">
        <v>2.2709999999999999</v>
      </c>
      <c r="AF540" s="40">
        <v>3.028</v>
      </c>
      <c r="AG540" s="40">
        <v>92.08</v>
      </c>
      <c r="AH540" s="40">
        <v>94.91</v>
      </c>
      <c r="AI540" s="40">
        <v>95.63</v>
      </c>
      <c r="AJ540" s="40">
        <v>95.99</v>
      </c>
      <c r="AK540" s="40">
        <v>96</v>
      </c>
      <c r="AL540" s="40">
        <v>95.73</v>
      </c>
      <c r="AM540" s="40">
        <v>95.73</v>
      </c>
      <c r="AN540" s="40">
        <v>92.07</v>
      </c>
      <c r="AO540" s="40">
        <v>95.66</v>
      </c>
      <c r="AP540" s="40">
        <v>96.46</v>
      </c>
      <c r="AQ540" s="40">
        <v>97.04</v>
      </c>
      <c r="AR540" s="40">
        <v>97.2</v>
      </c>
      <c r="AS540" s="40">
        <v>97.08</v>
      </c>
      <c r="AT540" s="40">
        <v>96.79</v>
      </c>
      <c r="AU540" s="40">
        <v>88.52</v>
      </c>
      <c r="AV540" s="40">
        <v>94.5</v>
      </c>
      <c r="AW540" s="40">
        <v>95.72</v>
      </c>
      <c r="AX540" s="40">
        <v>96.42</v>
      </c>
      <c r="AY540" s="40">
        <v>96.77</v>
      </c>
      <c r="AZ540" s="40">
        <v>96.64</v>
      </c>
      <c r="BA540" s="40">
        <v>96.12</v>
      </c>
      <c r="BB540" s="180">
        <v>43784</v>
      </c>
      <c r="BC540" s="180"/>
    </row>
    <row r="541" spans="1:55" s="44" customFormat="1" ht="45">
      <c r="A541" s="18" t="s">
        <v>6</v>
      </c>
      <c r="B541" s="18" t="s">
        <v>1828</v>
      </c>
      <c r="C541" s="23" t="s">
        <v>10</v>
      </c>
      <c r="D541" s="23" t="s">
        <v>10</v>
      </c>
      <c r="E541" s="23" t="s">
        <v>10</v>
      </c>
      <c r="F541" s="23" t="s">
        <v>11</v>
      </c>
      <c r="G541" s="18" t="s">
        <v>1824</v>
      </c>
      <c r="H541" s="19">
        <v>3.036</v>
      </c>
      <c r="I541" s="37">
        <v>240</v>
      </c>
      <c r="J541" s="19">
        <v>96.5</v>
      </c>
      <c r="K541" s="20" t="s">
        <v>1219</v>
      </c>
      <c r="L541" s="49" t="s">
        <v>1533</v>
      </c>
      <c r="M541" s="38" t="s">
        <v>1534</v>
      </c>
      <c r="N541" s="124">
        <v>43784</v>
      </c>
      <c r="O541" s="38" t="s">
        <v>1533</v>
      </c>
      <c r="P541" s="38" t="s">
        <v>17</v>
      </c>
      <c r="Q541" s="38" t="s">
        <v>17</v>
      </c>
      <c r="R541" s="151"/>
      <c r="S541" s="39" t="s">
        <v>10</v>
      </c>
      <c r="T541" s="39" t="s">
        <v>11</v>
      </c>
      <c r="U541" s="153">
        <v>5.39</v>
      </c>
      <c r="V541" s="153"/>
      <c r="W541" s="153"/>
      <c r="X541" s="153">
        <v>155</v>
      </c>
      <c r="Y541" s="153">
        <v>365</v>
      </c>
      <c r="Z541" s="153">
        <v>480</v>
      </c>
      <c r="AA541" s="40">
        <v>0.30399999999999999</v>
      </c>
      <c r="AB541" s="40">
        <v>0.60699999999999998</v>
      </c>
      <c r="AC541" s="40">
        <v>0.91100000000000003</v>
      </c>
      <c r="AD541" s="40">
        <v>1.518</v>
      </c>
      <c r="AE541" s="40">
        <v>2.2770000000000001</v>
      </c>
      <c r="AF541" s="40">
        <v>3.036</v>
      </c>
      <c r="AG541" s="40">
        <v>90.95</v>
      </c>
      <c r="AH541" s="40">
        <v>94.44</v>
      </c>
      <c r="AI541" s="40">
        <v>95.38</v>
      </c>
      <c r="AJ541" s="40">
        <v>95.94</v>
      </c>
      <c r="AK541" s="40">
        <v>96.04</v>
      </c>
      <c r="AL541" s="40">
        <v>95.94</v>
      </c>
      <c r="AM541" s="40">
        <v>95.65</v>
      </c>
      <c r="AN541" s="40">
        <v>92.04</v>
      </c>
      <c r="AO541" s="40">
        <v>95.79</v>
      </c>
      <c r="AP541" s="40">
        <v>96.64</v>
      </c>
      <c r="AQ541" s="40">
        <v>97.17</v>
      </c>
      <c r="AR541" s="40">
        <v>97.52</v>
      </c>
      <c r="AS541" s="40">
        <v>97.58</v>
      </c>
      <c r="AT541" s="40">
        <v>97.04</v>
      </c>
      <c r="AU541" s="40">
        <v>88.51</v>
      </c>
      <c r="AV541" s="40">
        <v>94.44</v>
      </c>
      <c r="AW541" s="40">
        <v>95.74</v>
      </c>
      <c r="AX541" s="40">
        <v>96.68</v>
      </c>
      <c r="AY541" s="40">
        <v>97.02</v>
      </c>
      <c r="AZ541" s="40">
        <v>97</v>
      </c>
      <c r="BA541" s="40">
        <v>96.33</v>
      </c>
      <c r="BB541" s="180">
        <v>43784</v>
      </c>
      <c r="BC541" s="180"/>
    </row>
    <row r="542" spans="1:55" s="44" customFormat="1" ht="45">
      <c r="A542" s="18" t="s">
        <v>6</v>
      </c>
      <c r="B542" s="18" t="s">
        <v>1045</v>
      </c>
      <c r="C542" s="39" t="s">
        <v>10</v>
      </c>
      <c r="D542" s="39" t="s">
        <v>10</v>
      </c>
      <c r="E542" s="23" t="s">
        <v>10</v>
      </c>
      <c r="F542" s="23" t="s">
        <v>11</v>
      </c>
      <c r="G542" s="18" t="s">
        <v>145</v>
      </c>
      <c r="H542" s="19">
        <v>3.6</v>
      </c>
      <c r="I542" s="19">
        <v>208</v>
      </c>
      <c r="J542" s="19">
        <v>96.5</v>
      </c>
      <c r="K542" s="21" t="s">
        <v>1219</v>
      </c>
      <c r="L542" s="49" t="s">
        <v>460</v>
      </c>
      <c r="M542" s="21" t="s">
        <v>461</v>
      </c>
      <c r="N542" s="174">
        <v>43388</v>
      </c>
      <c r="O542" s="49" t="s">
        <v>460</v>
      </c>
      <c r="P542" s="23" t="s">
        <v>17</v>
      </c>
      <c r="Q542" s="23" t="s">
        <v>17</v>
      </c>
      <c r="R542" s="150"/>
      <c r="S542" s="20" t="s">
        <v>10</v>
      </c>
      <c r="T542" s="20" t="s">
        <v>11</v>
      </c>
      <c r="U542" s="19">
        <v>5.36</v>
      </c>
      <c r="V542" s="19"/>
      <c r="W542" s="19"/>
      <c r="X542" s="19">
        <v>195</v>
      </c>
      <c r="Y542" s="19">
        <v>365</v>
      </c>
      <c r="Z542" s="19">
        <v>480</v>
      </c>
      <c r="AA542" s="40">
        <v>0.36045400000000005</v>
      </c>
      <c r="AB542" s="40">
        <v>0.7209080000000001</v>
      </c>
      <c r="AC542" s="40">
        <v>1.0813619999999999</v>
      </c>
      <c r="AD542" s="40">
        <v>1.80227</v>
      </c>
      <c r="AE542" s="40">
        <v>2.7034050000000001</v>
      </c>
      <c r="AF542" s="40">
        <v>3.6045400000000001</v>
      </c>
      <c r="AG542" s="40">
        <v>92.9307882700177</v>
      </c>
      <c r="AH542" s="40">
        <v>95.476148178928241</v>
      </c>
      <c r="AI542" s="40">
        <v>96.029992473112927</v>
      </c>
      <c r="AJ542" s="40">
        <v>96.472910461543449</v>
      </c>
      <c r="AK542" s="40">
        <v>96.37876487615506</v>
      </c>
      <c r="AL542" s="40">
        <v>96.152677617325793</v>
      </c>
      <c r="AM542" s="40">
        <v>96.162328498673276</v>
      </c>
      <c r="AN542" s="40">
        <v>92.531495773128313</v>
      </c>
      <c r="AO542" s="40">
        <v>95.951025180138728</v>
      </c>
      <c r="AP542" s="40">
        <v>96.621311597273717</v>
      </c>
      <c r="AQ542" s="40">
        <v>97.059603157019836</v>
      </c>
      <c r="AR542" s="40">
        <v>97.224711983689119</v>
      </c>
      <c r="AS542" s="40">
        <v>96.978656177455747</v>
      </c>
      <c r="AT542" s="40">
        <v>96.853915304807103</v>
      </c>
      <c r="AU542" s="40">
        <v>89.80793356250021</v>
      </c>
      <c r="AV542" s="40">
        <v>94.91925956195459</v>
      </c>
      <c r="AW542" s="40">
        <v>95.99712875139376</v>
      </c>
      <c r="AX542" s="40">
        <v>96.576860828695345</v>
      </c>
      <c r="AY542" s="40">
        <v>96.770045807349476</v>
      </c>
      <c r="AZ542" s="40">
        <v>96.849589768746824</v>
      </c>
      <c r="BA542" s="40">
        <v>96.269680311123579</v>
      </c>
      <c r="BB542" s="174">
        <v>43313</v>
      </c>
      <c r="BC542" s="174">
        <v>43511</v>
      </c>
    </row>
    <row r="543" spans="1:55" s="44" customFormat="1" ht="45">
      <c r="A543" s="18" t="s">
        <v>6</v>
      </c>
      <c r="B543" s="18" t="s">
        <v>1048</v>
      </c>
      <c r="C543" s="39" t="s">
        <v>10</v>
      </c>
      <c r="D543" s="39" t="s">
        <v>10</v>
      </c>
      <c r="E543" s="23" t="s">
        <v>10</v>
      </c>
      <c r="F543" s="23" t="s">
        <v>11</v>
      </c>
      <c r="G543" s="18" t="s">
        <v>146</v>
      </c>
      <c r="H543" s="19">
        <v>3.8</v>
      </c>
      <c r="I543" s="19">
        <v>240</v>
      </c>
      <c r="J543" s="19">
        <v>96.5</v>
      </c>
      <c r="K543" s="21" t="s">
        <v>1219</v>
      </c>
      <c r="L543" s="49" t="s">
        <v>460</v>
      </c>
      <c r="M543" s="21" t="s">
        <v>461</v>
      </c>
      <c r="N543" s="174">
        <v>43388</v>
      </c>
      <c r="O543" s="49" t="s">
        <v>460</v>
      </c>
      <c r="P543" s="23" t="s">
        <v>17</v>
      </c>
      <c r="Q543" s="23" t="s">
        <v>17</v>
      </c>
      <c r="R543" s="150"/>
      <c r="S543" s="20" t="s">
        <v>10</v>
      </c>
      <c r="T543" s="20" t="s">
        <v>11</v>
      </c>
      <c r="U543" s="19">
        <v>5.39</v>
      </c>
      <c r="V543" s="19"/>
      <c r="W543" s="19"/>
      <c r="X543" s="19">
        <v>195</v>
      </c>
      <c r="Y543" s="19">
        <v>365</v>
      </c>
      <c r="Z543" s="19">
        <v>480</v>
      </c>
      <c r="AA543" s="40">
        <v>0.38542700000000002</v>
      </c>
      <c r="AB543" s="40">
        <v>0.77085400000000004</v>
      </c>
      <c r="AC543" s="40">
        <v>1.1562809999999999</v>
      </c>
      <c r="AD543" s="40">
        <v>1.927135</v>
      </c>
      <c r="AE543" s="40">
        <v>2.8907025000000002</v>
      </c>
      <c r="AF543" s="40">
        <v>3.8542700000000001</v>
      </c>
      <c r="AG543" s="40">
        <v>92.681418318038126</v>
      </c>
      <c r="AH543" s="40">
        <v>95.370109391033424</v>
      </c>
      <c r="AI543" s="40">
        <v>96.070222112677214</v>
      </c>
      <c r="AJ543" s="40">
        <v>96.455330264892524</v>
      </c>
      <c r="AK543" s="40">
        <v>96.443882991198933</v>
      </c>
      <c r="AL543" s="40">
        <v>96.232778992810211</v>
      </c>
      <c r="AM543" s="40">
        <v>96.186705146397841</v>
      </c>
      <c r="AN543" s="40">
        <v>93.680244478450931</v>
      </c>
      <c r="AO543" s="40">
        <v>96.435440070880389</v>
      </c>
      <c r="AP543" s="40">
        <v>96.895311691249105</v>
      </c>
      <c r="AQ543" s="40">
        <v>97.434600781845177</v>
      </c>
      <c r="AR543" s="40">
        <v>97.587655846920612</v>
      </c>
      <c r="AS543" s="40">
        <v>97.46796631140225</v>
      </c>
      <c r="AT543" s="40">
        <v>97.252541264257474</v>
      </c>
      <c r="AU543" s="40">
        <v>90.805647134134389</v>
      </c>
      <c r="AV543" s="40">
        <v>95.309565566853777</v>
      </c>
      <c r="AW543" s="40">
        <v>96.404880449161809</v>
      </c>
      <c r="AX543" s="40">
        <v>96.909933627135729</v>
      </c>
      <c r="AY543" s="40">
        <v>97.155681948405487</v>
      </c>
      <c r="AZ543" s="40">
        <v>97.307422483982663</v>
      </c>
      <c r="BA543" s="40">
        <v>96.675258436160021</v>
      </c>
      <c r="BB543" s="174">
        <v>43313</v>
      </c>
      <c r="BC543" s="174">
        <v>43511</v>
      </c>
    </row>
    <row r="544" spans="1:55" s="44" customFormat="1" ht="45">
      <c r="A544" s="18" t="s">
        <v>6</v>
      </c>
      <c r="B544" s="18" t="s">
        <v>1590</v>
      </c>
      <c r="C544" s="23" t="s">
        <v>10</v>
      </c>
      <c r="D544" s="23" t="s">
        <v>10</v>
      </c>
      <c r="E544" s="23" t="s">
        <v>10</v>
      </c>
      <c r="F544" s="23" t="s">
        <v>11</v>
      </c>
      <c r="G544" s="18" t="s">
        <v>1536</v>
      </c>
      <c r="H544" s="19">
        <v>3.6040000000000001</v>
      </c>
      <c r="I544" s="37">
        <v>208</v>
      </c>
      <c r="J544" s="19">
        <v>96.5</v>
      </c>
      <c r="K544" s="20" t="s">
        <v>1219</v>
      </c>
      <c r="L544" s="49" t="s">
        <v>1533</v>
      </c>
      <c r="M544" s="38" t="s">
        <v>1534</v>
      </c>
      <c r="N544" s="174">
        <v>43586</v>
      </c>
      <c r="O544" s="38" t="s">
        <v>1533</v>
      </c>
      <c r="P544" s="38" t="s">
        <v>17</v>
      </c>
      <c r="Q544" s="38" t="s">
        <v>17</v>
      </c>
      <c r="R544" s="151"/>
      <c r="S544" s="39" t="s">
        <v>10</v>
      </c>
      <c r="T544" s="39" t="s">
        <v>11</v>
      </c>
      <c r="U544" s="172">
        <v>5.36</v>
      </c>
      <c r="V544" s="153"/>
      <c r="W544" s="153"/>
      <c r="X544" s="153">
        <v>195</v>
      </c>
      <c r="Y544" s="153">
        <v>365</v>
      </c>
      <c r="Z544" s="153">
        <v>480</v>
      </c>
      <c r="AA544" s="40">
        <v>0.36039299999999996</v>
      </c>
      <c r="AB544" s="40">
        <v>0.72078599999999993</v>
      </c>
      <c r="AC544" s="40">
        <v>1.0811789999999999</v>
      </c>
      <c r="AD544" s="40">
        <v>1.8019649999999998</v>
      </c>
      <c r="AE544" s="40">
        <v>2.7029474999999996</v>
      </c>
      <c r="AF544" s="40">
        <v>3.6039299999999996</v>
      </c>
      <c r="AG544" s="40">
        <v>92.930788270017686</v>
      </c>
      <c r="AH544" s="40">
        <v>95.476148178928256</v>
      </c>
      <c r="AI544" s="40">
        <v>96.029992473112912</v>
      </c>
      <c r="AJ544" s="40">
        <v>96.472910461543435</v>
      </c>
      <c r="AK544" s="40">
        <v>96.378764876155046</v>
      </c>
      <c r="AL544" s="40">
        <v>96.152677617325779</v>
      </c>
      <c r="AM544" s="40">
        <v>96.162328498673247</v>
      </c>
      <c r="AN544" s="40">
        <v>92.531495773128313</v>
      </c>
      <c r="AO544" s="40">
        <v>95.951025180138743</v>
      </c>
      <c r="AP544" s="40">
        <v>96.621311597273689</v>
      </c>
      <c r="AQ544" s="40">
        <v>97.059603157019836</v>
      </c>
      <c r="AR544" s="40">
        <v>97.224711983689104</v>
      </c>
      <c r="AS544" s="40">
        <v>96.978656177455747</v>
      </c>
      <c r="AT544" s="40">
        <v>96.853915304807103</v>
      </c>
      <c r="AU544" s="40">
        <v>89.807933562500182</v>
      </c>
      <c r="AV544" s="40">
        <v>94.91925956195459</v>
      </c>
      <c r="AW544" s="40">
        <v>95.997128751393774</v>
      </c>
      <c r="AX544" s="40">
        <v>96.576860828695317</v>
      </c>
      <c r="AY544" s="40">
        <v>96.770045807349476</v>
      </c>
      <c r="AZ544" s="40">
        <v>96.849589768746839</v>
      </c>
      <c r="BA544" s="40">
        <v>96.269680311123579</v>
      </c>
      <c r="BB544" s="178">
        <v>43586</v>
      </c>
      <c r="BC544" s="178"/>
    </row>
    <row r="545" spans="1:55" s="44" customFormat="1" ht="45">
      <c r="A545" s="18" t="s">
        <v>6</v>
      </c>
      <c r="B545" s="18" t="s">
        <v>1591</v>
      </c>
      <c r="C545" s="23" t="s">
        <v>10</v>
      </c>
      <c r="D545" s="23" t="s">
        <v>10</v>
      </c>
      <c r="E545" s="23" t="s">
        <v>10</v>
      </c>
      <c r="F545" s="23" t="s">
        <v>11</v>
      </c>
      <c r="G545" s="18" t="s">
        <v>1537</v>
      </c>
      <c r="H545" s="19">
        <v>3.8530000000000002</v>
      </c>
      <c r="I545" s="37">
        <v>240</v>
      </c>
      <c r="J545" s="19">
        <v>96.5</v>
      </c>
      <c r="K545" s="20" t="s">
        <v>1219</v>
      </c>
      <c r="L545" s="49" t="s">
        <v>1533</v>
      </c>
      <c r="M545" s="38" t="s">
        <v>1534</v>
      </c>
      <c r="N545" s="174">
        <v>43586</v>
      </c>
      <c r="O545" s="38" t="s">
        <v>1533</v>
      </c>
      <c r="P545" s="38" t="s">
        <v>17</v>
      </c>
      <c r="Q545" s="38" t="s">
        <v>17</v>
      </c>
      <c r="R545" s="151"/>
      <c r="S545" s="39" t="s">
        <v>10</v>
      </c>
      <c r="T545" s="39" t="s">
        <v>11</v>
      </c>
      <c r="U545" s="172">
        <v>5.39</v>
      </c>
      <c r="V545" s="153"/>
      <c r="W545" s="153"/>
      <c r="X545" s="153">
        <v>195</v>
      </c>
      <c r="Y545" s="153">
        <v>365</v>
      </c>
      <c r="Z545" s="153">
        <v>480</v>
      </c>
      <c r="AA545" s="40">
        <v>0.38532</v>
      </c>
      <c r="AB545" s="40">
        <v>0.77063999999999999</v>
      </c>
      <c r="AC545" s="40">
        <v>1.1559599999999999</v>
      </c>
      <c r="AD545" s="40">
        <v>1.9265999999999999</v>
      </c>
      <c r="AE545" s="40">
        <v>2.8898999999999999</v>
      </c>
      <c r="AF545" s="40">
        <v>3.8531999999999997</v>
      </c>
      <c r="AG545" s="40">
        <v>92.681418318038126</v>
      </c>
      <c r="AH545" s="40">
        <v>95.370109391033424</v>
      </c>
      <c r="AI545" s="40">
        <v>96.070222112677229</v>
      </c>
      <c r="AJ545" s="40">
        <v>96.45533026489251</v>
      </c>
      <c r="AK545" s="40">
        <v>96.443882991198933</v>
      </c>
      <c r="AL545" s="40">
        <v>96.232778992810196</v>
      </c>
      <c r="AM545" s="40">
        <v>96.186705146397841</v>
      </c>
      <c r="AN545" s="40">
        <v>93.680244478450931</v>
      </c>
      <c r="AO545" s="40">
        <v>96.435440070880389</v>
      </c>
      <c r="AP545" s="40">
        <v>96.895311691249105</v>
      </c>
      <c r="AQ545" s="40">
        <v>97.434600781845162</v>
      </c>
      <c r="AR545" s="40">
        <v>97.587655846920626</v>
      </c>
      <c r="AS545" s="40">
        <v>97.467966311402236</v>
      </c>
      <c r="AT545" s="40">
        <v>97.252541264257474</v>
      </c>
      <c r="AU545" s="40">
        <v>90.805647134134404</v>
      </c>
      <c r="AV545" s="40">
        <v>95.309565566853792</v>
      </c>
      <c r="AW545" s="40">
        <v>96.404880449161794</v>
      </c>
      <c r="AX545" s="40">
        <v>96.909933627135729</v>
      </c>
      <c r="AY545" s="40">
        <v>97.155681948405459</v>
      </c>
      <c r="AZ545" s="40">
        <v>97.307422483982677</v>
      </c>
      <c r="BA545" s="40">
        <v>96.675258436160007</v>
      </c>
      <c r="BB545" s="178">
        <v>43586</v>
      </c>
      <c r="BC545" s="178"/>
    </row>
    <row r="546" spans="1:55" s="44" customFormat="1" ht="45">
      <c r="A546" s="18" t="s">
        <v>6</v>
      </c>
      <c r="B546" s="18" t="s">
        <v>1046</v>
      </c>
      <c r="C546" s="23" t="s">
        <v>10</v>
      </c>
      <c r="D546" s="23" t="s">
        <v>10</v>
      </c>
      <c r="E546" s="23" t="s">
        <v>10</v>
      </c>
      <c r="F546" s="23" t="s">
        <v>11</v>
      </c>
      <c r="G546" s="18" t="s">
        <v>696</v>
      </c>
      <c r="H546" s="19">
        <v>3.6</v>
      </c>
      <c r="I546" s="37">
        <v>208</v>
      </c>
      <c r="J546" s="19">
        <v>96.5</v>
      </c>
      <c r="K546" s="21" t="s">
        <v>1219</v>
      </c>
      <c r="L546" s="49" t="s">
        <v>694</v>
      </c>
      <c r="M546" s="38" t="s">
        <v>461</v>
      </c>
      <c r="N546" s="174">
        <v>43388</v>
      </c>
      <c r="O546" s="49" t="s">
        <v>694</v>
      </c>
      <c r="P546" s="23" t="s">
        <v>17</v>
      </c>
      <c r="Q546" s="23" t="s">
        <v>17</v>
      </c>
      <c r="R546" s="151"/>
      <c r="S546" s="39" t="s">
        <v>10</v>
      </c>
      <c r="T546" s="39" t="s">
        <v>11</v>
      </c>
      <c r="U546" s="153">
        <v>5.36</v>
      </c>
      <c r="V546" s="153"/>
      <c r="W546" s="153"/>
      <c r="X546" s="153">
        <v>195</v>
      </c>
      <c r="Y546" s="153">
        <v>365</v>
      </c>
      <c r="Z546" s="153">
        <v>480</v>
      </c>
      <c r="AA546" s="40">
        <v>0.36045400000000005</v>
      </c>
      <c r="AB546" s="40">
        <v>0.7209080000000001</v>
      </c>
      <c r="AC546" s="40">
        <v>1.0813619999999999</v>
      </c>
      <c r="AD546" s="40">
        <v>1.80227</v>
      </c>
      <c r="AE546" s="40">
        <v>2.7034050000000001</v>
      </c>
      <c r="AF546" s="40">
        <v>3.6045400000000001</v>
      </c>
      <c r="AG546" s="40">
        <v>92.9307882700177</v>
      </c>
      <c r="AH546" s="40">
        <v>95.476148178928241</v>
      </c>
      <c r="AI546" s="40">
        <v>96.029992473112927</v>
      </c>
      <c r="AJ546" s="40">
        <v>96.472910461543449</v>
      </c>
      <c r="AK546" s="40">
        <v>96.37876487615506</v>
      </c>
      <c r="AL546" s="40">
        <v>96.152677617325793</v>
      </c>
      <c r="AM546" s="40">
        <v>96.162328498673276</v>
      </c>
      <c r="AN546" s="40">
        <v>92.531495773128313</v>
      </c>
      <c r="AO546" s="40">
        <v>95.951025180138728</v>
      </c>
      <c r="AP546" s="40">
        <v>96.621311597273717</v>
      </c>
      <c r="AQ546" s="40">
        <v>97.059603157019836</v>
      </c>
      <c r="AR546" s="40">
        <v>97.224711983689119</v>
      </c>
      <c r="AS546" s="40">
        <v>96.978656177455747</v>
      </c>
      <c r="AT546" s="40">
        <v>96.853915304807103</v>
      </c>
      <c r="AU546" s="40">
        <v>89.80793356250021</v>
      </c>
      <c r="AV546" s="40">
        <v>94.91925956195459</v>
      </c>
      <c r="AW546" s="40">
        <v>95.99712875139376</v>
      </c>
      <c r="AX546" s="40">
        <v>96.576860828695345</v>
      </c>
      <c r="AY546" s="40">
        <v>96.770045807349476</v>
      </c>
      <c r="AZ546" s="40">
        <v>96.849589768746824</v>
      </c>
      <c r="BA546" s="40">
        <v>96.269680311123579</v>
      </c>
      <c r="BB546" s="174">
        <v>43313</v>
      </c>
      <c r="BC546" s="174">
        <v>43511</v>
      </c>
    </row>
    <row r="547" spans="1:55" s="44" customFormat="1" ht="45">
      <c r="A547" s="18" t="s">
        <v>6</v>
      </c>
      <c r="B547" s="18" t="s">
        <v>1049</v>
      </c>
      <c r="C547" s="23" t="s">
        <v>10</v>
      </c>
      <c r="D547" s="23" t="s">
        <v>10</v>
      </c>
      <c r="E547" s="23" t="s">
        <v>10</v>
      </c>
      <c r="F547" s="23" t="s">
        <v>11</v>
      </c>
      <c r="G547" s="18" t="s">
        <v>697</v>
      </c>
      <c r="H547" s="19">
        <v>3.8</v>
      </c>
      <c r="I547" s="37">
        <v>240</v>
      </c>
      <c r="J547" s="19">
        <v>96.5</v>
      </c>
      <c r="K547" s="21" t="s">
        <v>1219</v>
      </c>
      <c r="L547" s="49" t="s">
        <v>694</v>
      </c>
      <c r="M547" s="38" t="s">
        <v>698</v>
      </c>
      <c r="N547" s="174">
        <v>43388</v>
      </c>
      <c r="O547" s="49" t="s">
        <v>694</v>
      </c>
      <c r="P547" s="23" t="s">
        <v>17</v>
      </c>
      <c r="Q547" s="23" t="s">
        <v>17</v>
      </c>
      <c r="R547" s="151"/>
      <c r="S547" s="39" t="s">
        <v>10</v>
      </c>
      <c r="T547" s="39" t="s">
        <v>11</v>
      </c>
      <c r="U547" s="153">
        <v>5.39</v>
      </c>
      <c r="V547" s="153"/>
      <c r="W547" s="153"/>
      <c r="X547" s="153">
        <v>195</v>
      </c>
      <c r="Y547" s="153">
        <v>365</v>
      </c>
      <c r="Z547" s="153">
        <v>480</v>
      </c>
      <c r="AA547" s="40">
        <v>0.38542700000000002</v>
      </c>
      <c r="AB547" s="40">
        <v>0.77085400000000004</v>
      </c>
      <c r="AC547" s="40">
        <v>1.1562809999999999</v>
      </c>
      <c r="AD547" s="40">
        <v>1.927135</v>
      </c>
      <c r="AE547" s="40">
        <v>2.8907025000000002</v>
      </c>
      <c r="AF547" s="40">
        <v>3.8542700000000001</v>
      </c>
      <c r="AG547" s="40">
        <v>92.681418318038126</v>
      </c>
      <c r="AH547" s="40">
        <v>95.370109391033424</v>
      </c>
      <c r="AI547" s="40">
        <v>96.070222112677214</v>
      </c>
      <c r="AJ547" s="40">
        <v>96.455330264892524</v>
      </c>
      <c r="AK547" s="40">
        <v>96.443882991198933</v>
      </c>
      <c r="AL547" s="40">
        <v>96.232778992810211</v>
      </c>
      <c r="AM547" s="40">
        <v>96.186705146397841</v>
      </c>
      <c r="AN547" s="40">
        <v>93.680244478450931</v>
      </c>
      <c r="AO547" s="40">
        <v>96.435440070880389</v>
      </c>
      <c r="AP547" s="40">
        <v>96.895311691249105</v>
      </c>
      <c r="AQ547" s="40">
        <v>97.434600781845177</v>
      </c>
      <c r="AR547" s="40">
        <v>97.587655846920612</v>
      </c>
      <c r="AS547" s="40">
        <v>97.46796631140225</v>
      </c>
      <c r="AT547" s="40">
        <v>97.252541264257474</v>
      </c>
      <c r="AU547" s="40">
        <v>90.805647134134389</v>
      </c>
      <c r="AV547" s="40">
        <v>95.309565566853777</v>
      </c>
      <c r="AW547" s="40">
        <v>96.404880449161809</v>
      </c>
      <c r="AX547" s="40">
        <v>96.909933627135729</v>
      </c>
      <c r="AY547" s="40">
        <v>97.155681948405487</v>
      </c>
      <c r="AZ547" s="40">
        <v>97.307422483982663</v>
      </c>
      <c r="BA547" s="40">
        <v>96.675258436160021</v>
      </c>
      <c r="BB547" s="174">
        <v>43313</v>
      </c>
      <c r="BC547" s="174">
        <v>43511</v>
      </c>
    </row>
    <row r="548" spans="1:55" s="44" customFormat="1" ht="45">
      <c r="A548" s="18" t="s">
        <v>6</v>
      </c>
      <c r="B548" s="18" t="s">
        <v>1829</v>
      </c>
      <c r="C548" s="23" t="s">
        <v>10</v>
      </c>
      <c r="D548" s="23" t="s">
        <v>10</v>
      </c>
      <c r="E548" s="23" t="s">
        <v>10</v>
      </c>
      <c r="F548" s="23" t="s">
        <v>11</v>
      </c>
      <c r="G548" s="18" t="s">
        <v>1825</v>
      </c>
      <c r="H548" s="19">
        <v>3.6040000000000001</v>
      </c>
      <c r="I548" s="37">
        <v>208</v>
      </c>
      <c r="J548" s="19">
        <v>96.5</v>
      </c>
      <c r="K548" s="20" t="s">
        <v>1219</v>
      </c>
      <c r="L548" s="49" t="s">
        <v>1533</v>
      </c>
      <c r="M548" s="38" t="s">
        <v>1534</v>
      </c>
      <c r="N548" s="124">
        <v>43784</v>
      </c>
      <c r="O548" s="38" t="s">
        <v>1533</v>
      </c>
      <c r="P548" s="38" t="s">
        <v>17</v>
      </c>
      <c r="Q548" s="38" t="s">
        <v>17</v>
      </c>
      <c r="R548" s="151"/>
      <c r="S548" s="39" t="s">
        <v>10</v>
      </c>
      <c r="T548" s="39" t="s">
        <v>11</v>
      </c>
      <c r="U548" s="153">
        <v>5.36</v>
      </c>
      <c r="V548" s="153"/>
      <c r="W548" s="153"/>
      <c r="X548" s="153">
        <v>195</v>
      </c>
      <c r="Y548" s="153">
        <v>365</v>
      </c>
      <c r="Z548" s="153">
        <v>480</v>
      </c>
      <c r="AA548" s="40">
        <v>0.36</v>
      </c>
      <c r="AB548" s="40">
        <v>0.72099999999999997</v>
      </c>
      <c r="AC548" s="40">
        <v>1.081</v>
      </c>
      <c r="AD548" s="40">
        <v>1.802</v>
      </c>
      <c r="AE548" s="40">
        <v>2.7029999999999998</v>
      </c>
      <c r="AF548" s="40">
        <v>3.6040000000000001</v>
      </c>
      <c r="AG548" s="40">
        <v>92.93</v>
      </c>
      <c r="AH548" s="40">
        <v>95.48</v>
      </c>
      <c r="AI548" s="40">
        <v>96.03</v>
      </c>
      <c r="AJ548" s="40">
        <v>96.47</v>
      </c>
      <c r="AK548" s="40">
        <v>96.38</v>
      </c>
      <c r="AL548" s="40">
        <v>96.15</v>
      </c>
      <c r="AM548" s="40">
        <v>96.16</v>
      </c>
      <c r="AN548" s="40">
        <v>92.53</v>
      </c>
      <c r="AO548" s="40">
        <v>95.95</v>
      </c>
      <c r="AP548" s="40">
        <v>96.62</v>
      </c>
      <c r="AQ548" s="40">
        <v>97.06</v>
      </c>
      <c r="AR548" s="40">
        <v>97.22</v>
      </c>
      <c r="AS548" s="40">
        <v>96.98</v>
      </c>
      <c r="AT548" s="40">
        <v>98.85</v>
      </c>
      <c r="AU548" s="40">
        <v>89.81</v>
      </c>
      <c r="AV548" s="40">
        <v>96.92</v>
      </c>
      <c r="AW548" s="40">
        <v>96</v>
      </c>
      <c r="AX548" s="40">
        <v>96.58</v>
      </c>
      <c r="AY548" s="40">
        <v>96.77</v>
      </c>
      <c r="AZ548" s="40">
        <v>96.85</v>
      </c>
      <c r="BA548" s="40">
        <v>96.27</v>
      </c>
      <c r="BB548" s="180">
        <v>43784</v>
      </c>
      <c r="BC548" s="180"/>
    </row>
    <row r="549" spans="1:55" s="44" customFormat="1" ht="45">
      <c r="A549" s="18" t="s">
        <v>6</v>
      </c>
      <c r="B549" s="18" t="s">
        <v>1830</v>
      </c>
      <c r="C549" s="23" t="s">
        <v>10</v>
      </c>
      <c r="D549" s="23" t="s">
        <v>10</v>
      </c>
      <c r="E549" s="23" t="s">
        <v>10</v>
      </c>
      <c r="F549" s="23" t="s">
        <v>11</v>
      </c>
      <c r="G549" s="18" t="s">
        <v>1826</v>
      </c>
      <c r="H549" s="19">
        <v>3.8530000000000002</v>
      </c>
      <c r="I549" s="37">
        <v>240</v>
      </c>
      <c r="J549" s="19">
        <v>96.5</v>
      </c>
      <c r="K549" s="20" t="s">
        <v>1219</v>
      </c>
      <c r="L549" s="49" t="s">
        <v>1533</v>
      </c>
      <c r="M549" s="38" t="s">
        <v>1534</v>
      </c>
      <c r="N549" s="124">
        <v>43784</v>
      </c>
      <c r="O549" s="38" t="s">
        <v>1533</v>
      </c>
      <c r="P549" s="38" t="s">
        <v>17</v>
      </c>
      <c r="Q549" s="38" t="s">
        <v>17</v>
      </c>
      <c r="R549" s="151"/>
      <c r="S549" s="39" t="s">
        <v>10</v>
      </c>
      <c r="T549" s="39" t="s">
        <v>11</v>
      </c>
      <c r="U549" s="153">
        <v>5.39</v>
      </c>
      <c r="V549" s="153"/>
      <c r="W549" s="153"/>
      <c r="X549" s="153">
        <v>195</v>
      </c>
      <c r="Y549" s="153">
        <v>365</v>
      </c>
      <c r="Z549" s="153">
        <v>480</v>
      </c>
      <c r="AA549" s="40">
        <v>0.38500000000000001</v>
      </c>
      <c r="AB549" s="40">
        <v>0.77100000000000002</v>
      </c>
      <c r="AC549" s="40">
        <v>1.1559999999999999</v>
      </c>
      <c r="AD549" s="40">
        <v>1.927</v>
      </c>
      <c r="AE549" s="40">
        <v>2.89</v>
      </c>
      <c r="AF549" s="40">
        <v>3.8530000000000002</v>
      </c>
      <c r="AG549" s="40">
        <v>92.68</v>
      </c>
      <c r="AH549" s="40">
        <v>95.37</v>
      </c>
      <c r="AI549" s="40">
        <v>96.07</v>
      </c>
      <c r="AJ549" s="40">
        <v>96.46</v>
      </c>
      <c r="AK549" s="40">
        <v>96.44</v>
      </c>
      <c r="AL549" s="40">
        <v>96.23</v>
      </c>
      <c r="AM549" s="40">
        <v>96.19</v>
      </c>
      <c r="AN549" s="40">
        <v>93.68</v>
      </c>
      <c r="AO549" s="40">
        <v>96.44</v>
      </c>
      <c r="AP549" s="40">
        <v>96.9</v>
      </c>
      <c r="AQ549" s="40">
        <v>97.43</v>
      </c>
      <c r="AR549" s="40">
        <v>97.59</v>
      </c>
      <c r="AS549" s="40">
        <v>97.47</v>
      </c>
      <c r="AT549" s="40">
        <v>97.25</v>
      </c>
      <c r="AU549" s="40">
        <v>90.81</v>
      </c>
      <c r="AV549" s="40">
        <v>95.31</v>
      </c>
      <c r="AW549" s="40">
        <v>96.4</v>
      </c>
      <c r="AX549" s="40">
        <v>96.91</v>
      </c>
      <c r="AY549" s="40">
        <v>97.16</v>
      </c>
      <c r="AZ549" s="40">
        <v>97.31</v>
      </c>
      <c r="BA549" s="40">
        <v>96.68</v>
      </c>
      <c r="BB549" s="180">
        <v>43784</v>
      </c>
      <c r="BC549" s="180"/>
    </row>
    <row r="550" spans="1:55" ht="45">
      <c r="A550" s="18" t="s">
        <v>6</v>
      </c>
      <c r="B550" s="18" t="s">
        <v>385</v>
      </c>
      <c r="C550" s="39" t="s">
        <v>10</v>
      </c>
      <c r="D550" s="39" t="s">
        <v>10</v>
      </c>
      <c r="E550" s="23" t="s">
        <v>10</v>
      </c>
      <c r="F550" s="23" t="s">
        <v>11</v>
      </c>
      <c r="G550" s="18" t="s">
        <v>148</v>
      </c>
      <c r="H550" s="19">
        <v>5</v>
      </c>
      <c r="I550" s="19">
        <v>208</v>
      </c>
      <c r="J550" s="19">
        <v>96.5</v>
      </c>
      <c r="K550" s="21" t="s">
        <v>1219</v>
      </c>
      <c r="L550" s="49" t="s">
        <v>460</v>
      </c>
      <c r="M550" s="21" t="s">
        <v>461</v>
      </c>
      <c r="N550" s="174">
        <v>43388</v>
      </c>
      <c r="O550" s="49" t="s">
        <v>460</v>
      </c>
      <c r="P550" s="23" t="s">
        <v>17</v>
      </c>
      <c r="Q550" s="23" t="s">
        <v>17</v>
      </c>
      <c r="R550" s="150"/>
      <c r="S550" s="20" t="s">
        <v>10</v>
      </c>
      <c r="T550" s="20" t="s">
        <v>11</v>
      </c>
      <c r="U550" s="19">
        <v>5.0599999999999996</v>
      </c>
      <c r="V550" s="19"/>
      <c r="W550" s="19"/>
      <c r="X550" s="19">
        <v>220</v>
      </c>
      <c r="Y550" s="19">
        <v>365</v>
      </c>
      <c r="Z550" s="19">
        <v>480</v>
      </c>
      <c r="AA550" s="40">
        <v>0.51</v>
      </c>
      <c r="AB550" s="40">
        <v>1.01</v>
      </c>
      <c r="AC550" s="40">
        <v>1.52</v>
      </c>
      <c r="AD550" s="40">
        <v>2.5299999999999998</v>
      </c>
      <c r="AE550" s="40">
        <v>3.8</v>
      </c>
      <c r="AF550" s="40">
        <v>5.0599999999999996</v>
      </c>
      <c r="AG550" s="40">
        <v>94.7</v>
      </c>
      <c r="AH550" s="40">
        <v>96.3</v>
      </c>
      <c r="AI550" s="40">
        <v>96.6</v>
      </c>
      <c r="AJ550" s="40">
        <v>96.6</v>
      </c>
      <c r="AK550" s="40">
        <v>96.4</v>
      </c>
      <c r="AL550" s="40">
        <v>96</v>
      </c>
      <c r="AM550" s="40">
        <v>96.4</v>
      </c>
      <c r="AN550" s="40">
        <v>94.7</v>
      </c>
      <c r="AO550" s="40">
        <v>96.7</v>
      </c>
      <c r="AP550" s="40">
        <v>97.1</v>
      </c>
      <c r="AQ550" s="40">
        <v>97.2</v>
      </c>
      <c r="AR550" s="40">
        <v>97.1</v>
      </c>
      <c r="AS550" s="40">
        <v>96.8</v>
      </c>
      <c r="AT550" s="40">
        <v>97</v>
      </c>
      <c r="AU550" s="40">
        <v>91.1</v>
      </c>
      <c r="AV550" s="40">
        <v>96.1</v>
      </c>
      <c r="AW550" s="40">
        <v>96.7</v>
      </c>
      <c r="AX550" s="40">
        <v>96.9</v>
      </c>
      <c r="AY550" s="40">
        <v>97</v>
      </c>
      <c r="AZ550" s="40">
        <v>96.8</v>
      </c>
      <c r="BA550" s="40">
        <v>96.6</v>
      </c>
      <c r="BB550" s="174">
        <v>43313</v>
      </c>
      <c r="BC550" s="174">
        <v>43511</v>
      </c>
    </row>
    <row r="551" spans="1:55" ht="45">
      <c r="A551" s="18" t="s">
        <v>6</v>
      </c>
      <c r="B551" s="18" t="s">
        <v>384</v>
      </c>
      <c r="C551" s="39" t="s">
        <v>10</v>
      </c>
      <c r="D551" s="39" t="s">
        <v>10</v>
      </c>
      <c r="E551" s="23" t="s">
        <v>10</v>
      </c>
      <c r="F551" s="23" t="s">
        <v>11</v>
      </c>
      <c r="G551" s="18" t="s">
        <v>147</v>
      </c>
      <c r="H551" s="19">
        <v>5</v>
      </c>
      <c r="I551" s="19">
        <v>240</v>
      </c>
      <c r="J551" s="19">
        <v>97</v>
      </c>
      <c r="K551" s="21" t="s">
        <v>1219</v>
      </c>
      <c r="L551" s="49" t="s">
        <v>460</v>
      </c>
      <c r="M551" s="21" t="s">
        <v>461</v>
      </c>
      <c r="N551" s="174">
        <v>43388</v>
      </c>
      <c r="O551" s="49" t="s">
        <v>460</v>
      </c>
      <c r="P551" s="23" t="s">
        <v>17</v>
      </c>
      <c r="Q551" s="23" t="s">
        <v>17</v>
      </c>
      <c r="R551" s="150"/>
      <c r="S551" s="20" t="s">
        <v>10</v>
      </c>
      <c r="T551" s="20" t="s">
        <v>11</v>
      </c>
      <c r="U551" s="19">
        <v>5.21</v>
      </c>
      <c r="V551" s="19"/>
      <c r="W551" s="19"/>
      <c r="X551" s="19">
        <v>220</v>
      </c>
      <c r="Y551" s="19">
        <v>365</v>
      </c>
      <c r="Z551" s="19">
        <v>480</v>
      </c>
      <c r="AA551" s="40">
        <v>0.51</v>
      </c>
      <c r="AB551" s="40">
        <v>1.01</v>
      </c>
      <c r="AC551" s="40">
        <v>1.52</v>
      </c>
      <c r="AD551" s="40">
        <v>2.5299999999999998</v>
      </c>
      <c r="AE551" s="40">
        <v>3.79</v>
      </c>
      <c r="AF551" s="40">
        <v>5.05</v>
      </c>
      <c r="AG551" s="40">
        <v>93.3</v>
      </c>
      <c r="AH551" s="40">
        <v>96</v>
      </c>
      <c r="AI551" s="40">
        <v>96.5</v>
      </c>
      <c r="AJ551" s="40">
        <v>96.7</v>
      </c>
      <c r="AK551" s="40">
        <v>96.6</v>
      </c>
      <c r="AL551" s="40">
        <v>96.4</v>
      </c>
      <c r="AM551" s="40">
        <v>96.4</v>
      </c>
      <c r="AN551" s="40">
        <v>93.4</v>
      </c>
      <c r="AO551" s="40">
        <v>96.9</v>
      </c>
      <c r="AP551" s="40">
        <v>97.2</v>
      </c>
      <c r="AQ551" s="40">
        <v>97.5</v>
      </c>
      <c r="AR551" s="40">
        <v>97.4</v>
      </c>
      <c r="AS551" s="40">
        <v>97.2</v>
      </c>
      <c r="AT551" s="40">
        <v>97.2</v>
      </c>
      <c r="AU551" s="40">
        <v>91.2</v>
      </c>
      <c r="AV551" s="40">
        <v>96.2</v>
      </c>
      <c r="AW551" s="40">
        <v>96.8</v>
      </c>
      <c r="AX551" s="40">
        <v>97.2</v>
      </c>
      <c r="AY551" s="40">
        <v>97.4</v>
      </c>
      <c r="AZ551" s="40">
        <v>97.3</v>
      </c>
      <c r="BA551" s="40">
        <v>97</v>
      </c>
      <c r="BB551" s="174">
        <v>43313</v>
      </c>
      <c r="BC551" s="174">
        <v>43511</v>
      </c>
    </row>
    <row r="552" spans="1:55" ht="45">
      <c r="A552" s="18" t="s">
        <v>6</v>
      </c>
      <c r="B552" s="18" t="s">
        <v>1592</v>
      </c>
      <c r="C552" s="23" t="s">
        <v>10</v>
      </c>
      <c r="D552" s="23" t="s">
        <v>10</v>
      </c>
      <c r="E552" s="23" t="s">
        <v>10</v>
      </c>
      <c r="F552" s="23" t="s">
        <v>11</v>
      </c>
      <c r="G552" s="18" t="s">
        <v>1538</v>
      </c>
      <c r="H552" s="19">
        <v>5.05</v>
      </c>
      <c r="I552" s="37">
        <v>208</v>
      </c>
      <c r="J552" s="19">
        <v>96.5</v>
      </c>
      <c r="K552" s="20" t="s">
        <v>1219</v>
      </c>
      <c r="L552" s="49" t="s">
        <v>1533</v>
      </c>
      <c r="M552" s="38" t="s">
        <v>1534</v>
      </c>
      <c r="N552" s="174">
        <v>43586</v>
      </c>
      <c r="O552" s="38" t="s">
        <v>1533</v>
      </c>
      <c r="P552" s="38" t="s">
        <v>17</v>
      </c>
      <c r="Q552" s="38" t="s">
        <v>17</v>
      </c>
      <c r="R552" s="151"/>
      <c r="S552" s="39" t="s">
        <v>10</v>
      </c>
      <c r="T552" s="39" t="s">
        <v>11</v>
      </c>
      <c r="U552" s="172">
        <v>5.0599999999999996</v>
      </c>
      <c r="V552" s="153"/>
      <c r="W552" s="153"/>
      <c r="X552" s="153">
        <v>220</v>
      </c>
      <c r="Y552" s="153">
        <v>365</v>
      </c>
      <c r="Z552" s="153">
        <v>480</v>
      </c>
      <c r="AA552" s="40">
        <v>0.50498600000000005</v>
      </c>
      <c r="AB552" s="40">
        <v>1.0099720000000001</v>
      </c>
      <c r="AC552" s="40">
        <v>1.5149579999999998</v>
      </c>
      <c r="AD552" s="40">
        <v>2.5249299999999999</v>
      </c>
      <c r="AE552" s="40">
        <v>3.7873950000000001</v>
      </c>
      <c r="AF552" s="40">
        <v>5.0498599999999998</v>
      </c>
      <c r="AG552" s="40">
        <v>94.694272992012344</v>
      </c>
      <c r="AH552" s="40">
        <v>96.306403894962799</v>
      </c>
      <c r="AI552" s="40">
        <v>96.556182180436878</v>
      </c>
      <c r="AJ552" s="40">
        <v>96.629139843854105</v>
      </c>
      <c r="AK552" s="40">
        <v>96.44590174223292</v>
      </c>
      <c r="AL552" s="40">
        <v>96.027414369447271</v>
      </c>
      <c r="AM552" s="40">
        <v>96.399650985146238</v>
      </c>
      <c r="AN552" s="40">
        <v>94.725365105158701</v>
      </c>
      <c r="AO552" s="40">
        <v>96.717172960691215</v>
      </c>
      <c r="AP552" s="40">
        <v>97.077107314242554</v>
      </c>
      <c r="AQ552" s="40">
        <v>97.228895227184736</v>
      </c>
      <c r="AR552" s="40">
        <v>97.08430393019087</v>
      </c>
      <c r="AS552" s="40">
        <v>96.774699425955944</v>
      </c>
      <c r="AT552" s="40">
        <v>96.985610181957767</v>
      </c>
      <c r="AU552" s="40">
        <v>91.103239690370032</v>
      </c>
      <c r="AV552" s="40">
        <v>96.149008524443119</v>
      </c>
      <c r="AW552" s="40">
        <v>96.662506014160243</v>
      </c>
      <c r="AX552" s="40">
        <v>96.911977315709606</v>
      </c>
      <c r="AY552" s="40">
        <v>96.961821692191009</v>
      </c>
      <c r="AZ552" s="40">
        <v>96.796678429119126</v>
      </c>
      <c r="BA552" s="40">
        <v>96.632195390152404</v>
      </c>
      <c r="BB552" s="178">
        <v>43586</v>
      </c>
      <c r="BC552" s="178"/>
    </row>
    <row r="553" spans="1:55" ht="45">
      <c r="A553" s="18" t="s">
        <v>6</v>
      </c>
      <c r="B553" s="18" t="s">
        <v>1593</v>
      </c>
      <c r="C553" s="23" t="s">
        <v>10</v>
      </c>
      <c r="D553" s="23" t="s">
        <v>10</v>
      </c>
      <c r="E553" s="23" t="s">
        <v>10</v>
      </c>
      <c r="F553" s="23" t="s">
        <v>11</v>
      </c>
      <c r="G553" s="18" t="s">
        <v>1539</v>
      </c>
      <c r="H553" s="19">
        <v>5.0590000000000002</v>
      </c>
      <c r="I553" s="37">
        <v>240</v>
      </c>
      <c r="J553" s="19">
        <v>97</v>
      </c>
      <c r="K553" s="20" t="s">
        <v>1219</v>
      </c>
      <c r="L553" s="49" t="s">
        <v>1533</v>
      </c>
      <c r="M553" s="38" t="s">
        <v>1534</v>
      </c>
      <c r="N553" s="174">
        <v>43586</v>
      </c>
      <c r="O553" s="38" t="s">
        <v>1533</v>
      </c>
      <c r="P553" s="38" t="s">
        <v>17</v>
      </c>
      <c r="Q553" s="38" t="s">
        <v>17</v>
      </c>
      <c r="R553" s="151"/>
      <c r="S553" s="39" t="s">
        <v>10</v>
      </c>
      <c r="T553" s="39" t="s">
        <v>11</v>
      </c>
      <c r="U553" s="172">
        <v>5.21</v>
      </c>
      <c r="V553" s="153"/>
      <c r="W553" s="153"/>
      <c r="X553" s="153">
        <v>220</v>
      </c>
      <c r="Y553" s="153">
        <v>365</v>
      </c>
      <c r="Z553" s="153">
        <v>480</v>
      </c>
      <c r="AA553" s="40">
        <v>0.50586199999999992</v>
      </c>
      <c r="AB553" s="40">
        <v>1.0117239999999998</v>
      </c>
      <c r="AC553" s="40">
        <v>1.5175859999999999</v>
      </c>
      <c r="AD553" s="40">
        <v>2.5293099999999997</v>
      </c>
      <c r="AE553" s="40">
        <v>3.7939649999999996</v>
      </c>
      <c r="AF553" s="40">
        <v>5.0586199999999995</v>
      </c>
      <c r="AG553" s="40">
        <v>93.349375774640279</v>
      </c>
      <c r="AH553" s="40">
        <v>96.030817694837552</v>
      </c>
      <c r="AI553" s="40">
        <v>96.455855161268317</v>
      </c>
      <c r="AJ553" s="40">
        <v>96.661398786463593</v>
      </c>
      <c r="AK553" s="40">
        <v>96.609935752767456</v>
      </c>
      <c r="AL553" s="40">
        <v>96.367771492351665</v>
      </c>
      <c r="AM553" s="40">
        <v>96.430766803821371</v>
      </c>
      <c r="AN553" s="40">
        <v>93.440541083059287</v>
      </c>
      <c r="AO553" s="40">
        <v>96.858532303920839</v>
      </c>
      <c r="AP553" s="40">
        <v>97.231850325066787</v>
      </c>
      <c r="AQ553" s="40">
        <v>97.509783560576238</v>
      </c>
      <c r="AR553" s="40">
        <v>97.412867067403496</v>
      </c>
      <c r="AS553" s="40">
        <v>97.223708474662473</v>
      </c>
      <c r="AT553" s="40">
        <v>97.215429814704422</v>
      </c>
      <c r="AU553" s="40">
        <v>91.209970914504268</v>
      </c>
      <c r="AV553" s="40">
        <v>96.180352319821424</v>
      </c>
      <c r="AW553" s="40">
        <v>96.805422495274655</v>
      </c>
      <c r="AX553" s="40">
        <v>97.206750237719334</v>
      </c>
      <c r="AY553" s="40">
        <v>97.372804907658036</v>
      </c>
      <c r="AZ553" s="40">
        <v>97.269999282994903</v>
      </c>
      <c r="BA553" s="40">
        <v>96.958571267133777</v>
      </c>
      <c r="BB553" s="178">
        <v>43586</v>
      </c>
      <c r="BC553" s="178"/>
    </row>
    <row r="554" spans="1:55" ht="45">
      <c r="A554" s="18" t="s">
        <v>6</v>
      </c>
      <c r="B554" s="18" t="s">
        <v>716</v>
      </c>
      <c r="C554" s="23" t="s">
        <v>10</v>
      </c>
      <c r="D554" s="23" t="s">
        <v>10</v>
      </c>
      <c r="E554" s="23" t="s">
        <v>10</v>
      </c>
      <c r="F554" s="23" t="s">
        <v>11</v>
      </c>
      <c r="G554" s="18" t="s">
        <v>700</v>
      </c>
      <c r="H554" s="19">
        <v>5</v>
      </c>
      <c r="I554" s="37">
        <v>208</v>
      </c>
      <c r="J554" s="19">
        <v>96.5</v>
      </c>
      <c r="K554" s="21" t="s">
        <v>1219</v>
      </c>
      <c r="L554" s="49" t="s">
        <v>694</v>
      </c>
      <c r="M554" s="38" t="s">
        <v>698</v>
      </c>
      <c r="N554" s="174">
        <v>43388</v>
      </c>
      <c r="O554" s="49" t="s">
        <v>694</v>
      </c>
      <c r="P554" s="23" t="s">
        <v>17</v>
      </c>
      <c r="Q554" s="23" t="s">
        <v>17</v>
      </c>
      <c r="R554" s="151"/>
      <c r="S554" s="39" t="s">
        <v>10</v>
      </c>
      <c r="T554" s="39" t="s">
        <v>11</v>
      </c>
      <c r="U554" s="153">
        <v>5.0599999999999996</v>
      </c>
      <c r="V554" s="153"/>
      <c r="W554" s="153"/>
      <c r="X554" s="153">
        <v>220</v>
      </c>
      <c r="Y554" s="153">
        <v>365</v>
      </c>
      <c r="Z554" s="153">
        <v>480</v>
      </c>
      <c r="AA554" s="40">
        <v>0.51</v>
      </c>
      <c r="AB554" s="40">
        <v>1.01</v>
      </c>
      <c r="AC554" s="40">
        <v>1.52</v>
      </c>
      <c r="AD554" s="40">
        <v>2.5299999999999998</v>
      </c>
      <c r="AE554" s="40">
        <v>3.8</v>
      </c>
      <c r="AF554" s="40">
        <v>5.0599999999999996</v>
      </c>
      <c r="AG554" s="40">
        <v>94.7</v>
      </c>
      <c r="AH554" s="40">
        <v>96.3</v>
      </c>
      <c r="AI554" s="40">
        <v>96.6</v>
      </c>
      <c r="AJ554" s="40">
        <v>96.6</v>
      </c>
      <c r="AK554" s="40">
        <v>96.4</v>
      </c>
      <c r="AL554" s="40">
        <v>96</v>
      </c>
      <c r="AM554" s="40">
        <v>96.4</v>
      </c>
      <c r="AN554" s="40">
        <v>94.7</v>
      </c>
      <c r="AO554" s="40">
        <v>96.7</v>
      </c>
      <c r="AP554" s="40">
        <v>97.1</v>
      </c>
      <c r="AQ554" s="40">
        <v>97.2</v>
      </c>
      <c r="AR554" s="40">
        <v>97.1</v>
      </c>
      <c r="AS554" s="40">
        <v>96.8</v>
      </c>
      <c r="AT554" s="40">
        <v>97</v>
      </c>
      <c r="AU554" s="40">
        <v>91.1</v>
      </c>
      <c r="AV554" s="40">
        <v>96.1</v>
      </c>
      <c r="AW554" s="40">
        <v>96.7</v>
      </c>
      <c r="AX554" s="40">
        <v>96.9</v>
      </c>
      <c r="AY554" s="40">
        <v>97</v>
      </c>
      <c r="AZ554" s="40">
        <v>96.8</v>
      </c>
      <c r="BA554" s="40">
        <v>96.6</v>
      </c>
      <c r="BB554" s="174">
        <v>43313</v>
      </c>
      <c r="BC554" s="174">
        <v>43511</v>
      </c>
    </row>
    <row r="555" spans="1:55" ht="45">
      <c r="A555" s="18" t="s">
        <v>6</v>
      </c>
      <c r="B555" s="18" t="s">
        <v>715</v>
      </c>
      <c r="C555" s="23" t="s">
        <v>10</v>
      </c>
      <c r="D555" s="23" t="s">
        <v>10</v>
      </c>
      <c r="E555" s="23" t="s">
        <v>10</v>
      </c>
      <c r="F555" s="23" t="s">
        <v>11</v>
      </c>
      <c r="G555" s="18" t="s">
        <v>699</v>
      </c>
      <c r="H555" s="19">
        <v>5</v>
      </c>
      <c r="I555" s="37">
        <v>240</v>
      </c>
      <c r="J555" s="19">
        <v>97</v>
      </c>
      <c r="K555" s="21" t="s">
        <v>1219</v>
      </c>
      <c r="L555" s="49" t="s">
        <v>694</v>
      </c>
      <c r="M555" s="38" t="s">
        <v>698</v>
      </c>
      <c r="N555" s="174">
        <v>43388</v>
      </c>
      <c r="O555" s="49" t="s">
        <v>694</v>
      </c>
      <c r="P555" s="23" t="s">
        <v>17</v>
      </c>
      <c r="Q555" s="23" t="s">
        <v>17</v>
      </c>
      <c r="R555" s="151"/>
      <c r="S555" s="39" t="s">
        <v>10</v>
      </c>
      <c r="T555" s="39" t="s">
        <v>11</v>
      </c>
      <c r="U555" s="153">
        <v>5.21</v>
      </c>
      <c r="V555" s="153"/>
      <c r="W555" s="153"/>
      <c r="X555" s="153">
        <v>220</v>
      </c>
      <c r="Y555" s="153">
        <v>365</v>
      </c>
      <c r="Z555" s="153">
        <v>480</v>
      </c>
      <c r="AA555" s="40">
        <v>0.51</v>
      </c>
      <c r="AB555" s="40">
        <v>1.01</v>
      </c>
      <c r="AC555" s="40">
        <v>1.52</v>
      </c>
      <c r="AD555" s="40">
        <v>2.5299999999999998</v>
      </c>
      <c r="AE555" s="40">
        <v>3.79</v>
      </c>
      <c r="AF555" s="40">
        <v>5.05</v>
      </c>
      <c r="AG555" s="40">
        <v>93.3</v>
      </c>
      <c r="AH555" s="40">
        <v>96</v>
      </c>
      <c r="AI555" s="40">
        <v>96.5</v>
      </c>
      <c r="AJ555" s="40">
        <v>96.7</v>
      </c>
      <c r="AK555" s="40">
        <v>96.6</v>
      </c>
      <c r="AL555" s="40">
        <v>96.4</v>
      </c>
      <c r="AM555" s="40">
        <v>96.4</v>
      </c>
      <c r="AN555" s="40">
        <v>93.4</v>
      </c>
      <c r="AO555" s="40">
        <v>96.9</v>
      </c>
      <c r="AP555" s="40">
        <v>97.2</v>
      </c>
      <c r="AQ555" s="40">
        <v>97.5</v>
      </c>
      <c r="AR555" s="40">
        <v>97.4</v>
      </c>
      <c r="AS555" s="40">
        <v>97.2</v>
      </c>
      <c r="AT555" s="40">
        <v>97.2</v>
      </c>
      <c r="AU555" s="40">
        <v>91.2</v>
      </c>
      <c r="AV555" s="40">
        <v>96.2</v>
      </c>
      <c r="AW555" s="40">
        <v>96.8</v>
      </c>
      <c r="AX555" s="40">
        <v>97.2</v>
      </c>
      <c r="AY555" s="40">
        <v>97.4</v>
      </c>
      <c r="AZ555" s="40">
        <v>97.3</v>
      </c>
      <c r="BA555" s="40">
        <v>97</v>
      </c>
      <c r="BB555" s="174">
        <v>43313</v>
      </c>
      <c r="BC555" s="174">
        <v>43511</v>
      </c>
    </row>
    <row r="556" spans="1:55" ht="45">
      <c r="A556" s="186" t="s">
        <v>6</v>
      </c>
      <c r="B556" s="186" t="s">
        <v>1831</v>
      </c>
      <c r="C556" s="158" t="s">
        <v>10</v>
      </c>
      <c r="D556" s="158" t="s">
        <v>10</v>
      </c>
      <c r="E556" s="158" t="s">
        <v>10</v>
      </c>
      <c r="F556" s="158" t="s">
        <v>11</v>
      </c>
      <c r="G556" s="186" t="s">
        <v>1835</v>
      </c>
      <c r="H556" s="187">
        <v>5.05</v>
      </c>
      <c r="I556" s="159">
        <v>208</v>
      </c>
      <c r="J556" s="188">
        <v>96.5</v>
      </c>
      <c r="K556" s="160" t="s">
        <v>1219</v>
      </c>
      <c r="L556" s="160" t="s">
        <v>1836</v>
      </c>
      <c r="M556" s="158" t="s">
        <v>1534</v>
      </c>
      <c r="N556" s="160">
        <v>43801</v>
      </c>
      <c r="O556" s="160" t="s">
        <v>1836</v>
      </c>
      <c r="P556" s="160" t="s">
        <v>17</v>
      </c>
      <c r="Q556" s="160" t="s">
        <v>17</v>
      </c>
      <c r="R556" s="189"/>
      <c r="S556" s="161" t="s">
        <v>10</v>
      </c>
      <c r="T556" s="161" t="s">
        <v>11</v>
      </c>
      <c r="U556" s="162">
        <v>5.0599999999999996</v>
      </c>
      <c r="V556" s="184"/>
      <c r="W556" s="184"/>
      <c r="X556" s="163">
        <v>220</v>
      </c>
      <c r="Y556" s="163">
        <v>365</v>
      </c>
      <c r="Z556" s="163">
        <v>480</v>
      </c>
      <c r="AA556" s="162">
        <v>0.50498600000000005</v>
      </c>
      <c r="AB556" s="162">
        <v>1.0099720000000001</v>
      </c>
      <c r="AC556" s="162">
        <v>1.5149579999999998</v>
      </c>
      <c r="AD556" s="162">
        <v>2.5249299999999999</v>
      </c>
      <c r="AE556" s="162">
        <v>3.7873950000000001</v>
      </c>
      <c r="AF556" s="162">
        <v>5.0498599999999998</v>
      </c>
      <c r="AG556" s="164">
        <v>94.694272992012344</v>
      </c>
      <c r="AH556" s="164">
        <v>96.306403894962799</v>
      </c>
      <c r="AI556" s="164">
        <v>96.556182180436878</v>
      </c>
      <c r="AJ556" s="164">
        <v>96.629139843854105</v>
      </c>
      <c r="AK556" s="164">
        <v>96.44590174223292</v>
      </c>
      <c r="AL556" s="164">
        <v>96.027414369447271</v>
      </c>
      <c r="AM556" s="164">
        <v>96.399650985146238</v>
      </c>
      <c r="AN556" s="164">
        <v>94.725365105158701</v>
      </c>
      <c r="AO556" s="164">
        <v>96.717172960691215</v>
      </c>
      <c r="AP556" s="164">
        <v>97.077107314242554</v>
      </c>
      <c r="AQ556" s="164">
        <v>97.228895227184736</v>
      </c>
      <c r="AR556" s="164">
        <v>97.08430393019087</v>
      </c>
      <c r="AS556" s="164">
        <v>96.774699425955944</v>
      </c>
      <c r="AT556" s="164">
        <v>96.985610181957767</v>
      </c>
      <c r="AU556" s="164">
        <v>91.103239690370032</v>
      </c>
      <c r="AV556" s="164">
        <v>96.149008524443119</v>
      </c>
      <c r="AW556" s="164">
        <v>96.662506014160243</v>
      </c>
      <c r="AX556" s="164">
        <v>96.911977315709606</v>
      </c>
      <c r="AY556" s="164">
        <v>96.961821692191009</v>
      </c>
      <c r="AZ556" s="164">
        <v>96.796678429119126</v>
      </c>
      <c r="BA556" s="164">
        <v>96.632195390152404</v>
      </c>
      <c r="BB556" s="176">
        <v>43801</v>
      </c>
      <c r="BC556" s="181"/>
    </row>
    <row r="557" spans="1:55" ht="45">
      <c r="A557" s="186" t="s">
        <v>6</v>
      </c>
      <c r="B557" s="186" t="s">
        <v>1832</v>
      </c>
      <c r="C557" s="158" t="s">
        <v>10</v>
      </c>
      <c r="D557" s="158" t="s">
        <v>10</v>
      </c>
      <c r="E557" s="158" t="s">
        <v>10</v>
      </c>
      <c r="F557" s="158" t="s">
        <v>11</v>
      </c>
      <c r="G557" s="186" t="s">
        <v>1837</v>
      </c>
      <c r="H557" s="187">
        <v>5.0590000000000002</v>
      </c>
      <c r="I557" s="159">
        <v>240</v>
      </c>
      <c r="J557" s="188">
        <v>97</v>
      </c>
      <c r="K557" s="160" t="s">
        <v>1219</v>
      </c>
      <c r="L557" s="160" t="s">
        <v>1836</v>
      </c>
      <c r="M557" s="158" t="s">
        <v>1534</v>
      </c>
      <c r="N557" s="160">
        <v>43802</v>
      </c>
      <c r="O557" s="160" t="s">
        <v>1836</v>
      </c>
      <c r="P557" s="160" t="s">
        <v>17</v>
      </c>
      <c r="Q557" s="160" t="s">
        <v>17</v>
      </c>
      <c r="R557" s="189"/>
      <c r="S557" s="161" t="s">
        <v>10</v>
      </c>
      <c r="T557" s="161" t="s">
        <v>11</v>
      </c>
      <c r="U557" s="162">
        <v>5.21</v>
      </c>
      <c r="V557" s="184"/>
      <c r="W557" s="184"/>
      <c r="X557" s="163">
        <v>220</v>
      </c>
      <c r="Y557" s="163">
        <v>365</v>
      </c>
      <c r="Z557" s="163">
        <v>480</v>
      </c>
      <c r="AA557" s="162">
        <v>0.50586199999999992</v>
      </c>
      <c r="AB557" s="162">
        <v>1.0117239999999998</v>
      </c>
      <c r="AC557" s="162">
        <v>1.5175859999999999</v>
      </c>
      <c r="AD557" s="162">
        <v>2.5293099999999997</v>
      </c>
      <c r="AE557" s="162">
        <v>3.7939649999999996</v>
      </c>
      <c r="AF557" s="162">
        <v>5.0586199999999995</v>
      </c>
      <c r="AG557" s="164">
        <v>93.349375774640279</v>
      </c>
      <c r="AH557" s="164">
        <v>96.030817694837552</v>
      </c>
      <c r="AI557" s="164">
        <v>96.455855161268317</v>
      </c>
      <c r="AJ557" s="164">
        <v>96.661398786463593</v>
      </c>
      <c r="AK557" s="164">
        <v>96.609935752767456</v>
      </c>
      <c r="AL557" s="164">
        <v>96.367771492351665</v>
      </c>
      <c r="AM557" s="164">
        <v>96.430766803821371</v>
      </c>
      <c r="AN557" s="164">
        <v>93.440541083059287</v>
      </c>
      <c r="AO557" s="164">
        <v>96.858532303920839</v>
      </c>
      <c r="AP557" s="164">
        <v>97.231850325066787</v>
      </c>
      <c r="AQ557" s="164">
        <v>97.509783560576238</v>
      </c>
      <c r="AR557" s="164">
        <v>97.412867067403496</v>
      </c>
      <c r="AS557" s="164">
        <v>97.223708474662473</v>
      </c>
      <c r="AT557" s="164">
        <v>97.215429814704422</v>
      </c>
      <c r="AU557" s="164">
        <v>91.209970914504268</v>
      </c>
      <c r="AV557" s="164">
        <v>96.180352319821424</v>
      </c>
      <c r="AW557" s="164">
        <v>96.805422495274655</v>
      </c>
      <c r="AX557" s="164">
        <v>97.206750237719334</v>
      </c>
      <c r="AY557" s="164">
        <v>97.372804907658036</v>
      </c>
      <c r="AZ557" s="164">
        <v>97.269999282994903</v>
      </c>
      <c r="BA557" s="164">
        <v>96.958571267133777</v>
      </c>
      <c r="BB557" s="176">
        <v>43801</v>
      </c>
      <c r="BC557" s="181"/>
    </row>
    <row r="558" spans="1:55" ht="45">
      <c r="A558" s="18" t="s">
        <v>6</v>
      </c>
      <c r="B558" s="18" t="s">
        <v>386</v>
      </c>
      <c r="C558" s="39" t="s">
        <v>10</v>
      </c>
      <c r="D558" s="39" t="s">
        <v>10</v>
      </c>
      <c r="E558" s="23" t="s">
        <v>10</v>
      </c>
      <c r="F558" s="23" t="s">
        <v>11</v>
      </c>
      <c r="G558" s="18" t="s">
        <v>149</v>
      </c>
      <c r="H558" s="19">
        <v>5.49</v>
      </c>
      <c r="I558" s="19">
        <v>208</v>
      </c>
      <c r="J558" s="19">
        <v>96.5</v>
      </c>
      <c r="K558" s="21" t="s">
        <v>1219</v>
      </c>
      <c r="L558" s="49" t="s">
        <v>460</v>
      </c>
      <c r="M558" s="21" t="s">
        <v>461</v>
      </c>
      <c r="N558" s="174">
        <v>43388</v>
      </c>
      <c r="O558" s="49" t="s">
        <v>460</v>
      </c>
      <c r="P558" s="23" t="s">
        <v>17</v>
      </c>
      <c r="Q558" s="23" t="s">
        <v>17</v>
      </c>
      <c r="R558" s="150"/>
      <c r="S558" s="20" t="s">
        <v>10</v>
      </c>
      <c r="T558" s="20" t="s">
        <v>11</v>
      </c>
      <c r="U558" s="19">
        <v>5.0599999999999996</v>
      </c>
      <c r="V558" s="19"/>
      <c r="W558" s="19"/>
      <c r="X558" s="19">
        <v>220</v>
      </c>
      <c r="Y558" s="19">
        <v>365</v>
      </c>
      <c r="Z558" s="19">
        <v>480</v>
      </c>
      <c r="AA558" s="40">
        <v>0.55000000000000004</v>
      </c>
      <c r="AB558" s="40">
        <v>1.1000000000000001</v>
      </c>
      <c r="AC558" s="40">
        <v>1.65</v>
      </c>
      <c r="AD558" s="40">
        <v>2.75</v>
      </c>
      <c r="AE558" s="40">
        <v>4.12</v>
      </c>
      <c r="AF558" s="40">
        <v>5.49</v>
      </c>
      <c r="AG558" s="40">
        <v>94.8</v>
      </c>
      <c r="AH558" s="40">
        <v>96.3</v>
      </c>
      <c r="AI558" s="40">
        <v>96.6</v>
      </c>
      <c r="AJ558" s="40">
        <v>96.6</v>
      </c>
      <c r="AK558" s="40">
        <v>96.4</v>
      </c>
      <c r="AL558" s="40">
        <v>96</v>
      </c>
      <c r="AM558" s="40">
        <v>96.4</v>
      </c>
      <c r="AN558" s="40">
        <v>94.8</v>
      </c>
      <c r="AO558" s="40">
        <v>96.7</v>
      </c>
      <c r="AP558" s="40">
        <v>97.1</v>
      </c>
      <c r="AQ558" s="40">
        <v>97.2</v>
      </c>
      <c r="AR558" s="40">
        <v>97.1</v>
      </c>
      <c r="AS558" s="40">
        <v>96.8</v>
      </c>
      <c r="AT558" s="40">
        <v>97</v>
      </c>
      <c r="AU558" s="40">
        <v>91.7</v>
      </c>
      <c r="AV558" s="40">
        <v>96.2</v>
      </c>
      <c r="AW558" s="40">
        <v>96.7</v>
      </c>
      <c r="AX558" s="40">
        <v>96.8</v>
      </c>
      <c r="AY558" s="40">
        <v>97</v>
      </c>
      <c r="AZ558" s="40">
        <v>96.8</v>
      </c>
      <c r="BA558" s="40">
        <v>96.6</v>
      </c>
      <c r="BB558" s="174">
        <v>43313</v>
      </c>
      <c r="BC558" s="174">
        <v>43511</v>
      </c>
    </row>
    <row r="559" spans="1:55" ht="45">
      <c r="A559" s="18" t="s">
        <v>6</v>
      </c>
      <c r="B559" s="18" t="s">
        <v>387</v>
      </c>
      <c r="C559" s="39" t="s">
        <v>10</v>
      </c>
      <c r="D559" s="39" t="s">
        <v>10</v>
      </c>
      <c r="E559" s="23" t="s">
        <v>10</v>
      </c>
      <c r="F559" s="23" t="s">
        <v>11</v>
      </c>
      <c r="G559" s="18" t="s">
        <v>150</v>
      </c>
      <c r="H559" s="19">
        <v>6</v>
      </c>
      <c r="I559" s="19">
        <v>240</v>
      </c>
      <c r="J559" s="19">
        <v>97</v>
      </c>
      <c r="K559" s="21" t="s">
        <v>1219</v>
      </c>
      <c r="L559" s="49" t="s">
        <v>460</v>
      </c>
      <c r="M559" s="21" t="s">
        <v>461</v>
      </c>
      <c r="N559" s="174">
        <v>43388</v>
      </c>
      <c r="O559" s="49" t="s">
        <v>460</v>
      </c>
      <c r="P559" s="23" t="s">
        <v>17</v>
      </c>
      <c r="Q559" s="23" t="s">
        <v>17</v>
      </c>
      <c r="R559" s="150"/>
      <c r="S559" s="20" t="s">
        <v>10</v>
      </c>
      <c r="T559" s="20" t="s">
        <v>11</v>
      </c>
      <c r="U559" s="19">
        <v>5.21</v>
      </c>
      <c r="V559" s="19"/>
      <c r="W559" s="19"/>
      <c r="X559" s="19">
        <v>220</v>
      </c>
      <c r="Y559" s="19">
        <v>365</v>
      </c>
      <c r="Z559" s="19">
        <v>480</v>
      </c>
      <c r="AA559" s="40">
        <v>0.61</v>
      </c>
      <c r="AB559" s="40">
        <v>1.21</v>
      </c>
      <c r="AC559" s="40">
        <v>1.82</v>
      </c>
      <c r="AD559" s="40">
        <v>3.03</v>
      </c>
      <c r="AE559" s="40">
        <v>4.54</v>
      </c>
      <c r="AF559" s="40">
        <v>6.05</v>
      </c>
      <c r="AG559" s="40">
        <v>94.7</v>
      </c>
      <c r="AH559" s="40">
        <v>96.3</v>
      </c>
      <c r="AI559" s="40">
        <v>96.6</v>
      </c>
      <c r="AJ559" s="40">
        <v>96.6</v>
      </c>
      <c r="AK559" s="40">
        <v>96.5</v>
      </c>
      <c r="AL559" s="40">
        <v>96.1</v>
      </c>
      <c r="AM559" s="40">
        <v>96.4</v>
      </c>
      <c r="AN559" s="40">
        <v>95.4</v>
      </c>
      <c r="AO559" s="40">
        <v>97.1</v>
      </c>
      <c r="AP559" s="40">
        <v>97.4</v>
      </c>
      <c r="AQ559" s="40">
        <v>97.6</v>
      </c>
      <c r="AR559" s="40">
        <v>97.3</v>
      </c>
      <c r="AS559" s="40">
        <v>97</v>
      </c>
      <c r="AT559" s="40">
        <v>97.3</v>
      </c>
      <c r="AU559" s="40">
        <v>93.4</v>
      </c>
      <c r="AV559" s="40">
        <v>96.5</v>
      </c>
      <c r="AW559" s="40">
        <v>97</v>
      </c>
      <c r="AX559" s="40">
        <v>97.3</v>
      </c>
      <c r="AY559" s="40">
        <v>97.3</v>
      </c>
      <c r="AZ559" s="40">
        <v>97</v>
      </c>
      <c r="BA559" s="40">
        <v>97.1</v>
      </c>
      <c r="BB559" s="174">
        <v>43313</v>
      </c>
      <c r="BC559" s="174">
        <v>43511</v>
      </c>
    </row>
    <row r="560" spans="1:55" ht="45">
      <c r="A560" s="18" t="s">
        <v>6</v>
      </c>
      <c r="B560" s="18" t="s">
        <v>1594</v>
      </c>
      <c r="C560" s="23" t="s">
        <v>10</v>
      </c>
      <c r="D560" s="23" t="s">
        <v>10</v>
      </c>
      <c r="E560" s="23" t="s">
        <v>10</v>
      </c>
      <c r="F560" s="23" t="s">
        <v>11</v>
      </c>
      <c r="G560" s="18" t="s">
        <v>1540</v>
      </c>
      <c r="H560" s="19">
        <v>5.4180000000000001</v>
      </c>
      <c r="I560" s="37">
        <v>208</v>
      </c>
      <c r="J560" s="19">
        <v>96.5</v>
      </c>
      <c r="K560" s="20" t="s">
        <v>1219</v>
      </c>
      <c r="L560" s="49" t="s">
        <v>1533</v>
      </c>
      <c r="M560" s="38" t="s">
        <v>1534</v>
      </c>
      <c r="N560" s="174">
        <v>43586</v>
      </c>
      <c r="O560" s="38" t="s">
        <v>1533</v>
      </c>
      <c r="P560" s="38" t="s">
        <v>17</v>
      </c>
      <c r="Q560" s="38" t="s">
        <v>17</v>
      </c>
      <c r="R560" s="151"/>
      <c r="S560" s="39" t="s">
        <v>10</v>
      </c>
      <c r="T560" s="39" t="s">
        <v>11</v>
      </c>
      <c r="U560" s="172">
        <v>5.0599999999999996</v>
      </c>
      <c r="V560" s="153"/>
      <c r="W560" s="153"/>
      <c r="X560" s="153">
        <v>220</v>
      </c>
      <c r="Y560" s="153">
        <v>365</v>
      </c>
      <c r="Z560" s="153">
        <v>480</v>
      </c>
      <c r="AA560" s="40">
        <v>0.54176800000000014</v>
      </c>
      <c r="AB560" s="40">
        <v>1.0835360000000003</v>
      </c>
      <c r="AC560" s="40">
        <v>1.6253040000000001</v>
      </c>
      <c r="AD560" s="40">
        <v>2.7088400000000004</v>
      </c>
      <c r="AE560" s="40">
        <v>4.0632600000000005</v>
      </c>
      <c r="AF560" s="40">
        <v>5.4176800000000007</v>
      </c>
      <c r="AG560" s="40">
        <v>94.809785653264569</v>
      </c>
      <c r="AH560" s="40">
        <v>96.322258336085312</v>
      </c>
      <c r="AI560" s="40">
        <v>96.566858060182724</v>
      </c>
      <c r="AJ560" s="40">
        <v>96.626969769322528</v>
      </c>
      <c r="AK560" s="40">
        <v>96.429938786409096</v>
      </c>
      <c r="AL560" s="40">
        <v>95.983671323823444</v>
      </c>
      <c r="AM560" s="40">
        <v>96.395242084702517</v>
      </c>
      <c r="AN560" s="40">
        <v>94.849899506675314</v>
      </c>
      <c r="AO560" s="40">
        <v>96.738054188958984</v>
      </c>
      <c r="AP560" s="40">
        <v>97.078146760479299</v>
      </c>
      <c r="AQ560" s="40">
        <v>97.231394965494019</v>
      </c>
      <c r="AR560" s="40">
        <v>97.069841848811478</v>
      </c>
      <c r="AS560" s="40">
        <v>96.774699425955944</v>
      </c>
      <c r="AT560" s="40">
        <v>96.984620394894094</v>
      </c>
      <c r="AU560" s="40">
        <v>91.746339082208735</v>
      </c>
      <c r="AV560" s="40">
        <v>96.180602697708323</v>
      </c>
      <c r="AW560" s="40">
        <v>96.677547108416007</v>
      </c>
      <c r="AX560" s="40">
        <v>96.845313882502666</v>
      </c>
      <c r="AY560" s="40">
        <v>96.961821692191009</v>
      </c>
      <c r="AZ560" s="40">
        <v>96.786025600250284</v>
      </c>
      <c r="BA560" s="40">
        <v>96.646772043382995</v>
      </c>
      <c r="BB560" s="178">
        <v>43586</v>
      </c>
      <c r="BC560" s="178"/>
    </row>
    <row r="561" spans="1:55" ht="45">
      <c r="A561" s="18" t="s">
        <v>6</v>
      </c>
      <c r="B561" s="18" t="s">
        <v>1595</v>
      </c>
      <c r="C561" s="23" t="s">
        <v>10</v>
      </c>
      <c r="D561" s="23" t="s">
        <v>10</v>
      </c>
      <c r="E561" s="23" t="s">
        <v>10</v>
      </c>
      <c r="F561" s="23" t="s">
        <v>11</v>
      </c>
      <c r="G561" s="18" t="s">
        <v>1541</v>
      </c>
      <c r="H561" s="19">
        <v>6.0519999999999996</v>
      </c>
      <c r="I561" s="37">
        <v>240</v>
      </c>
      <c r="J561" s="19">
        <v>97</v>
      </c>
      <c r="K561" s="20" t="s">
        <v>1219</v>
      </c>
      <c r="L561" s="49" t="s">
        <v>1533</v>
      </c>
      <c r="M561" s="38" t="s">
        <v>1534</v>
      </c>
      <c r="N561" s="174">
        <v>43586</v>
      </c>
      <c r="O561" s="38" t="s">
        <v>1533</v>
      </c>
      <c r="P561" s="38" t="s">
        <v>17</v>
      </c>
      <c r="Q561" s="38" t="s">
        <v>17</v>
      </c>
      <c r="R561" s="151"/>
      <c r="S561" s="39" t="s">
        <v>10</v>
      </c>
      <c r="T561" s="39" t="s">
        <v>11</v>
      </c>
      <c r="U561" s="172">
        <v>5.21</v>
      </c>
      <c r="V561" s="153"/>
      <c r="W561" s="153"/>
      <c r="X561" s="153">
        <v>220</v>
      </c>
      <c r="Y561" s="153">
        <v>365</v>
      </c>
      <c r="Z561" s="153">
        <v>480</v>
      </c>
      <c r="AA561" s="40">
        <v>0.605182</v>
      </c>
      <c r="AB561" s="40">
        <v>1.210364</v>
      </c>
      <c r="AC561" s="40">
        <v>1.8155459999999997</v>
      </c>
      <c r="AD561" s="40">
        <v>3.0259099999999997</v>
      </c>
      <c r="AE561" s="40">
        <v>4.5388649999999995</v>
      </c>
      <c r="AF561" s="40">
        <v>6.0518199999999993</v>
      </c>
      <c r="AG561" s="40">
        <v>94.6791908353769</v>
      </c>
      <c r="AH561" s="40">
        <v>96.306516766455701</v>
      </c>
      <c r="AI561" s="40">
        <v>96.615724425449216</v>
      </c>
      <c r="AJ561" s="40">
        <v>96.64893623477505</v>
      </c>
      <c r="AK561" s="40">
        <v>96.481015988001374</v>
      </c>
      <c r="AL561" s="40">
        <v>96.136953754864592</v>
      </c>
      <c r="AM561" s="40">
        <v>96.434443173478485</v>
      </c>
      <c r="AN561" s="40">
        <v>95.437370066511718</v>
      </c>
      <c r="AO561" s="40">
        <v>97.102062854061003</v>
      </c>
      <c r="AP561" s="40">
        <v>97.373562246268847</v>
      </c>
      <c r="AQ561" s="40">
        <v>97.564254334671404</v>
      </c>
      <c r="AR561" s="40">
        <v>97.312392575465111</v>
      </c>
      <c r="AS561" s="40">
        <v>97.013503803749401</v>
      </c>
      <c r="AT561" s="40">
        <v>97.272162080380753</v>
      </c>
      <c r="AU561" s="40">
        <v>93.374252341727399</v>
      </c>
      <c r="AV561" s="40">
        <v>96.545059881476405</v>
      </c>
      <c r="AW561" s="40">
        <v>97.014720357719824</v>
      </c>
      <c r="AX561" s="40">
        <v>97.323605866096713</v>
      </c>
      <c r="AY561" s="40">
        <v>97.282084860615043</v>
      </c>
      <c r="AZ561" s="40">
        <v>97.012916898036025</v>
      </c>
      <c r="BA561" s="40">
        <v>97.052097583577392</v>
      </c>
      <c r="BB561" s="178">
        <v>43586</v>
      </c>
      <c r="BC561" s="178"/>
    </row>
    <row r="562" spans="1:55" ht="45">
      <c r="A562" s="18" t="s">
        <v>6</v>
      </c>
      <c r="B562" s="18" t="s">
        <v>717</v>
      </c>
      <c r="C562" s="23" t="s">
        <v>10</v>
      </c>
      <c r="D562" s="23" t="s">
        <v>10</v>
      </c>
      <c r="E562" s="23" t="s">
        <v>10</v>
      </c>
      <c r="F562" s="23" t="s">
        <v>11</v>
      </c>
      <c r="G562" s="18" t="s">
        <v>701</v>
      </c>
      <c r="H562" s="19">
        <v>5.49</v>
      </c>
      <c r="I562" s="37">
        <v>208</v>
      </c>
      <c r="J562" s="19">
        <v>96.5</v>
      </c>
      <c r="K562" s="21" t="s">
        <v>1219</v>
      </c>
      <c r="L562" s="49" t="s">
        <v>694</v>
      </c>
      <c r="M562" s="38" t="s">
        <v>698</v>
      </c>
      <c r="N562" s="174">
        <v>43388</v>
      </c>
      <c r="O562" s="49" t="s">
        <v>694</v>
      </c>
      <c r="P562" s="23" t="s">
        <v>17</v>
      </c>
      <c r="Q562" s="23" t="s">
        <v>17</v>
      </c>
      <c r="R562" s="151"/>
      <c r="S562" s="39" t="s">
        <v>10</v>
      </c>
      <c r="T562" s="39" t="s">
        <v>11</v>
      </c>
      <c r="U562" s="153">
        <v>5.0599999999999996</v>
      </c>
      <c r="V562" s="153"/>
      <c r="W562" s="153"/>
      <c r="X562" s="153">
        <v>220</v>
      </c>
      <c r="Y562" s="153">
        <v>365</v>
      </c>
      <c r="Z562" s="153">
        <v>480</v>
      </c>
      <c r="AA562" s="40">
        <v>0.55000000000000004</v>
      </c>
      <c r="AB562" s="40">
        <v>1.1000000000000001</v>
      </c>
      <c r="AC562" s="40">
        <v>1.65</v>
      </c>
      <c r="AD562" s="40">
        <v>2.75</v>
      </c>
      <c r="AE562" s="40">
        <v>4.12</v>
      </c>
      <c r="AF562" s="40">
        <v>5.49</v>
      </c>
      <c r="AG562" s="40">
        <v>94.8</v>
      </c>
      <c r="AH562" s="40">
        <v>96.3</v>
      </c>
      <c r="AI562" s="40">
        <v>96.6</v>
      </c>
      <c r="AJ562" s="40">
        <v>96.6</v>
      </c>
      <c r="AK562" s="40">
        <v>96.4</v>
      </c>
      <c r="AL562" s="40">
        <v>96</v>
      </c>
      <c r="AM562" s="40">
        <v>96.4</v>
      </c>
      <c r="AN562" s="40">
        <v>94.8</v>
      </c>
      <c r="AO562" s="40">
        <v>96.7</v>
      </c>
      <c r="AP562" s="40">
        <v>97.1</v>
      </c>
      <c r="AQ562" s="40">
        <v>97.2</v>
      </c>
      <c r="AR562" s="40">
        <v>97.1</v>
      </c>
      <c r="AS562" s="40">
        <v>96.8</v>
      </c>
      <c r="AT562" s="40">
        <v>97</v>
      </c>
      <c r="AU562" s="40">
        <v>91.7</v>
      </c>
      <c r="AV562" s="40">
        <v>96.2</v>
      </c>
      <c r="AW562" s="40">
        <v>96.7</v>
      </c>
      <c r="AX562" s="40">
        <v>96.8</v>
      </c>
      <c r="AY562" s="40">
        <v>97</v>
      </c>
      <c r="AZ562" s="40">
        <v>96.8</v>
      </c>
      <c r="BA562" s="40">
        <v>96.6</v>
      </c>
      <c r="BB562" s="174">
        <v>43313</v>
      </c>
      <c r="BC562" s="174">
        <v>43511</v>
      </c>
    </row>
    <row r="563" spans="1:55" ht="45">
      <c r="A563" s="18" t="s">
        <v>6</v>
      </c>
      <c r="B563" s="18" t="s">
        <v>718</v>
      </c>
      <c r="C563" s="23" t="s">
        <v>10</v>
      </c>
      <c r="D563" s="23" t="s">
        <v>10</v>
      </c>
      <c r="E563" s="23" t="s">
        <v>10</v>
      </c>
      <c r="F563" s="23" t="s">
        <v>11</v>
      </c>
      <c r="G563" s="18" t="s">
        <v>702</v>
      </c>
      <c r="H563" s="19">
        <v>6</v>
      </c>
      <c r="I563" s="37">
        <v>240</v>
      </c>
      <c r="J563" s="19">
        <v>97</v>
      </c>
      <c r="K563" s="21" t="s">
        <v>1219</v>
      </c>
      <c r="L563" s="49" t="s">
        <v>694</v>
      </c>
      <c r="M563" s="38" t="s">
        <v>698</v>
      </c>
      <c r="N563" s="174">
        <v>43388</v>
      </c>
      <c r="O563" s="49" t="s">
        <v>694</v>
      </c>
      <c r="P563" s="23" t="s">
        <v>17</v>
      </c>
      <c r="Q563" s="23" t="s">
        <v>17</v>
      </c>
      <c r="R563" s="151"/>
      <c r="S563" s="39" t="s">
        <v>10</v>
      </c>
      <c r="T563" s="39" t="s">
        <v>11</v>
      </c>
      <c r="U563" s="153">
        <v>5.21</v>
      </c>
      <c r="V563" s="153"/>
      <c r="W563" s="153"/>
      <c r="X563" s="153">
        <v>220</v>
      </c>
      <c r="Y563" s="153">
        <v>365</v>
      </c>
      <c r="Z563" s="153">
        <v>480</v>
      </c>
      <c r="AA563" s="40">
        <v>0.61</v>
      </c>
      <c r="AB563" s="40">
        <v>1.21</v>
      </c>
      <c r="AC563" s="40">
        <v>1.82</v>
      </c>
      <c r="AD563" s="40">
        <v>3.03</v>
      </c>
      <c r="AE563" s="40">
        <v>4.54</v>
      </c>
      <c r="AF563" s="40">
        <v>6.05</v>
      </c>
      <c r="AG563" s="40">
        <v>94.7</v>
      </c>
      <c r="AH563" s="40">
        <v>96.3</v>
      </c>
      <c r="AI563" s="40">
        <v>96.6</v>
      </c>
      <c r="AJ563" s="40">
        <v>96.6</v>
      </c>
      <c r="AK563" s="40">
        <v>96.5</v>
      </c>
      <c r="AL563" s="40">
        <v>96.1</v>
      </c>
      <c r="AM563" s="40">
        <v>96.4</v>
      </c>
      <c r="AN563" s="40">
        <v>95.4</v>
      </c>
      <c r="AO563" s="40">
        <v>97.1</v>
      </c>
      <c r="AP563" s="40">
        <v>97.4</v>
      </c>
      <c r="AQ563" s="40">
        <v>97.6</v>
      </c>
      <c r="AR563" s="40">
        <v>97.3</v>
      </c>
      <c r="AS563" s="40">
        <v>97</v>
      </c>
      <c r="AT563" s="40">
        <v>97.3</v>
      </c>
      <c r="AU563" s="40">
        <v>93.4</v>
      </c>
      <c r="AV563" s="40">
        <v>96.5</v>
      </c>
      <c r="AW563" s="40">
        <v>97</v>
      </c>
      <c r="AX563" s="40">
        <v>97.3</v>
      </c>
      <c r="AY563" s="40">
        <v>97.3</v>
      </c>
      <c r="AZ563" s="40">
        <v>97</v>
      </c>
      <c r="BA563" s="40">
        <v>97.1</v>
      </c>
      <c r="BB563" s="174">
        <v>43313</v>
      </c>
      <c r="BC563" s="174">
        <v>43511</v>
      </c>
    </row>
    <row r="564" spans="1:55" ht="45">
      <c r="A564" s="186" t="s">
        <v>6</v>
      </c>
      <c r="B564" s="186" t="s">
        <v>1833</v>
      </c>
      <c r="C564" s="158" t="s">
        <v>10</v>
      </c>
      <c r="D564" s="158" t="s">
        <v>10</v>
      </c>
      <c r="E564" s="158" t="s">
        <v>10</v>
      </c>
      <c r="F564" s="158" t="s">
        <v>11</v>
      </c>
      <c r="G564" s="186" t="s">
        <v>1838</v>
      </c>
      <c r="H564" s="187">
        <v>5.4180000000000001</v>
      </c>
      <c r="I564" s="159">
        <v>208</v>
      </c>
      <c r="J564" s="188">
        <v>96.5</v>
      </c>
      <c r="K564" s="160" t="s">
        <v>1219</v>
      </c>
      <c r="L564" s="160" t="s">
        <v>1836</v>
      </c>
      <c r="M564" s="158" t="s">
        <v>1534</v>
      </c>
      <c r="N564" s="160">
        <v>43803</v>
      </c>
      <c r="O564" s="160" t="s">
        <v>1836</v>
      </c>
      <c r="P564" s="160" t="s">
        <v>17</v>
      </c>
      <c r="Q564" s="160" t="s">
        <v>17</v>
      </c>
      <c r="R564" s="189"/>
      <c r="S564" s="161" t="s">
        <v>10</v>
      </c>
      <c r="T564" s="161" t="s">
        <v>11</v>
      </c>
      <c r="U564" s="162">
        <v>5.0599999999999996</v>
      </c>
      <c r="V564" s="184"/>
      <c r="W564" s="184"/>
      <c r="X564" s="163">
        <v>220</v>
      </c>
      <c r="Y564" s="163">
        <v>365</v>
      </c>
      <c r="Z564" s="163">
        <v>480</v>
      </c>
      <c r="AA564" s="162">
        <v>0.54176800000000014</v>
      </c>
      <c r="AB564" s="162">
        <v>1.0835360000000003</v>
      </c>
      <c r="AC564" s="162">
        <v>1.6253040000000001</v>
      </c>
      <c r="AD564" s="162">
        <v>2.7088400000000004</v>
      </c>
      <c r="AE564" s="162">
        <v>4.0632600000000005</v>
      </c>
      <c r="AF564" s="162">
        <v>5.4176800000000007</v>
      </c>
      <c r="AG564" s="164">
        <v>94.809785653264569</v>
      </c>
      <c r="AH564" s="164">
        <v>96.322258336085312</v>
      </c>
      <c r="AI564" s="164">
        <v>96.566858060182724</v>
      </c>
      <c r="AJ564" s="164">
        <v>96.626969769322528</v>
      </c>
      <c r="AK564" s="164">
        <v>96.429938786409096</v>
      </c>
      <c r="AL564" s="164">
        <v>95.983671323823444</v>
      </c>
      <c r="AM564" s="164">
        <v>96.395242084702517</v>
      </c>
      <c r="AN564" s="164">
        <v>94.849899506675314</v>
      </c>
      <c r="AO564" s="164">
        <v>96.738054188958984</v>
      </c>
      <c r="AP564" s="164">
        <v>97.078146760479299</v>
      </c>
      <c r="AQ564" s="164">
        <v>97.231394965494019</v>
      </c>
      <c r="AR564" s="164">
        <v>97.069841848811478</v>
      </c>
      <c r="AS564" s="164">
        <v>96.774699425955944</v>
      </c>
      <c r="AT564" s="164">
        <v>96.984620394894094</v>
      </c>
      <c r="AU564" s="164">
        <v>91.746339082208735</v>
      </c>
      <c r="AV564" s="164">
        <v>96.180602697708323</v>
      </c>
      <c r="AW564" s="164">
        <v>96.677547108416007</v>
      </c>
      <c r="AX564" s="164">
        <v>96.845313882502666</v>
      </c>
      <c r="AY564" s="164">
        <v>96.961821692191009</v>
      </c>
      <c r="AZ564" s="164">
        <v>96.786025600250284</v>
      </c>
      <c r="BA564" s="164">
        <v>96.646772043382995</v>
      </c>
      <c r="BB564" s="176">
        <v>43801</v>
      </c>
      <c r="BC564" s="181"/>
    </row>
    <row r="565" spans="1:55" ht="45">
      <c r="A565" s="186" t="s">
        <v>6</v>
      </c>
      <c r="B565" s="186" t="s">
        <v>1834</v>
      </c>
      <c r="C565" s="158" t="s">
        <v>10</v>
      </c>
      <c r="D565" s="158" t="s">
        <v>10</v>
      </c>
      <c r="E565" s="158" t="s">
        <v>10</v>
      </c>
      <c r="F565" s="158" t="s">
        <v>11</v>
      </c>
      <c r="G565" s="186" t="s">
        <v>1839</v>
      </c>
      <c r="H565" s="187">
        <v>6.0519999999999996</v>
      </c>
      <c r="I565" s="159">
        <v>240</v>
      </c>
      <c r="J565" s="188">
        <v>97</v>
      </c>
      <c r="K565" s="160" t="s">
        <v>1219</v>
      </c>
      <c r="L565" s="160" t="s">
        <v>1836</v>
      </c>
      <c r="M565" s="158" t="s">
        <v>1534</v>
      </c>
      <c r="N565" s="160">
        <v>43804</v>
      </c>
      <c r="O565" s="160" t="s">
        <v>1836</v>
      </c>
      <c r="P565" s="160" t="s">
        <v>17</v>
      </c>
      <c r="Q565" s="160" t="s">
        <v>17</v>
      </c>
      <c r="R565" s="189"/>
      <c r="S565" s="161" t="s">
        <v>10</v>
      </c>
      <c r="T565" s="161" t="s">
        <v>11</v>
      </c>
      <c r="U565" s="162">
        <v>5.21</v>
      </c>
      <c r="V565" s="184"/>
      <c r="W565" s="184"/>
      <c r="X565" s="163">
        <v>220</v>
      </c>
      <c r="Y565" s="163">
        <v>365</v>
      </c>
      <c r="Z565" s="163">
        <v>480</v>
      </c>
      <c r="AA565" s="162">
        <v>0.605182</v>
      </c>
      <c r="AB565" s="162">
        <v>1.210364</v>
      </c>
      <c r="AC565" s="162">
        <v>1.8155459999999997</v>
      </c>
      <c r="AD565" s="162">
        <v>3.0259099999999997</v>
      </c>
      <c r="AE565" s="162">
        <v>4.5388649999999995</v>
      </c>
      <c r="AF565" s="162">
        <v>6.0518199999999993</v>
      </c>
      <c r="AG565" s="164">
        <v>94.6791908353769</v>
      </c>
      <c r="AH565" s="164">
        <v>96.306516766455701</v>
      </c>
      <c r="AI565" s="164">
        <v>96.615724425449216</v>
      </c>
      <c r="AJ565" s="164">
        <v>96.64893623477505</v>
      </c>
      <c r="AK565" s="164">
        <v>96.481015988001374</v>
      </c>
      <c r="AL565" s="164">
        <v>96.136953754864592</v>
      </c>
      <c r="AM565" s="164">
        <v>96.434443173478485</v>
      </c>
      <c r="AN565" s="164">
        <v>95.437370066511718</v>
      </c>
      <c r="AO565" s="164">
        <v>97.102062854061003</v>
      </c>
      <c r="AP565" s="164">
        <v>97.373562246268847</v>
      </c>
      <c r="AQ565" s="164">
        <v>97.564254334671404</v>
      </c>
      <c r="AR565" s="164">
        <v>97.312392575465111</v>
      </c>
      <c r="AS565" s="164">
        <v>97.013503803749401</v>
      </c>
      <c r="AT565" s="164">
        <v>97.272162080380753</v>
      </c>
      <c r="AU565" s="164">
        <v>93.374252341727399</v>
      </c>
      <c r="AV565" s="164">
        <v>96.545059881476405</v>
      </c>
      <c r="AW565" s="164">
        <v>97.014720357719824</v>
      </c>
      <c r="AX565" s="164">
        <v>97.323605866096713</v>
      </c>
      <c r="AY565" s="164">
        <v>97.282084860615043</v>
      </c>
      <c r="AZ565" s="164">
        <v>97.012916898036025</v>
      </c>
      <c r="BA565" s="164">
        <v>97.052097583577392</v>
      </c>
      <c r="BB565" s="176">
        <v>43801</v>
      </c>
      <c r="BC565" s="181"/>
    </row>
    <row r="566" spans="1:55" ht="45">
      <c r="A566" s="18" t="s">
        <v>6</v>
      </c>
      <c r="B566" s="18" t="s">
        <v>388</v>
      </c>
      <c r="C566" s="39" t="s">
        <v>10</v>
      </c>
      <c r="D566" s="39" t="s">
        <v>10</v>
      </c>
      <c r="E566" s="23" t="s">
        <v>10</v>
      </c>
      <c r="F566" s="23" t="s">
        <v>11</v>
      </c>
      <c r="G566" s="18" t="s">
        <v>151</v>
      </c>
      <c r="H566" s="19">
        <v>6.92</v>
      </c>
      <c r="I566" s="19">
        <v>208</v>
      </c>
      <c r="J566" s="19">
        <v>96.5</v>
      </c>
      <c r="K566" s="21" t="s">
        <v>1219</v>
      </c>
      <c r="L566" s="49" t="s">
        <v>460</v>
      </c>
      <c r="M566" s="21" t="s">
        <v>461</v>
      </c>
      <c r="N566" s="174">
        <v>43388</v>
      </c>
      <c r="O566" s="49" t="s">
        <v>460</v>
      </c>
      <c r="P566" s="23" t="s">
        <v>17</v>
      </c>
      <c r="Q566" s="23" t="s">
        <v>17</v>
      </c>
      <c r="R566" s="150"/>
      <c r="S566" s="20" t="s">
        <v>10</v>
      </c>
      <c r="T566" s="20" t="s">
        <v>11</v>
      </c>
      <c r="U566" s="19">
        <v>5.37</v>
      </c>
      <c r="V566" s="19"/>
      <c r="W566" s="19"/>
      <c r="X566" s="19">
        <v>245</v>
      </c>
      <c r="Y566" s="19">
        <v>365</v>
      </c>
      <c r="Z566" s="19">
        <v>480</v>
      </c>
      <c r="AA566" s="40">
        <v>0.69229200000000013</v>
      </c>
      <c r="AB566" s="40">
        <v>1.3845840000000003</v>
      </c>
      <c r="AC566" s="40">
        <v>2.0768759999999999</v>
      </c>
      <c r="AD566" s="40">
        <v>3.4614600000000002</v>
      </c>
      <c r="AE566" s="40">
        <v>5.1921900000000001</v>
      </c>
      <c r="AF566" s="40">
        <v>6.9229200000000004</v>
      </c>
      <c r="AG566" s="40">
        <v>95.419061703064287</v>
      </c>
      <c r="AH566" s="40">
        <v>96.499658027102697</v>
      </c>
      <c r="AI566" s="40">
        <v>96.88045791135923</v>
      </c>
      <c r="AJ566" s="40">
        <v>96.393086769309974</v>
      </c>
      <c r="AK566" s="40">
        <v>96.129474857598581</v>
      </c>
      <c r="AL566" s="40">
        <v>95.592242556865628</v>
      </c>
      <c r="AM566" s="40">
        <v>96.238182342766436</v>
      </c>
      <c r="AN566" s="40">
        <v>95.353213586067</v>
      </c>
      <c r="AO566" s="40">
        <v>96.662819533921152</v>
      </c>
      <c r="AP566" s="40">
        <v>97.141218412093252</v>
      </c>
      <c r="AQ566" s="40">
        <v>97.042413391199077</v>
      </c>
      <c r="AR566" s="40">
        <v>96.664770711519509</v>
      </c>
      <c r="AS566" s="40">
        <v>96.234566715506347</v>
      </c>
      <c r="AT566" s="40">
        <v>96.727179354622393</v>
      </c>
      <c r="AU566" s="40">
        <v>94.136333765369216</v>
      </c>
      <c r="AV566" s="40">
        <v>96.347477157208587</v>
      </c>
      <c r="AW566" s="40">
        <v>96.676448901531828</v>
      </c>
      <c r="AX566" s="40">
        <v>96.683895373382299</v>
      </c>
      <c r="AY566" s="40">
        <v>96.35230391567147</v>
      </c>
      <c r="AZ566" s="40">
        <v>96.304758321348373</v>
      </c>
      <c r="BA566" s="40">
        <v>96.369578096442609</v>
      </c>
      <c r="BB566" s="174">
        <v>43313</v>
      </c>
      <c r="BC566" s="174">
        <v>43511</v>
      </c>
    </row>
    <row r="567" spans="1:55" ht="45">
      <c r="A567" s="18" t="s">
        <v>6</v>
      </c>
      <c r="B567" s="18" t="s">
        <v>390</v>
      </c>
      <c r="C567" s="39" t="s">
        <v>10</v>
      </c>
      <c r="D567" s="39" t="s">
        <v>10</v>
      </c>
      <c r="E567" s="23" t="s">
        <v>10</v>
      </c>
      <c r="F567" s="23" t="s">
        <v>11</v>
      </c>
      <c r="G567" s="18" t="s">
        <v>153</v>
      </c>
      <c r="H567" s="19">
        <v>7</v>
      </c>
      <c r="I567" s="19">
        <v>240</v>
      </c>
      <c r="J567" s="19">
        <v>97</v>
      </c>
      <c r="K567" s="21" t="s">
        <v>1219</v>
      </c>
      <c r="L567" s="49" t="s">
        <v>460</v>
      </c>
      <c r="M567" s="21" t="s">
        <v>461</v>
      </c>
      <c r="N567" s="174">
        <v>43388</v>
      </c>
      <c r="O567" s="49" t="s">
        <v>460</v>
      </c>
      <c r="P567" s="23" t="s">
        <v>17</v>
      </c>
      <c r="Q567" s="23" t="s">
        <v>17</v>
      </c>
      <c r="R567" s="150"/>
      <c r="S567" s="20" t="s">
        <v>10</v>
      </c>
      <c r="T567" s="20" t="s">
        <v>11</v>
      </c>
      <c r="U567" s="19">
        <v>5.0999999999999996</v>
      </c>
      <c r="V567" s="19"/>
      <c r="W567" s="19"/>
      <c r="X567" s="19">
        <v>245</v>
      </c>
      <c r="Y567" s="19">
        <v>365</v>
      </c>
      <c r="Z567" s="19">
        <v>480</v>
      </c>
      <c r="AA567" s="40">
        <v>0.70972800000000003</v>
      </c>
      <c r="AB567" s="40">
        <v>1.4194560000000001</v>
      </c>
      <c r="AC567" s="40">
        <v>2.129184</v>
      </c>
      <c r="AD567" s="40">
        <v>3.5486399999999998</v>
      </c>
      <c r="AE567" s="40">
        <v>5.3229600000000001</v>
      </c>
      <c r="AF567" s="40">
        <v>7.0972799999999996</v>
      </c>
      <c r="AG567" s="40">
        <v>95.102458703405631</v>
      </c>
      <c r="AH567" s="40">
        <v>96.528916978526041</v>
      </c>
      <c r="AI567" s="40">
        <v>96.628576656752571</v>
      </c>
      <c r="AJ567" s="40">
        <v>96.745284419395801</v>
      </c>
      <c r="AK567" s="40">
        <v>96.520188282400156</v>
      </c>
      <c r="AL567" s="40">
        <v>96.06756094030321</v>
      </c>
      <c r="AM567" s="40">
        <v>96.501560960633199</v>
      </c>
      <c r="AN567" s="40">
        <v>95.720680528733837</v>
      </c>
      <c r="AO567" s="40">
        <v>97.412913400576855</v>
      </c>
      <c r="AP567" s="40">
        <v>97.49429474759863</v>
      </c>
      <c r="AQ567" s="40">
        <v>97.399367740480358</v>
      </c>
      <c r="AR567" s="40">
        <v>96.979143362181489</v>
      </c>
      <c r="AS567" s="40">
        <v>96.517274883002116</v>
      </c>
      <c r="AT567" s="40">
        <v>97.077465212497202</v>
      </c>
      <c r="AU567" s="40">
        <v>93.761096157212492</v>
      </c>
      <c r="AV567" s="40">
        <v>96.549548112626141</v>
      </c>
      <c r="AW567" s="40">
        <v>96.90964628936652</v>
      </c>
      <c r="AX567" s="40">
        <v>97.192345206813769</v>
      </c>
      <c r="AY567" s="40">
        <v>96.999613688267388</v>
      </c>
      <c r="AZ567" s="40">
        <v>96.667718847050196</v>
      </c>
      <c r="BA567" s="40">
        <v>96.860652497208903</v>
      </c>
      <c r="BB567" s="174">
        <v>43313</v>
      </c>
      <c r="BC567" s="174">
        <v>43511</v>
      </c>
    </row>
    <row r="568" spans="1:55" ht="45">
      <c r="A568" s="18" t="s">
        <v>6</v>
      </c>
      <c r="B568" s="18" t="s">
        <v>1596</v>
      </c>
      <c r="C568" s="23" t="s">
        <v>10</v>
      </c>
      <c r="D568" s="23" t="s">
        <v>10</v>
      </c>
      <c r="E568" s="23" t="s">
        <v>10</v>
      </c>
      <c r="F568" s="23" t="s">
        <v>11</v>
      </c>
      <c r="G568" s="18" t="s">
        <v>1542</v>
      </c>
      <c r="H568" s="19">
        <v>6.923</v>
      </c>
      <c r="I568" s="37">
        <v>208</v>
      </c>
      <c r="J568" s="19">
        <v>96.5</v>
      </c>
      <c r="K568" s="20" t="s">
        <v>1219</v>
      </c>
      <c r="L568" s="49" t="s">
        <v>1533</v>
      </c>
      <c r="M568" s="38" t="s">
        <v>1534</v>
      </c>
      <c r="N568" s="174">
        <v>43586</v>
      </c>
      <c r="O568" s="38" t="s">
        <v>1533</v>
      </c>
      <c r="P568" s="38" t="s">
        <v>17</v>
      </c>
      <c r="Q568" s="38" t="s">
        <v>17</v>
      </c>
      <c r="R568" s="151"/>
      <c r="S568" s="39" t="s">
        <v>10</v>
      </c>
      <c r="T568" s="39" t="s">
        <v>11</v>
      </c>
      <c r="U568" s="172">
        <v>5.37</v>
      </c>
      <c r="V568" s="153"/>
      <c r="W568" s="153"/>
      <c r="X568" s="153">
        <v>245</v>
      </c>
      <c r="Y568" s="153">
        <v>365</v>
      </c>
      <c r="Z568" s="153">
        <v>480</v>
      </c>
      <c r="AA568" s="40">
        <v>0.69229200000000013</v>
      </c>
      <c r="AB568" s="40">
        <v>1.3845840000000003</v>
      </c>
      <c r="AC568" s="40">
        <v>2.0768759999999999</v>
      </c>
      <c r="AD568" s="40">
        <v>3.4614600000000002</v>
      </c>
      <c r="AE568" s="40">
        <v>5.1921900000000001</v>
      </c>
      <c r="AF568" s="40">
        <v>6.9229200000000004</v>
      </c>
      <c r="AG568" s="40">
        <v>95.419061703064301</v>
      </c>
      <c r="AH568" s="40">
        <v>96.499658027102683</v>
      </c>
      <c r="AI568" s="40">
        <v>96.88045791135923</v>
      </c>
      <c r="AJ568" s="40">
        <v>96.393086769309974</v>
      </c>
      <c r="AK568" s="40">
        <v>96.129474857598595</v>
      </c>
      <c r="AL568" s="40">
        <v>95.592242556865642</v>
      </c>
      <c r="AM568" s="40">
        <v>96.23818234276645</v>
      </c>
      <c r="AN568" s="40">
        <v>95.353213586067</v>
      </c>
      <c r="AO568" s="40">
        <v>96.662819533921137</v>
      </c>
      <c r="AP568" s="40">
        <v>97.141218412093266</v>
      </c>
      <c r="AQ568" s="40">
        <v>97.042413391199119</v>
      </c>
      <c r="AR568" s="40">
        <v>96.664770711519495</v>
      </c>
      <c r="AS568" s="40">
        <v>96.234566715506375</v>
      </c>
      <c r="AT568" s="40">
        <v>96.727179354622393</v>
      </c>
      <c r="AU568" s="40">
        <v>94.136333765369216</v>
      </c>
      <c r="AV568" s="40">
        <v>96.347477157208587</v>
      </c>
      <c r="AW568" s="40">
        <v>96.676448901531813</v>
      </c>
      <c r="AX568" s="40">
        <v>96.683895373382299</v>
      </c>
      <c r="AY568" s="40">
        <v>96.352303915671456</v>
      </c>
      <c r="AZ568" s="40">
        <v>96.304758321348359</v>
      </c>
      <c r="BA568" s="40">
        <v>96.369578096442581</v>
      </c>
      <c r="BB568" s="178">
        <v>43586</v>
      </c>
      <c r="BC568" s="178"/>
    </row>
    <row r="569" spans="1:55" ht="45">
      <c r="A569" s="18" t="s">
        <v>6</v>
      </c>
      <c r="B569" s="18" t="s">
        <v>1598</v>
      </c>
      <c r="C569" s="23" t="s">
        <v>10</v>
      </c>
      <c r="D569" s="23" t="s">
        <v>10</v>
      </c>
      <c r="E569" s="23" t="s">
        <v>10</v>
      </c>
      <c r="F569" s="23" t="s">
        <v>11</v>
      </c>
      <c r="G569" s="18" t="s">
        <v>1543</v>
      </c>
      <c r="H569" s="19">
        <v>7.0090000000000003</v>
      </c>
      <c r="I569" s="37">
        <v>240</v>
      </c>
      <c r="J569" s="19">
        <v>97</v>
      </c>
      <c r="K569" s="20" t="s">
        <v>1219</v>
      </c>
      <c r="L569" s="49" t="s">
        <v>1533</v>
      </c>
      <c r="M569" s="38" t="s">
        <v>1534</v>
      </c>
      <c r="N569" s="174">
        <v>43586</v>
      </c>
      <c r="O569" s="38" t="s">
        <v>1533</v>
      </c>
      <c r="P569" s="38" t="s">
        <v>17</v>
      </c>
      <c r="Q569" s="38" t="s">
        <v>17</v>
      </c>
      <c r="R569" s="151"/>
      <c r="S569" s="39" t="s">
        <v>10</v>
      </c>
      <c r="T569" s="39" t="s">
        <v>11</v>
      </c>
      <c r="U569" s="136">
        <v>5.0999999999999996</v>
      </c>
      <c r="V569" s="153"/>
      <c r="W569" s="153"/>
      <c r="X569" s="153">
        <v>245</v>
      </c>
      <c r="Y569" s="153">
        <v>365</v>
      </c>
      <c r="Z569" s="153">
        <v>480</v>
      </c>
      <c r="AA569" s="40">
        <v>0.70094000000000001</v>
      </c>
      <c r="AB569" s="40">
        <v>1.40188</v>
      </c>
      <c r="AC569" s="40">
        <v>2.1028199999999999</v>
      </c>
      <c r="AD569" s="40">
        <v>3.5046999999999997</v>
      </c>
      <c r="AE569" s="40">
        <v>5.2570499999999996</v>
      </c>
      <c r="AF569" s="40">
        <v>7.0093999999999994</v>
      </c>
      <c r="AG569" s="40">
        <v>95.102458703405631</v>
      </c>
      <c r="AH569" s="40">
        <v>96.528916978526027</v>
      </c>
      <c r="AI569" s="40">
        <v>96.628576656752557</v>
      </c>
      <c r="AJ569" s="40">
        <v>96.745284419395816</v>
      </c>
      <c r="AK569" s="40">
        <v>96.520188282400184</v>
      </c>
      <c r="AL569" s="40">
        <v>96.067560940303224</v>
      </c>
      <c r="AM569" s="40">
        <v>96.501560960633213</v>
      </c>
      <c r="AN569" s="40">
        <v>95.720680528733823</v>
      </c>
      <c r="AO569" s="40">
        <v>97.412913400576869</v>
      </c>
      <c r="AP569" s="40">
        <v>97.494294747598659</v>
      </c>
      <c r="AQ569" s="40">
        <v>97.399367740480344</v>
      </c>
      <c r="AR569" s="40">
        <v>96.979143362181503</v>
      </c>
      <c r="AS569" s="40">
        <v>96.517274883002145</v>
      </c>
      <c r="AT569" s="40">
        <v>97.077465212497216</v>
      </c>
      <c r="AU569" s="40">
        <v>93.761096157212449</v>
      </c>
      <c r="AV569" s="40">
        <v>96.549548112626141</v>
      </c>
      <c r="AW569" s="40">
        <v>96.90964628936652</v>
      </c>
      <c r="AX569" s="40">
        <v>97.192345206813783</v>
      </c>
      <c r="AY569" s="40">
        <v>96.999613688267388</v>
      </c>
      <c r="AZ569" s="40">
        <v>96.667718847050224</v>
      </c>
      <c r="BA569" s="40">
        <v>96.860652497208903</v>
      </c>
      <c r="BB569" s="178">
        <v>43586</v>
      </c>
      <c r="BC569" s="178"/>
    </row>
    <row r="570" spans="1:55" ht="45">
      <c r="A570" s="18" t="s">
        <v>6</v>
      </c>
      <c r="B570" s="18" t="s">
        <v>719</v>
      </c>
      <c r="C570" s="23" t="s">
        <v>10</v>
      </c>
      <c r="D570" s="23" t="s">
        <v>10</v>
      </c>
      <c r="E570" s="23" t="s">
        <v>10</v>
      </c>
      <c r="F570" s="23" t="s">
        <v>11</v>
      </c>
      <c r="G570" s="18" t="s">
        <v>703</v>
      </c>
      <c r="H570" s="19">
        <v>6.92</v>
      </c>
      <c r="I570" s="37">
        <v>208</v>
      </c>
      <c r="J570" s="19">
        <v>96.5</v>
      </c>
      <c r="K570" s="21" t="s">
        <v>1219</v>
      </c>
      <c r="L570" s="49" t="s">
        <v>694</v>
      </c>
      <c r="M570" s="38" t="s">
        <v>698</v>
      </c>
      <c r="N570" s="174">
        <v>43388</v>
      </c>
      <c r="O570" s="49" t="s">
        <v>694</v>
      </c>
      <c r="P570" s="23" t="s">
        <v>17</v>
      </c>
      <c r="Q570" s="23" t="s">
        <v>17</v>
      </c>
      <c r="R570" s="151"/>
      <c r="S570" s="39" t="s">
        <v>10</v>
      </c>
      <c r="T570" s="39" t="s">
        <v>11</v>
      </c>
      <c r="U570" s="153">
        <v>5.37</v>
      </c>
      <c r="V570" s="153"/>
      <c r="W570" s="153"/>
      <c r="X570" s="153">
        <v>245</v>
      </c>
      <c r="Y570" s="153">
        <v>365</v>
      </c>
      <c r="Z570" s="153">
        <v>480</v>
      </c>
      <c r="AA570" s="40">
        <v>0.69229200000000013</v>
      </c>
      <c r="AB570" s="40">
        <v>1.3845840000000003</v>
      </c>
      <c r="AC570" s="40">
        <v>2.0768759999999999</v>
      </c>
      <c r="AD570" s="40">
        <v>3.4614600000000002</v>
      </c>
      <c r="AE570" s="40">
        <v>5.1921900000000001</v>
      </c>
      <c r="AF570" s="40">
        <v>6.9229200000000004</v>
      </c>
      <c r="AG570" s="40">
        <v>95.419061703064287</v>
      </c>
      <c r="AH570" s="40">
        <v>96.499658027102697</v>
      </c>
      <c r="AI570" s="40">
        <v>96.88045791135923</v>
      </c>
      <c r="AJ570" s="40">
        <v>96.393086769309974</v>
      </c>
      <c r="AK570" s="40">
        <v>96.129474857598581</v>
      </c>
      <c r="AL570" s="40">
        <v>95.592242556865628</v>
      </c>
      <c r="AM570" s="40">
        <v>96.238182342766436</v>
      </c>
      <c r="AN570" s="40">
        <v>95.353213586067</v>
      </c>
      <c r="AO570" s="40">
        <v>96.662819533921152</v>
      </c>
      <c r="AP570" s="40">
        <v>97.141218412093252</v>
      </c>
      <c r="AQ570" s="40">
        <v>97.042413391199077</v>
      </c>
      <c r="AR570" s="40">
        <v>96.664770711519509</v>
      </c>
      <c r="AS570" s="40">
        <v>96.234566715506347</v>
      </c>
      <c r="AT570" s="40">
        <v>96.727179354622393</v>
      </c>
      <c r="AU570" s="40">
        <v>94.136333765369216</v>
      </c>
      <c r="AV570" s="40">
        <v>96.347477157208587</v>
      </c>
      <c r="AW570" s="40">
        <v>96.676448901531828</v>
      </c>
      <c r="AX570" s="40">
        <v>96.683895373382299</v>
      </c>
      <c r="AY570" s="40">
        <v>96.35230391567147</v>
      </c>
      <c r="AZ570" s="40">
        <v>96.304758321348373</v>
      </c>
      <c r="BA570" s="40">
        <v>96.369578096442609</v>
      </c>
      <c r="BB570" s="174">
        <v>43313</v>
      </c>
      <c r="BC570" s="174">
        <v>43511</v>
      </c>
    </row>
    <row r="571" spans="1:55" ht="45">
      <c r="A571" s="18" t="s">
        <v>6</v>
      </c>
      <c r="B571" s="18" t="s">
        <v>720</v>
      </c>
      <c r="C571" s="23" t="s">
        <v>10</v>
      </c>
      <c r="D571" s="23" t="s">
        <v>10</v>
      </c>
      <c r="E571" s="23" t="s">
        <v>10</v>
      </c>
      <c r="F571" s="23" t="s">
        <v>11</v>
      </c>
      <c r="G571" s="18" t="s">
        <v>704</v>
      </c>
      <c r="H571" s="19">
        <v>7</v>
      </c>
      <c r="I571" s="37">
        <v>240</v>
      </c>
      <c r="J571" s="19">
        <v>97</v>
      </c>
      <c r="K571" s="21" t="s">
        <v>1219</v>
      </c>
      <c r="L571" s="49" t="s">
        <v>694</v>
      </c>
      <c r="M571" s="38" t="s">
        <v>698</v>
      </c>
      <c r="N571" s="174">
        <v>43388</v>
      </c>
      <c r="O571" s="49" t="s">
        <v>694</v>
      </c>
      <c r="P571" s="23" t="s">
        <v>17</v>
      </c>
      <c r="Q571" s="23" t="s">
        <v>17</v>
      </c>
      <c r="R571" s="151"/>
      <c r="S571" s="39" t="s">
        <v>10</v>
      </c>
      <c r="T571" s="39" t="s">
        <v>11</v>
      </c>
      <c r="U571" s="153">
        <v>5.0999999999999996</v>
      </c>
      <c r="V571" s="153"/>
      <c r="W571" s="153"/>
      <c r="X571" s="153">
        <v>245</v>
      </c>
      <c r="Y571" s="153">
        <v>365</v>
      </c>
      <c r="Z571" s="153">
        <v>480</v>
      </c>
      <c r="AA571" s="40">
        <v>0.70972800000000003</v>
      </c>
      <c r="AB571" s="40">
        <v>1.4194560000000001</v>
      </c>
      <c r="AC571" s="40">
        <v>2.129184</v>
      </c>
      <c r="AD571" s="40">
        <v>3.5486399999999998</v>
      </c>
      <c r="AE571" s="40">
        <v>5.3229600000000001</v>
      </c>
      <c r="AF571" s="40">
        <v>7.0972799999999996</v>
      </c>
      <c r="AG571" s="40">
        <v>95.102458703405631</v>
      </c>
      <c r="AH571" s="40">
        <v>96.528916978526041</v>
      </c>
      <c r="AI571" s="40">
        <v>96.628576656752571</v>
      </c>
      <c r="AJ571" s="40">
        <v>96.745284419395801</v>
      </c>
      <c r="AK571" s="40">
        <v>96.520188282400156</v>
      </c>
      <c r="AL571" s="40">
        <v>96.06756094030321</v>
      </c>
      <c r="AM571" s="40">
        <v>96.501560960633199</v>
      </c>
      <c r="AN571" s="40">
        <v>95.720680528733837</v>
      </c>
      <c r="AO571" s="40">
        <v>97.412913400576855</v>
      </c>
      <c r="AP571" s="40">
        <v>97.49429474759863</v>
      </c>
      <c r="AQ571" s="40">
        <v>97.399367740480358</v>
      </c>
      <c r="AR571" s="40">
        <v>96.979143362181489</v>
      </c>
      <c r="AS571" s="40">
        <v>96.517274883002116</v>
      </c>
      <c r="AT571" s="40">
        <v>97.077465212497202</v>
      </c>
      <c r="AU571" s="40">
        <v>93.761096157212492</v>
      </c>
      <c r="AV571" s="40">
        <v>96.549548112626141</v>
      </c>
      <c r="AW571" s="40">
        <v>96.90964628936652</v>
      </c>
      <c r="AX571" s="40">
        <v>97.192345206813769</v>
      </c>
      <c r="AY571" s="40">
        <v>96.999613688267388</v>
      </c>
      <c r="AZ571" s="40">
        <v>96.667718847050196</v>
      </c>
      <c r="BA571" s="40">
        <v>96.860652497208903</v>
      </c>
      <c r="BB571" s="174">
        <v>43313</v>
      </c>
      <c r="BC571" s="174">
        <v>43511</v>
      </c>
    </row>
    <row r="572" spans="1:55" ht="45">
      <c r="A572" s="186" t="s">
        <v>6</v>
      </c>
      <c r="B572" s="186" t="s">
        <v>1840</v>
      </c>
      <c r="C572" s="158" t="s">
        <v>10</v>
      </c>
      <c r="D572" s="158" t="s">
        <v>10</v>
      </c>
      <c r="E572" s="158" t="s">
        <v>10</v>
      </c>
      <c r="F572" s="158" t="s">
        <v>11</v>
      </c>
      <c r="G572" s="186" t="s">
        <v>1841</v>
      </c>
      <c r="H572" s="187">
        <v>6.923</v>
      </c>
      <c r="I572" s="159">
        <v>208</v>
      </c>
      <c r="J572" s="188">
        <v>96.5</v>
      </c>
      <c r="K572" s="160" t="s">
        <v>1219</v>
      </c>
      <c r="L572" s="160" t="s">
        <v>1836</v>
      </c>
      <c r="M572" s="158" t="s">
        <v>1534</v>
      </c>
      <c r="N572" s="160">
        <v>43804</v>
      </c>
      <c r="O572" s="160" t="s">
        <v>1836</v>
      </c>
      <c r="P572" s="160" t="s">
        <v>17</v>
      </c>
      <c r="Q572" s="160" t="s">
        <v>17</v>
      </c>
      <c r="R572" s="189"/>
      <c r="S572" s="161" t="s">
        <v>10</v>
      </c>
      <c r="T572" s="161" t="s">
        <v>11</v>
      </c>
      <c r="U572" s="162">
        <v>5.37</v>
      </c>
      <c r="V572" s="163"/>
      <c r="W572" s="163"/>
      <c r="X572" s="163">
        <v>245</v>
      </c>
      <c r="Y572" s="163">
        <v>365</v>
      </c>
      <c r="Z572" s="163">
        <v>480</v>
      </c>
      <c r="AA572" s="162">
        <v>0.69229200000000013</v>
      </c>
      <c r="AB572" s="162">
        <v>1.3845840000000003</v>
      </c>
      <c r="AC572" s="162">
        <v>2.0768759999999999</v>
      </c>
      <c r="AD572" s="162">
        <v>3.4614600000000002</v>
      </c>
      <c r="AE572" s="162">
        <v>5.1921900000000001</v>
      </c>
      <c r="AF572" s="162">
        <v>6.9229200000000004</v>
      </c>
      <c r="AG572" s="164">
        <v>95.419061703064301</v>
      </c>
      <c r="AH572" s="164">
        <v>96.499658027102683</v>
      </c>
      <c r="AI572" s="164">
        <v>96.88045791135923</v>
      </c>
      <c r="AJ572" s="164">
        <v>96.393086769309974</v>
      </c>
      <c r="AK572" s="164">
        <v>96.129474857598595</v>
      </c>
      <c r="AL572" s="164">
        <v>95.592242556865642</v>
      </c>
      <c r="AM572" s="164">
        <v>96.23818234276645</v>
      </c>
      <c r="AN572" s="164">
        <v>95.353213586067</v>
      </c>
      <c r="AO572" s="164">
        <v>96.662819533921137</v>
      </c>
      <c r="AP572" s="164">
        <v>97.141218412093266</v>
      </c>
      <c r="AQ572" s="164">
        <v>97.042413391199119</v>
      </c>
      <c r="AR572" s="164">
        <v>96.664770711519495</v>
      </c>
      <c r="AS572" s="164">
        <v>96.234566715506375</v>
      </c>
      <c r="AT572" s="164">
        <v>96.727179354622393</v>
      </c>
      <c r="AU572" s="164">
        <v>94.136333765369216</v>
      </c>
      <c r="AV572" s="164">
        <v>96.347477157208587</v>
      </c>
      <c r="AW572" s="164">
        <v>96.676448901531813</v>
      </c>
      <c r="AX572" s="164">
        <v>96.683895373382299</v>
      </c>
      <c r="AY572" s="164">
        <v>96.352303915671456</v>
      </c>
      <c r="AZ572" s="164">
        <v>96.304758321348359</v>
      </c>
      <c r="BA572" s="164">
        <v>96.369578096442581</v>
      </c>
      <c r="BB572" s="165">
        <v>43810</v>
      </c>
      <c r="BC572" s="58"/>
    </row>
    <row r="573" spans="1:55" ht="45">
      <c r="A573" s="186" t="s">
        <v>6</v>
      </c>
      <c r="B573" s="186" t="s">
        <v>1842</v>
      </c>
      <c r="C573" s="158" t="s">
        <v>10</v>
      </c>
      <c r="D573" s="158" t="s">
        <v>10</v>
      </c>
      <c r="E573" s="158" t="s">
        <v>10</v>
      </c>
      <c r="F573" s="158" t="s">
        <v>11</v>
      </c>
      <c r="G573" s="186" t="s">
        <v>1843</v>
      </c>
      <c r="H573" s="187">
        <v>7</v>
      </c>
      <c r="I573" s="159">
        <v>240</v>
      </c>
      <c r="J573" s="188">
        <v>97</v>
      </c>
      <c r="K573" s="160" t="s">
        <v>1219</v>
      </c>
      <c r="L573" s="160" t="s">
        <v>1836</v>
      </c>
      <c r="M573" s="158" t="s">
        <v>1534</v>
      </c>
      <c r="N573" s="160">
        <v>43804</v>
      </c>
      <c r="O573" s="160" t="s">
        <v>1836</v>
      </c>
      <c r="P573" s="160" t="s">
        <v>17</v>
      </c>
      <c r="Q573" s="160" t="s">
        <v>17</v>
      </c>
      <c r="R573" s="189"/>
      <c r="S573" s="161" t="s">
        <v>10</v>
      </c>
      <c r="T573" s="161" t="s">
        <v>11</v>
      </c>
      <c r="U573" s="162">
        <v>5.0999999999999996</v>
      </c>
      <c r="V573" s="163"/>
      <c r="W573" s="163"/>
      <c r="X573" s="163">
        <v>245</v>
      </c>
      <c r="Y573" s="163">
        <v>365</v>
      </c>
      <c r="Z573" s="163">
        <v>480</v>
      </c>
      <c r="AA573" s="162">
        <v>0.70094000000000001</v>
      </c>
      <c r="AB573" s="162">
        <v>1.40188</v>
      </c>
      <c r="AC573" s="162">
        <v>2.1028199999999999</v>
      </c>
      <c r="AD573" s="162">
        <v>3.5046999999999997</v>
      </c>
      <c r="AE573" s="162">
        <v>5.2570499999999996</v>
      </c>
      <c r="AF573" s="162">
        <v>7.0093999999999994</v>
      </c>
      <c r="AG573" s="164">
        <v>95.102458703405631</v>
      </c>
      <c r="AH573" s="164">
        <v>96.528916978526027</v>
      </c>
      <c r="AI573" s="164">
        <v>96.628576656752557</v>
      </c>
      <c r="AJ573" s="164">
        <v>96.745284419395816</v>
      </c>
      <c r="AK573" s="164">
        <v>96.520188282400184</v>
      </c>
      <c r="AL573" s="164">
        <v>96.067560940303224</v>
      </c>
      <c r="AM573" s="164">
        <v>96.501560960633213</v>
      </c>
      <c r="AN573" s="164">
        <v>95.720680528733823</v>
      </c>
      <c r="AO573" s="164">
        <v>97.412913400576869</v>
      </c>
      <c r="AP573" s="164">
        <v>97.494294747598659</v>
      </c>
      <c r="AQ573" s="164">
        <v>97.399367740480344</v>
      </c>
      <c r="AR573" s="164">
        <v>96.979143362181503</v>
      </c>
      <c r="AS573" s="164">
        <v>96.517274883002145</v>
      </c>
      <c r="AT573" s="164">
        <v>97.077465212497216</v>
      </c>
      <c r="AU573" s="164">
        <v>93.761096157212449</v>
      </c>
      <c r="AV573" s="164">
        <v>96.549548112626141</v>
      </c>
      <c r="AW573" s="164">
        <v>96.90964628936652</v>
      </c>
      <c r="AX573" s="164">
        <v>97.192345206813783</v>
      </c>
      <c r="AY573" s="164">
        <v>96.999613688267388</v>
      </c>
      <c r="AZ573" s="164">
        <v>96.667718847050224</v>
      </c>
      <c r="BA573" s="164">
        <v>96.860652497208903</v>
      </c>
      <c r="BB573" s="165">
        <v>43810</v>
      </c>
      <c r="BC573" s="58"/>
    </row>
    <row r="574" spans="1:55" ht="45">
      <c r="A574" s="18" t="s">
        <v>6</v>
      </c>
      <c r="B574" s="18" t="s">
        <v>537</v>
      </c>
      <c r="C574" s="39" t="s">
        <v>10</v>
      </c>
      <c r="D574" s="39" t="s">
        <v>10</v>
      </c>
      <c r="E574" s="23" t="s">
        <v>10</v>
      </c>
      <c r="F574" s="23" t="s">
        <v>11</v>
      </c>
      <c r="G574" s="18" t="s">
        <v>152</v>
      </c>
      <c r="H574" s="19">
        <v>6.92</v>
      </c>
      <c r="I574" s="19">
        <v>208</v>
      </c>
      <c r="J574" s="19">
        <v>96.5</v>
      </c>
      <c r="K574" s="21" t="s">
        <v>1219</v>
      </c>
      <c r="L574" s="49" t="s">
        <v>460</v>
      </c>
      <c r="M574" s="21" t="s">
        <v>461</v>
      </c>
      <c r="N574" s="174">
        <v>43388</v>
      </c>
      <c r="O574" s="49" t="s">
        <v>460</v>
      </c>
      <c r="P574" s="23" t="s">
        <v>17</v>
      </c>
      <c r="Q574" s="23" t="s">
        <v>17</v>
      </c>
      <c r="R574" s="150"/>
      <c r="S574" s="20" t="s">
        <v>10</v>
      </c>
      <c r="T574" s="20" t="s">
        <v>11</v>
      </c>
      <c r="U574" s="19">
        <v>5.37</v>
      </c>
      <c r="V574" s="19"/>
      <c r="W574" s="19"/>
      <c r="X574" s="19">
        <v>270</v>
      </c>
      <c r="Y574" s="19">
        <v>365</v>
      </c>
      <c r="Z574" s="19">
        <v>480</v>
      </c>
      <c r="AA574" s="40">
        <v>0.69229200000000013</v>
      </c>
      <c r="AB574" s="40">
        <v>1.3845840000000003</v>
      </c>
      <c r="AC574" s="40">
        <v>2.0768759999999999</v>
      </c>
      <c r="AD574" s="40">
        <v>3.4614600000000002</v>
      </c>
      <c r="AE574" s="40">
        <v>5.1921900000000001</v>
      </c>
      <c r="AF574" s="40">
        <v>6.9229200000000004</v>
      </c>
      <c r="AG574" s="40">
        <v>95.688053123906386</v>
      </c>
      <c r="AH574" s="40">
        <v>96.710543077634085</v>
      </c>
      <c r="AI574" s="40">
        <v>96.729020288510867</v>
      </c>
      <c r="AJ574" s="40">
        <v>96.53964427594083</v>
      </c>
      <c r="AK574" s="40">
        <v>96.050655840705787</v>
      </c>
      <c r="AL574" s="40">
        <v>95.694674168608302</v>
      </c>
      <c r="AM574" s="40">
        <v>96.235438315411315</v>
      </c>
      <c r="AN574" s="40">
        <v>95.353213586067</v>
      </c>
      <c r="AO574" s="40">
        <v>96.662819533921152</v>
      </c>
      <c r="AP574" s="40">
        <v>97.141218412093252</v>
      </c>
      <c r="AQ574" s="40">
        <v>97.042413391199077</v>
      </c>
      <c r="AR574" s="40">
        <v>96.664770711519509</v>
      </c>
      <c r="AS574" s="40">
        <v>96.234566715506347</v>
      </c>
      <c r="AT574" s="40">
        <v>96.727179354622393</v>
      </c>
      <c r="AU574" s="40">
        <v>94.136333765369216</v>
      </c>
      <c r="AV574" s="40">
        <v>96.347477157208587</v>
      </c>
      <c r="AW574" s="40">
        <v>96.676448901531828</v>
      </c>
      <c r="AX574" s="40">
        <v>96.683895373382299</v>
      </c>
      <c r="AY574" s="40">
        <v>96.35230391567147</v>
      </c>
      <c r="AZ574" s="40">
        <v>96.304758321348373</v>
      </c>
      <c r="BA574" s="40">
        <v>96.369578096442609</v>
      </c>
      <c r="BB574" s="174">
        <v>43313</v>
      </c>
      <c r="BC574" s="174">
        <v>43511</v>
      </c>
    </row>
    <row r="575" spans="1:55" ht="45">
      <c r="A575" s="18" t="s">
        <v>6</v>
      </c>
      <c r="B575" s="18" t="s">
        <v>389</v>
      </c>
      <c r="C575" s="39" t="s">
        <v>10</v>
      </c>
      <c r="D575" s="39" t="s">
        <v>10</v>
      </c>
      <c r="E575" s="23" t="s">
        <v>10</v>
      </c>
      <c r="F575" s="23" t="s">
        <v>11</v>
      </c>
      <c r="G575" s="18" t="s">
        <v>154</v>
      </c>
      <c r="H575" s="19">
        <v>7.76</v>
      </c>
      <c r="I575" s="19">
        <v>240</v>
      </c>
      <c r="J575" s="19">
        <v>97</v>
      </c>
      <c r="K575" s="21" t="s">
        <v>1219</v>
      </c>
      <c r="L575" s="49" t="s">
        <v>460</v>
      </c>
      <c r="M575" s="21" t="s">
        <v>461</v>
      </c>
      <c r="N575" s="174">
        <v>43388</v>
      </c>
      <c r="O575" s="49" t="s">
        <v>460</v>
      </c>
      <c r="P575" s="23" t="s">
        <v>17</v>
      </c>
      <c r="Q575" s="23" t="s">
        <v>17</v>
      </c>
      <c r="R575" s="150"/>
      <c r="S575" s="20" t="s">
        <v>10</v>
      </c>
      <c r="T575" s="20" t="s">
        <v>11</v>
      </c>
      <c r="U575" s="19">
        <v>5.0999999999999996</v>
      </c>
      <c r="V575" s="19"/>
      <c r="W575" s="19"/>
      <c r="X575" s="19">
        <v>270</v>
      </c>
      <c r="Y575" s="19">
        <v>365</v>
      </c>
      <c r="Z575" s="19">
        <v>480</v>
      </c>
      <c r="AA575" s="40">
        <v>0.77580000000000005</v>
      </c>
      <c r="AB575" s="40">
        <v>1.5516000000000001</v>
      </c>
      <c r="AC575" s="40">
        <v>2.3273999999999999</v>
      </c>
      <c r="AD575" s="40">
        <v>3.879</v>
      </c>
      <c r="AE575" s="40">
        <v>5.8185000000000002</v>
      </c>
      <c r="AF575" s="40">
        <v>7.758</v>
      </c>
      <c r="AG575" s="40">
        <v>95.659488070726908</v>
      </c>
      <c r="AH575" s="40">
        <v>96.757391309155807</v>
      </c>
      <c r="AI575" s="40">
        <v>97.078301472709839</v>
      </c>
      <c r="AJ575" s="40">
        <v>96.947842323174768</v>
      </c>
      <c r="AK575" s="40">
        <v>96.535665461330566</v>
      </c>
      <c r="AL575" s="40">
        <v>96.009484388608314</v>
      </c>
      <c r="AM575" s="40">
        <v>96.637069066814362</v>
      </c>
      <c r="AN575" s="40">
        <v>96.032054518718382</v>
      </c>
      <c r="AO575" s="40">
        <v>97.522955729246149</v>
      </c>
      <c r="AP575" s="40">
        <v>97.442724867789281</v>
      </c>
      <c r="AQ575" s="40">
        <v>97.314559365868078</v>
      </c>
      <c r="AR575" s="40">
        <v>96.787686223418859</v>
      </c>
      <c r="AS575" s="40">
        <v>96.345625620524885</v>
      </c>
      <c r="AT575" s="40">
        <v>96.961369397616281</v>
      </c>
      <c r="AU575" s="40">
        <v>94.682466000905563</v>
      </c>
      <c r="AV575" s="40">
        <v>96.825185000365011</v>
      </c>
      <c r="AW575" s="40">
        <v>97.02358533214047</v>
      </c>
      <c r="AX575" s="40">
        <v>97.192345206813769</v>
      </c>
      <c r="AY575" s="40">
        <v>96.875075175305284</v>
      </c>
      <c r="AZ575" s="40">
        <v>96.728412801633681</v>
      </c>
      <c r="BA575" s="40">
        <v>96.861991106335708</v>
      </c>
      <c r="BB575" s="174">
        <v>43313</v>
      </c>
      <c r="BC575" s="174">
        <v>43511</v>
      </c>
    </row>
    <row r="576" spans="1:55" ht="45">
      <c r="A576" s="18" t="s">
        <v>6</v>
      </c>
      <c r="B576" s="18" t="s">
        <v>1597</v>
      </c>
      <c r="C576" s="23" t="s">
        <v>10</v>
      </c>
      <c r="D576" s="23" t="s">
        <v>10</v>
      </c>
      <c r="E576" s="23" t="s">
        <v>10</v>
      </c>
      <c r="F576" s="23" t="s">
        <v>11</v>
      </c>
      <c r="G576" s="18" t="s">
        <v>1544</v>
      </c>
      <c r="H576" s="19">
        <v>6.923</v>
      </c>
      <c r="I576" s="37">
        <v>208</v>
      </c>
      <c r="J576" s="19">
        <v>96.5</v>
      </c>
      <c r="K576" s="20" t="s">
        <v>1219</v>
      </c>
      <c r="L576" s="49" t="s">
        <v>1533</v>
      </c>
      <c r="M576" s="38" t="s">
        <v>1534</v>
      </c>
      <c r="N576" s="174">
        <v>43586</v>
      </c>
      <c r="O576" s="38" t="s">
        <v>1533</v>
      </c>
      <c r="P576" s="38" t="s">
        <v>17</v>
      </c>
      <c r="Q576" s="38" t="s">
        <v>17</v>
      </c>
      <c r="R576" s="151"/>
      <c r="S576" s="39" t="s">
        <v>10</v>
      </c>
      <c r="T576" s="39" t="s">
        <v>11</v>
      </c>
      <c r="U576" s="172">
        <v>5.37</v>
      </c>
      <c r="V576" s="153"/>
      <c r="W576" s="153"/>
      <c r="X576" s="153">
        <v>270</v>
      </c>
      <c r="Y576" s="153">
        <v>365</v>
      </c>
      <c r="Z576" s="153">
        <v>480</v>
      </c>
      <c r="AA576" s="40">
        <v>0.69229200000000013</v>
      </c>
      <c r="AB576" s="40">
        <v>1.3845840000000003</v>
      </c>
      <c r="AC576" s="40">
        <v>2.0768759999999999</v>
      </c>
      <c r="AD576" s="40">
        <v>3.4614600000000002</v>
      </c>
      <c r="AE576" s="40">
        <v>5.1921900000000001</v>
      </c>
      <c r="AF576" s="40">
        <v>6.9229200000000004</v>
      </c>
      <c r="AG576" s="40">
        <v>95.688053123906386</v>
      </c>
      <c r="AH576" s="40">
        <v>96.710543077634085</v>
      </c>
      <c r="AI576" s="40">
        <v>96.729020288510881</v>
      </c>
      <c r="AJ576" s="40">
        <v>96.53964427594083</v>
      </c>
      <c r="AK576" s="40">
        <v>96.050655840705787</v>
      </c>
      <c r="AL576" s="40">
        <v>95.69467416860833</v>
      </c>
      <c r="AM576" s="40">
        <v>96.235438315411329</v>
      </c>
      <c r="AN576" s="40">
        <v>95.353213586067</v>
      </c>
      <c r="AO576" s="40">
        <v>96.662819533921137</v>
      </c>
      <c r="AP576" s="40">
        <v>97.141218412093266</v>
      </c>
      <c r="AQ576" s="40">
        <v>97.042413391199119</v>
      </c>
      <c r="AR576" s="40">
        <v>96.664770711519495</v>
      </c>
      <c r="AS576" s="40">
        <v>96.234566715506375</v>
      </c>
      <c r="AT576" s="40">
        <v>96.727179354622393</v>
      </c>
      <c r="AU576" s="40">
        <v>94.136333765369216</v>
      </c>
      <c r="AV576" s="40">
        <v>96.347477157208587</v>
      </c>
      <c r="AW576" s="40">
        <v>96.676448901531813</v>
      </c>
      <c r="AX576" s="40">
        <v>96.683895373382299</v>
      </c>
      <c r="AY576" s="40">
        <v>96.352303915671456</v>
      </c>
      <c r="AZ576" s="40">
        <v>96.304758321348359</v>
      </c>
      <c r="BA576" s="40">
        <v>96.369578096442581</v>
      </c>
      <c r="BB576" s="178">
        <v>43586</v>
      </c>
      <c r="BC576" s="178"/>
    </row>
    <row r="577" spans="1:55" ht="45">
      <c r="A577" s="18" t="s">
        <v>6</v>
      </c>
      <c r="B577" s="18" t="s">
        <v>1599</v>
      </c>
      <c r="C577" s="23" t="s">
        <v>10</v>
      </c>
      <c r="D577" s="23" t="s">
        <v>10</v>
      </c>
      <c r="E577" s="23" t="s">
        <v>10</v>
      </c>
      <c r="F577" s="23" t="s">
        <v>11</v>
      </c>
      <c r="G577" s="18" t="s">
        <v>1545</v>
      </c>
      <c r="H577" s="19">
        <v>7.7560000000000002</v>
      </c>
      <c r="I577" s="37">
        <v>240</v>
      </c>
      <c r="J577" s="19">
        <v>97</v>
      </c>
      <c r="K577" s="20" t="s">
        <v>1219</v>
      </c>
      <c r="L577" s="49" t="s">
        <v>1533</v>
      </c>
      <c r="M577" s="38" t="s">
        <v>1534</v>
      </c>
      <c r="N577" s="174">
        <v>43586</v>
      </c>
      <c r="O577" s="38" t="s">
        <v>1533</v>
      </c>
      <c r="P577" s="38" t="s">
        <v>17</v>
      </c>
      <c r="Q577" s="38" t="s">
        <v>17</v>
      </c>
      <c r="R577" s="151"/>
      <c r="S577" s="39" t="s">
        <v>10</v>
      </c>
      <c r="T577" s="39" t="s">
        <v>11</v>
      </c>
      <c r="U577" s="136">
        <v>5.0999999999999996</v>
      </c>
      <c r="V577" s="153"/>
      <c r="W577" s="153"/>
      <c r="X577" s="153">
        <v>270</v>
      </c>
      <c r="Y577" s="153">
        <v>365</v>
      </c>
      <c r="Z577" s="153">
        <v>480</v>
      </c>
      <c r="AA577" s="40">
        <v>0.77564</v>
      </c>
      <c r="AB577" s="40">
        <v>1.55128</v>
      </c>
      <c r="AC577" s="40">
        <v>2.3269199999999999</v>
      </c>
      <c r="AD577" s="40">
        <v>3.8781999999999996</v>
      </c>
      <c r="AE577" s="40">
        <v>5.8172999999999995</v>
      </c>
      <c r="AF577" s="40">
        <v>7.7563999999999993</v>
      </c>
      <c r="AG577" s="40">
        <v>95.659488070726923</v>
      </c>
      <c r="AH577" s="40">
        <v>96.757391309155793</v>
      </c>
      <c r="AI577" s="40">
        <v>97.078301472709839</v>
      </c>
      <c r="AJ577" s="40">
        <v>96.947842323174768</v>
      </c>
      <c r="AK577" s="40">
        <v>96.535665461330581</v>
      </c>
      <c r="AL577" s="40">
        <v>96.0094843886083</v>
      </c>
      <c r="AM577" s="40">
        <v>96.637069066814377</v>
      </c>
      <c r="AN577" s="40">
        <v>96.032054518718354</v>
      </c>
      <c r="AO577" s="40">
        <v>97.522955729246149</v>
      </c>
      <c r="AP577" s="40">
        <v>97.442724867789295</v>
      </c>
      <c r="AQ577" s="40">
        <v>97.314559365868064</v>
      </c>
      <c r="AR577" s="40">
        <v>96.787686223418859</v>
      </c>
      <c r="AS577" s="40">
        <v>96.345625620524885</v>
      </c>
      <c r="AT577" s="40">
        <v>96.961369397616281</v>
      </c>
      <c r="AU577" s="40">
        <v>94.682466000905563</v>
      </c>
      <c r="AV577" s="40">
        <v>96.825185000365039</v>
      </c>
      <c r="AW577" s="40">
        <v>97.023585332140442</v>
      </c>
      <c r="AX577" s="40">
        <v>97.192345206813783</v>
      </c>
      <c r="AY577" s="40">
        <v>96.875075175305284</v>
      </c>
      <c r="AZ577" s="40">
        <v>96.728412801633709</v>
      </c>
      <c r="BA577" s="40">
        <v>96.861991106335708</v>
      </c>
      <c r="BB577" s="178">
        <v>43586</v>
      </c>
      <c r="BC577" s="178"/>
    </row>
    <row r="578" spans="1:55" ht="45">
      <c r="A578" s="18" t="s">
        <v>6</v>
      </c>
      <c r="B578" s="18" t="s">
        <v>721</v>
      </c>
      <c r="C578" s="23" t="s">
        <v>10</v>
      </c>
      <c r="D578" s="23" t="s">
        <v>10</v>
      </c>
      <c r="E578" s="23" t="s">
        <v>10</v>
      </c>
      <c r="F578" s="23" t="s">
        <v>11</v>
      </c>
      <c r="G578" s="18" t="s">
        <v>705</v>
      </c>
      <c r="H578" s="19">
        <v>6.92</v>
      </c>
      <c r="I578" s="37">
        <v>208</v>
      </c>
      <c r="J578" s="19">
        <v>96.5</v>
      </c>
      <c r="K578" s="21" t="s">
        <v>1219</v>
      </c>
      <c r="L578" s="49" t="s">
        <v>694</v>
      </c>
      <c r="M578" s="38" t="s">
        <v>698</v>
      </c>
      <c r="N578" s="174">
        <v>43388</v>
      </c>
      <c r="O578" s="49" t="s">
        <v>694</v>
      </c>
      <c r="P578" s="23" t="s">
        <v>17</v>
      </c>
      <c r="Q578" s="23" t="s">
        <v>17</v>
      </c>
      <c r="R578" s="151"/>
      <c r="S578" s="39" t="s">
        <v>10</v>
      </c>
      <c r="T578" s="39" t="s">
        <v>11</v>
      </c>
      <c r="U578" s="153">
        <v>5.37</v>
      </c>
      <c r="V578" s="153"/>
      <c r="W578" s="153"/>
      <c r="X578" s="153">
        <v>270</v>
      </c>
      <c r="Y578" s="153">
        <v>365</v>
      </c>
      <c r="Z578" s="153">
        <v>480</v>
      </c>
      <c r="AA578" s="40">
        <v>0.69229200000000013</v>
      </c>
      <c r="AB578" s="40">
        <v>1.3845840000000003</v>
      </c>
      <c r="AC578" s="40">
        <v>2.0768759999999999</v>
      </c>
      <c r="AD578" s="40">
        <v>3.4614600000000002</v>
      </c>
      <c r="AE578" s="40">
        <v>5.1921900000000001</v>
      </c>
      <c r="AF578" s="40">
        <v>6.9229200000000004</v>
      </c>
      <c r="AG578" s="40">
        <v>95.688053123906386</v>
      </c>
      <c r="AH578" s="40">
        <v>96.710543077634085</v>
      </c>
      <c r="AI578" s="40">
        <v>96.729020288510867</v>
      </c>
      <c r="AJ578" s="40">
        <v>96.53964427594083</v>
      </c>
      <c r="AK578" s="40">
        <v>96.050655840705787</v>
      </c>
      <c r="AL578" s="40">
        <v>95.694674168608302</v>
      </c>
      <c r="AM578" s="40">
        <v>96.235438315411315</v>
      </c>
      <c r="AN578" s="40">
        <v>95.353213586067</v>
      </c>
      <c r="AO578" s="40">
        <v>96.662819533921152</v>
      </c>
      <c r="AP578" s="40">
        <v>97.141218412093252</v>
      </c>
      <c r="AQ578" s="40">
        <v>97.042413391199077</v>
      </c>
      <c r="AR578" s="40">
        <v>96.664770711519509</v>
      </c>
      <c r="AS578" s="40">
        <v>96.234566715506347</v>
      </c>
      <c r="AT578" s="40">
        <v>96.727179354622393</v>
      </c>
      <c r="AU578" s="40">
        <v>94.136333765369216</v>
      </c>
      <c r="AV578" s="40">
        <v>96.347477157208587</v>
      </c>
      <c r="AW578" s="40">
        <v>96.676448901531828</v>
      </c>
      <c r="AX578" s="40">
        <v>96.683895373382299</v>
      </c>
      <c r="AY578" s="40">
        <v>96.35230391567147</v>
      </c>
      <c r="AZ578" s="40">
        <v>96.304758321348373</v>
      </c>
      <c r="BA578" s="40">
        <v>96.369578096442609</v>
      </c>
      <c r="BB578" s="174">
        <v>43313</v>
      </c>
      <c r="BC578" s="174">
        <v>43511</v>
      </c>
    </row>
    <row r="579" spans="1:55" ht="45">
      <c r="A579" s="18" t="s">
        <v>6</v>
      </c>
      <c r="B579" s="18" t="s">
        <v>722</v>
      </c>
      <c r="C579" s="23" t="s">
        <v>10</v>
      </c>
      <c r="D579" s="23" t="s">
        <v>10</v>
      </c>
      <c r="E579" s="23" t="s">
        <v>10</v>
      </c>
      <c r="F579" s="23" t="s">
        <v>11</v>
      </c>
      <c r="G579" s="18" t="s">
        <v>706</v>
      </c>
      <c r="H579" s="19">
        <v>7.76</v>
      </c>
      <c r="I579" s="37">
        <v>240</v>
      </c>
      <c r="J579" s="19">
        <v>97</v>
      </c>
      <c r="K579" s="21" t="s">
        <v>1219</v>
      </c>
      <c r="L579" s="49" t="s">
        <v>694</v>
      </c>
      <c r="M579" s="38" t="s">
        <v>698</v>
      </c>
      <c r="N579" s="174">
        <v>43388</v>
      </c>
      <c r="O579" s="49" t="s">
        <v>694</v>
      </c>
      <c r="P579" s="23" t="s">
        <v>17</v>
      </c>
      <c r="Q579" s="23" t="s">
        <v>17</v>
      </c>
      <c r="R579" s="151"/>
      <c r="S579" s="39" t="s">
        <v>10</v>
      </c>
      <c r="T579" s="39" t="s">
        <v>11</v>
      </c>
      <c r="U579" s="153">
        <v>5.0999999999999996</v>
      </c>
      <c r="V579" s="153"/>
      <c r="W579" s="153"/>
      <c r="X579" s="153">
        <v>270</v>
      </c>
      <c r="Y579" s="153">
        <v>365</v>
      </c>
      <c r="Z579" s="153">
        <v>480</v>
      </c>
      <c r="AA579" s="40">
        <v>0.77580000000000005</v>
      </c>
      <c r="AB579" s="40">
        <v>1.5516000000000001</v>
      </c>
      <c r="AC579" s="40">
        <v>2.3273999999999999</v>
      </c>
      <c r="AD579" s="40">
        <v>3.879</v>
      </c>
      <c r="AE579" s="40">
        <v>5.8185000000000002</v>
      </c>
      <c r="AF579" s="40">
        <v>7.758</v>
      </c>
      <c r="AG579" s="40">
        <v>95.659488070726908</v>
      </c>
      <c r="AH579" s="40">
        <v>96.757391309155807</v>
      </c>
      <c r="AI579" s="40">
        <v>97.078301472709839</v>
      </c>
      <c r="AJ579" s="40">
        <v>96.947842323174768</v>
      </c>
      <c r="AK579" s="40">
        <v>96.535665461330566</v>
      </c>
      <c r="AL579" s="40">
        <v>96.009484388608314</v>
      </c>
      <c r="AM579" s="40">
        <v>96.637069066814362</v>
      </c>
      <c r="AN579" s="40">
        <v>96.032054518718382</v>
      </c>
      <c r="AO579" s="40">
        <v>97.522955729246149</v>
      </c>
      <c r="AP579" s="40">
        <v>97.442724867789281</v>
      </c>
      <c r="AQ579" s="40">
        <v>97.314559365868078</v>
      </c>
      <c r="AR579" s="40">
        <v>96.787686223418859</v>
      </c>
      <c r="AS579" s="40">
        <v>96.345625620524885</v>
      </c>
      <c r="AT579" s="40">
        <v>96.961369397616281</v>
      </c>
      <c r="AU579" s="40">
        <v>94.682466000905563</v>
      </c>
      <c r="AV579" s="40">
        <v>96.825185000365011</v>
      </c>
      <c r="AW579" s="40">
        <v>97.02358533214047</v>
      </c>
      <c r="AX579" s="40">
        <v>97.192345206813769</v>
      </c>
      <c r="AY579" s="40">
        <v>96.875075175305284</v>
      </c>
      <c r="AZ579" s="40">
        <v>96.728412801633681</v>
      </c>
      <c r="BA579" s="40">
        <v>96.861991106335708</v>
      </c>
      <c r="BB579" s="174">
        <v>43313</v>
      </c>
      <c r="BC579" s="174">
        <v>43511</v>
      </c>
    </row>
    <row r="580" spans="1:55" ht="45">
      <c r="A580" s="186" t="s">
        <v>6</v>
      </c>
      <c r="B580" s="186" t="s">
        <v>1844</v>
      </c>
      <c r="C580" s="158" t="s">
        <v>10</v>
      </c>
      <c r="D580" s="158" t="s">
        <v>10</v>
      </c>
      <c r="E580" s="158" t="s">
        <v>10</v>
      </c>
      <c r="F580" s="158" t="s">
        <v>11</v>
      </c>
      <c r="G580" s="186" t="s">
        <v>1845</v>
      </c>
      <c r="H580" s="187">
        <v>6.923</v>
      </c>
      <c r="I580" s="159">
        <v>208</v>
      </c>
      <c r="J580" s="188">
        <v>96.5</v>
      </c>
      <c r="K580" s="160" t="s">
        <v>1219</v>
      </c>
      <c r="L580" s="160" t="s">
        <v>1836</v>
      </c>
      <c r="M580" s="158" t="s">
        <v>1534</v>
      </c>
      <c r="N580" s="160">
        <v>43804</v>
      </c>
      <c r="O580" s="160" t="s">
        <v>1836</v>
      </c>
      <c r="P580" s="160" t="s">
        <v>17</v>
      </c>
      <c r="Q580" s="160" t="s">
        <v>17</v>
      </c>
      <c r="R580" s="189"/>
      <c r="S580" s="161" t="s">
        <v>10</v>
      </c>
      <c r="T580" s="161" t="s">
        <v>11</v>
      </c>
      <c r="U580" s="162">
        <v>5.37</v>
      </c>
      <c r="V580" s="163"/>
      <c r="W580" s="163"/>
      <c r="X580" s="163">
        <v>270</v>
      </c>
      <c r="Y580" s="163">
        <v>365</v>
      </c>
      <c r="Z580" s="163">
        <v>480</v>
      </c>
      <c r="AA580" s="162">
        <v>0.69229200000000013</v>
      </c>
      <c r="AB580" s="162">
        <v>1.3845840000000003</v>
      </c>
      <c r="AC580" s="162">
        <v>2.0768759999999999</v>
      </c>
      <c r="AD580" s="162">
        <v>3.4614600000000002</v>
      </c>
      <c r="AE580" s="162">
        <v>5.1921900000000001</v>
      </c>
      <c r="AF580" s="162">
        <v>6.9229200000000004</v>
      </c>
      <c r="AG580" s="164">
        <v>95.688053123906386</v>
      </c>
      <c r="AH580" s="164">
        <v>96.710543077634085</v>
      </c>
      <c r="AI580" s="164">
        <v>96.729020288510881</v>
      </c>
      <c r="AJ580" s="164">
        <v>96.53964427594083</v>
      </c>
      <c r="AK580" s="164">
        <v>96.050655840705787</v>
      </c>
      <c r="AL580" s="164">
        <v>95.69467416860833</v>
      </c>
      <c r="AM580" s="164">
        <v>96.235438315411329</v>
      </c>
      <c r="AN580" s="164">
        <v>95.353213586067</v>
      </c>
      <c r="AO580" s="164">
        <v>96.662819533921137</v>
      </c>
      <c r="AP580" s="164">
        <v>97.141218412093266</v>
      </c>
      <c r="AQ580" s="164">
        <v>97.042413391199119</v>
      </c>
      <c r="AR580" s="164">
        <v>96.664770711519495</v>
      </c>
      <c r="AS580" s="164">
        <v>96.234566715506375</v>
      </c>
      <c r="AT580" s="164">
        <v>96.727179354622393</v>
      </c>
      <c r="AU580" s="164">
        <v>94.136333765369216</v>
      </c>
      <c r="AV580" s="164">
        <v>96.347477157208587</v>
      </c>
      <c r="AW580" s="164">
        <v>96.676448901531813</v>
      </c>
      <c r="AX580" s="164">
        <v>96.683895373382299</v>
      </c>
      <c r="AY580" s="164">
        <v>96.352303915671456</v>
      </c>
      <c r="AZ580" s="164">
        <v>96.304758321348359</v>
      </c>
      <c r="BA580" s="164">
        <v>96.369578096442581</v>
      </c>
      <c r="BB580" s="165">
        <v>43810</v>
      </c>
      <c r="BC580" s="58"/>
    </row>
    <row r="581" spans="1:55" ht="45">
      <c r="A581" s="186" t="s">
        <v>6</v>
      </c>
      <c r="B581" s="186" t="s">
        <v>1846</v>
      </c>
      <c r="C581" s="158" t="s">
        <v>10</v>
      </c>
      <c r="D581" s="158" t="s">
        <v>10</v>
      </c>
      <c r="E581" s="158" t="s">
        <v>10</v>
      </c>
      <c r="F581" s="158" t="s">
        <v>11</v>
      </c>
      <c r="G581" s="186" t="s">
        <v>1847</v>
      </c>
      <c r="H581" s="187">
        <v>7.7560000000000002</v>
      </c>
      <c r="I581" s="159">
        <v>240</v>
      </c>
      <c r="J581" s="188">
        <v>97</v>
      </c>
      <c r="K581" s="160" t="s">
        <v>1219</v>
      </c>
      <c r="L581" s="160" t="s">
        <v>1836</v>
      </c>
      <c r="M581" s="158" t="s">
        <v>1534</v>
      </c>
      <c r="N581" s="160">
        <v>43804</v>
      </c>
      <c r="O581" s="160" t="s">
        <v>1836</v>
      </c>
      <c r="P581" s="160" t="s">
        <v>17</v>
      </c>
      <c r="Q581" s="160" t="s">
        <v>17</v>
      </c>
      <c r="R581" s="189"/>
      <c r="S581" s="161" t="s">
        <v>10</v>
      </c>
      <c r="T581" s="161" t="s">
        <v>11</v>
      </c>
      <c r="U581" s="162">
        <v>5.0999999999999996</v>
      </c>
      <c r="V581" s="163"/>
      <c r="W581" s="163"/>
      <c r="X581" s="163">
        <v>270</v>
      </c>
      <c r="Y581" s="163">
        <v>365</v>
      </c>
      <c r="Z581" s="163">
        <v>480</v>
      </c>
      <c r="AA581" s="162">
        <v>0.77564</v>
      </c>
      <c r="AB581" s="162">
        <v>1.55128</v>
      </c>
      <c r="AC581" s="162">
        <v>2.3269199999999999</v>
      </c>
      <c r="AD581" s="162">
        <v>3.8781999999999996</v>
      </c>
      <c r="AE581" s="162">
        <v>5.8172999999999995</v>
      </c>
      <c r="AF581" s="162">
        <v>7.7563999999999993</v>
      </c>
      <c r="AG581" s="164">
        <v>95.659488070726923</v>
      </c>
      <c r="AH581" s="164">
        <v>96.757391309155793</v>
      </c>
      <c r="AI581" s="164">
        <v>97.078301472709839</v>
      </c>
      <c r="AJ581" s="164">
        <v>96.947842323174768</v>
      </c>
      <c r="AK581" s="164">
        <v>96.535665461330581</v>
      </c>
      <c r="AL581" s="164">
        <v>96.0094843886083</v>
      </c>
      <c r="AM581" s="164">
        <v>96.637069066814377</v>
      </c>
      <c r="AN581" s="164">
        <v>96.032054518718354</v>
      </c>
      <c r="AO581" s="164">
        <v>97.522955729246149</v>
      </c>
      <c r="AP581" s="164">
        <v>97.442724867789295</v>
      </c>
      <c r="AQ581" s="164">
        <v>97.314559365868064</v>
      </c>
      <c r="AR581" s="164">
        <v>96.787686223418859</v>
      </c>
      <c r="AS581" s="164">
        <v>96.345625620524885</v>
      </c>
      <c r="AT581" s="164">
        <v>96.961369397616281</v>
      </c>
      <c r="AU581" s="164">
        <v>94.682466000905563</v>
      </c>
      <c r="AV581" s="164">
        <v>96.825185000365039</v>
      </c>
      <c r="AW581" s="164">
        <v>97.023585332140442</v>
      </c>
      <c r="AX581" s="164">
        <v>97.192345206813783</v>
      </c>
      <c r="AY581" s="164">
        <v>96.875075175305284</v>
      </c>
      <c r="AZ581" s="164">
        <v>96.728412801633709</v>
      </c>
      <c r="BA581" s="164">
        <v>96.861991106335708</v>
      </c>
      <c r="BB581" s="165">
        <v>43810</v>
      </c>
      <c r="BC581" s="58"/>
    </row>
    <row r="582" spans="1:55" ht="60">
      <c r="A582" s="18" t="s">
        <v>6</v>
      </c>
      <c r="B582" s="18" t="s">
        <v>1047</v>
      </c>
      <c r="C582" s="23" t="s">
        <v>10</v>
      </c>
      <c r="D582" s="23" t="s">
        <v>10</v>
      </c>
      <c r="E582" s="23" t="s">
        <v>10</v>
      </c>
      <c r="F582" s="23" t="s">
        <v>11</v>
      </c>
      <c r="G582" s="18" t="s">
        <v>662</v>
      </c>
      <c r="H582" s="19">
        <v>3.8</v>
      </c>
      <c r="I582" s="37">
        <v>240</v>
      </c>
      <c r="J582" s="19">
        <v>96.5</v>
      </c>
      <c r="K582" s="21" t="s">
        <v>1219</v>
      </c>
      <c r="L582" s="49" t="s">
        <v>663</v>
      </c>
      <c r="M582" s="38" t="s">
        <v>664</v>
      </c>
      <c r="N582" s="174">
        <v>43388</v>
      </c>
      <c r="O582" s="49" t="s">
        <v>663</v>
      </c>
      <c r="P582" s="23" t="s">
        <v>17</v>
      </c>
      <c r="Q582" s="23" t="s">
        <v>17</v>
      </c>
      <c r="R582" s="151"/>
      <c r="S582" s="39" t="s">
        <v>11</v>
      </c>
      <c r="T582" s="39" t="s">
        <v>11</v>
      </c>
      <c r="U582" s="153">
        <v>6.53</v>
      </c>
      <c r="V582" s="153"/>
      <c r="W582" s="153"/>
      <c r="X582" s="153">
        <v>220</v>
      </c>
      <c r="Y582" s="153">
        <v>360</v>
      </c>
      <c r="Z582" s="153">
        <v>550</v>
      </c>
      <c r="AA582" s="40">
        <v>0.38128600000000001</v>
      </c>
      <c r="AB582" s="40">
        <v>0.76257200000000003</v>
      </c>
      <c r="AC582" s="40">
        <v>1.143858</v>
      </c>
      <c r="AD582" s="40">
        <v>1.9064300000000001</v>
      </c>
      <c r="AE582" s="40">
        <v>2.859645</v>
      </c>
      <c r="AF582" s="40">
        <v>3.8128600000000001</v>
      </c>
      <c r="AG582" s="40">
        <v>92.693600000000004</v>
      </c>
      <c r="AH582" s="40">
        <v>95.522000000000006</v>
      </c>
      <c r="AI582" s="40">
        <v>96.098799999999997</v>
      </c>
      <c r="AJ582" s="40">
        <v>96.434799999999996</v>
      </c>
      <c r="AK582" s="40">
        <v>96.412400000000005</v>
      </c>
      <c r="AL582" s="40">
        <v>96.287400000000005</v>
      </c>
      <c r="AM582" s="40">
        <v>96.179950000000005</v>
      </c>
      <c r="AN582" s="40">
        <v>93.605999999999995</v>
      </c>
      <c r="AO582" s="40">
        <v>96.45620000000001</v>
      </c>
      <c r="AP582" s="40">
        <v>97.102199999999996</v>
      </c>
      <c r="AQ582" s="40">
        <v>97.421599999999984</v>
      </c>
      <c r="AR582" s="40">
        <v>97.465600000000009</v>
      </c>
      <c r="AS582" s="40">
        <v>97.377600000000001</v>
      </c>
      <c r="AT582" s="40">
        <v>97.20349800000001</v>
      </c>
      <c r="AU582" s="40">
        <v>88.564400000000006</v>
      </c>
      <c r="AV582" s="40">
        <v>94.722799999999992</v>
      </c>
      <c r="AW582" s="40">
        <v>96.086799999999997</v>
      </c>
      <c r="AX582" s="40">
        <v>96.848199999999991</v>
      </c>
      <c r="AY582" s="40">
        <v>97.025800000000004</v>
      </c>
      <c r="AZ582" s="40">
        <v>97.020600000000002</v>
      </c>
      <c r="BA582" s="40">
        <v>96.421958000000004</v>
      </c>
      <c r="BB582" s="174">
        <v>43283</v>
      </c>
      <c r="BC582" s="174">
        <v>43511</v>
      </c>
    </row>
    <row r="583" spans="1:55" ht="60">
      <c r="A583" s="18" t="s">
        <v>6</v>
      </c>
      <c r="B583" s="18" t="s">
        <v>1050</v>
      </c>
      <c r="C583" s="23" t="s">
        <v>10</v>
      </c>
      <c r="D583" s="23" t="s">
        <v>10</v>
      </c>
      <c r="E583" s="23" t="s">
        <v>10</v>
      </c>
      <c r="F583" s="23" t="s">
        <v>11</v>
      </c>
      <c r="G583" s="18" t="s">
        <v>665</v>
      </c>
      <c r="H583" s="19">
        <v>5</v>
      </c>
      <c r="I583" s="37">
        <v>240</v>
      </c>
      <c r="J583" s="19">
        <v>96.5</v>
      </c>
      <c r="K583" s="21" t="s">
        <v>1219</v>
      </c>
      <c r="L583" s="49" t="s">
        <v>663</v>
      </c>
      <c r="M583" s="38" t="s">
        <v>664</v>
      </c>
      <c r="N583" s="174">
        <v>43388</v>
      </c>
      <c r="O583" s="49" t="s">
        <v>663</v>
      </c>
      <c r="P583" s="23" t="s">
        <v>17</v>
      </c>
      <c r="Q583" s="23" t="s">
        <v>17</v>
      </c>
      <c r="R583" s="151"/>
      <c r="S583" s="39" t="s">
        <v>11</v>
      </c>
      <c r="T583" s="39" t="s">
        <v>11</v>
      </c>
      <c r="U583" s="153">
        <v>6.53</v>
      </c>
      <c r="V583" s="153"/>
      <c r="W583" s="153"/>
      <c r="X583" s="153">
        <v>220</v>
      </c>
      <c r="Y583" s="153">
        <v>360</v>
      </c>
      <c r="Z583" s="153">
        <v>550</v>
      </c>
      <c r="AA583" s="40">
        <v>0.50159500000000001</v>
      </c>
      <c r="AB583" s="40">
        <v>1.00319</v>
      </c>
      <c r="AC583" s="40">
        <v>1.504785</v>
      </c>
      <c r="AD583" s="40">
        <v>2.5079750000000001</v>
      </c>
      <c r="AE583" s="40">
        <v>3.7619625000000001</v>
      </c>
      <c r="AF583" s="40">
        <v>5.0159500000000001</v>
      </c>
      <c r="AG583" s="40">
        <v>93.757199999999997</v>
      </c>
      <c r="AH583" s="40">
        <v>95.994399999999999</v>
      </c>
      <c r="AI583" s="40">
        <v>96.353399999999993</v>
      </c>
      <c r="AJ583" s="40">
        <v>96.433800000000005</v>
      </c>
      <c r="AK583" s="40">
        <v>96.308200000000014</v>
      </c>
      <c r="AL583" s="40">
        <v>96.110399999999998</v>
      </c>
      <c r="AM583" s="40">
        <v>96.212379999999996</v>
      </c>
      <c r="AN583" s="40">
        <v>94.613599999999991</v>
      </c>
      <c r="AO583" s="40">
        <v>96.931399999999996</v>
      </c>
      <c r="AP583" s="40">
        <v>97.316400000000016</v>
      </c>
      <c r="AQ583" s="40">
        <v>97.451200000000014</v>
      </c>
      <c r="AR583" s="40">
        <v>97.395399999999995</v>
      </c>
      <c r="AS583" s="40">
        <v>97.210799999999992</v>
      </c>
      <c r="AT583" s="40">
        <v>97.25393600000001</v>
      </c>
      <c r="AU583" s="40">
        <v>92.417600000000007</v>
      </c>
      <c r="AV583" s="40">
        <v>95.739599999999996</v>
      </c>
      <c r="AW583" s="40">
        <v>96.530400000000014</v>
      </c>
      <c r="AX583" s="40">
        <v>96.997200000000007</v>
      </c>
      <c r="AY583" s="40">
        <v>97.034000000000006</v>
      </c>
      <c r="AZ583" s="40">
        <v>96.590800000000002</v>
      </c>
      <c r="BA583" s="40">
        <v>96.694304000000002</v>
      </c>
      <c r="BB583" s="174">
        <v>43283</v>
      </c>
      <c r="BC583" s="174">
        <v>43511</v>
      </c>
    </row>
    <row r="584" spans="1:55" ht="60">
      <c r="A584" s="18" t="s">
        <v>6</v>
      </c>
      <c r="B584" s="18" t="s">
        <v>1051</v>
      </c>
      <c r="C584" s="23" t="s">
        <v>10</v>
      </c>
      <c r="D584" s="23" t="s">
        <v>10</v>
      </c>
      <c r="E584" s="23" t="s">
        <v>10</v>
      </c>
      <c r="F584" s="23" t="s">
        <v>11</v>
      </c>
      <c r="G584" s="18" t="s">
        <v>666</v>
      </c>
      <c r="H584" s="19">
        <v>6</v>
      </c>
      <c r="I584" s="37">
        <v>240</v>
      </c>
      <c r="J584" s="19">
        <v>96.5</v>
      </c>
      <c r="K584" s="21" t="s">
        <v>1219</v>
      </c>
      <c r="L584" s="49" t="s">
        <v>663</v>
      </c>
      <c r="M584" s="38" t="s">
        <v>664</v>
      </c>
      <c r="N584" s="174">
        <v>43388</v>
      </c>
      <c r="O584" s="49" t="s">
        <v>663</v>
      </c>
      <c r="P584" s="23" t="s">
        <v>17</v>
      </c>
      <c r="Q584" s="23" t="s">
        <v>17</v>
      </c>
      <c r="R584" s="151"/>
      <c r="S584" s="39" t="s">
        <v>11</v>
      </c>
      <c r="T584" s="39" t="s">
        <v>11</v>
      </c>
      <c r="U584" s="153">
        <v>6.53</v>
      </c>
      <c r="V584" s="153"/>
      <c r="W584" s="153"/>
      <c r="X584" s="153">
        <v>220</v>
      </c>
      <c r="Y584" s="153">
        <v>360</v>
      </c>
      <c r="Z584" s="153">
        <v>550</v>
      </c>
      <c r="AA584" s="40">
        <v>0.60219600000000006</v>
      </c>
      <c r="AB584" s="40">
        <v>1.2043920000000001</v>
      </c>
      <c r="AC584" s="40">
        <v>1.8065879999999999</v>
      </c>
      <c r="AD584" s="40">
        <v>3.01098</v>
      </c>
      <c r="AE584" s="40">
        <v>4.51647</v>
      </c>
      <c r="AF584" s="40">
        <v>6.02196</v>
      </c>
      <c r="AG584" s="40">
        <v>94.464199999999991</v>
      </c>
      <c r="AH584" s="40">
        <v>96.154599999999988</v>
      </c>
      <c r="AI584" s="40">
        <v>96.429000000000002</v>
      </c>
      <c r="AJ584" s="40">
        <v>96.400399999999991</v>
      </c>
      <c r="AK584" s="40">
        <v>96.191599999999994</v>
      </c>
      <c r="AL584" s="40">
        <v>95.956600000000009</v>
      </c>
      <c r="AM584" s="40">
        <v>96.181240000000003</v>
      </c>
      <c r="AN584" s="40">
        <v>95.848199999999991</v>
      </c>
      <c r="AO584" s="40">
        <v>97.198400000000007</v>
      </c>
      <c r="AP584" s="40">
        <v>97.401399999999995</v>
      </c>
      <c r="AQ584" s="40">
        <v>97.4512</v>
      </c>
      <c r="AR584" s="40">
        <v>97.284000000000006</v>
      </c>
      <c r="AS584" s="40">
        <v>96.992200000000011</v>
      </c>
      <c r="AT584" s="40">
        <v>97.256897999999993</v>
      </c>
      <c r="AU584" s="40">
        <v>93.253399999999999</v>
      </c>
      <c r="AV584" s="40">
        <v>96.238799999999998</v>
      </c>
      <c r="AW584" s="40">
        <v>96.799000000000007</v>
      </c>
      <c r="AX584" s="40">
        <v>97.026600000000002</v>
      </c>
      <c r="AY584" s="40">
        <v>96.966400000000007</v>
      </c>
      <c r="AZ584" s="40">
        <v>96.80019999999999</v>
      </c>
      <c r="BA584" s="40">
        <v>96.765744000000012</v>
      </c>
      <c r="BB584" s="174">
        <v>43283</v>
      </c>
      <c r="BC584" s="174">
        <v>43511</v>
      </c>
    </row>
    <row r="585" spans="1:55" ht="45">
      <c r="A585" s="18" t="s">
        <v>6</v>
      </c>
      <c r="B585" s="18" t="s">
        <v>1059</v>
      </c>
      <c r="C585" s="23" t="s">
        <v>10</v>
      </c>
      <c r="D585" s="23" t="s">
        <v>10</v>
      </c>
      <c r="E585" s="23" t="s">
        <v>11</v>
      </c>
      <c r="F585" s="23" t="s">
        <v>11</v>
      </c>
      <c r="G585" s="18" t="s">
        <v>582</v>
      </c>
      <c r="H585" s="19">
        <v>2353.87</v>
      </c>
      <c r="I585" s="37">
        <v>550</v>
      </c>
      <c r="J585" s="19">
        <v>97</v>
      </c>
      <c r="K585" s="21" t="s">
        <v>1219</v>
      </c>
      <c r="L585" s="49" t="s">
        <v>725</v>
      </c>
      <c r="M585" s="38" t="s">
        <v>568</v>
      </c>
      <c r="N585" s="174">
        <v>43388</v>
      </c>
      <c r="O585" s="23" t="s">
        <v>17</v>
      </c>
      <c r="P585" s="23" t="s">
        <v>17</v>
      </c>
      <c r="Q585" s="23" t="s">
        <v>17</v>
      </c>
      <c r="R585" s="151" t="s">
        <v>654</v>
      </c>
      <c r="S585" s="39" t="s">
        <v>10</v>
      </c>
      <c r="T585" s="39" t="s">
        <v>11</v>
      </c>
      <c r="U585" s="153">
        <v>370</v>
      </c>
      <c r="V585" s="153"/>
      <c r="W585" s="153"/>
      <c r="X585" s="153">
        <v>850</v>
      </c>
      <c r="Y585" s="153">
        <v>994</v>
      </c>
      <c r="Z585" s="153">
        <v>1425</v>
      </c>
      <c r="AA585" s="40">
        <v>235.39</v>
      </c>
      <c r="AB585" s="40">
        <v>470.77</v>
      </c>
      <c r="AC585" s="40">
        <v>706.16</v>
      </c>
      <c r="AD585" s="40">
        <v>1176.94</v>
      </c>
      <c r="AE585" s="40">
        <v>1765.4</v>
      </c>
      <c r="AF585" s="40">
        <v>2353.87</v>
      </c>
      <c r="AG585" s="40">
        <v>96.42</v>
      </c>
      <c r="AH585" s="40">
        <v>97.63</v>
      </c>
      <c r="AI585" s="40">
        <v>97.83</v>
      </c>
      <c r="AJ585" s="40">
        <v>97.79</v>
      </c>
      <c r="AK585" s="40">
        <v>97.42</v>
      </c>
      <c r="AL585" s="40">
        <v>96.82</v>
      </c>
      <c r="AM585" s="40">
        <v>97.49</v>
      </c>
      <c r="AN585" s="40">
        <v>95.86</v>
      </c>
      <c r="AO585" s="40">
        <v>97.35</v>
      </c>
      <c r="AP585" s="40">
        <v>97.63</v>
      </c>
      <c r="AQ585" s="40">
        <v>97.65</v>
      </c>
      <c r="AR585" s="40">
        <v>97.28</v>
      </c>
      <c r="AS585" s="40">
        <v>96.74</v>
      </c>
      <c r="AT585" s="40">
        <v>97.32</v>
      </c>
      <c r="AU585" s="40">
        <v>94.25</v>
      </c>
      <c r="AV585" s="40">
        <v>96.58</v>
      </c>
      <c r="AW585" s="40">
        <v>97.07</v>
      </c>
      <c r="AX585" s="40">
        <v>97.2</v>
      </c>
      <c r="AY585" s="40">
        <v>96.81</v>
      </c>
      <c r="AZ585" s="40">
        <v>96.42</v>
      </c>
      <c r="BA585" s="40">
        <v>96.79</v>
      </c>
      <c r="BB585" s="174">
        <v>43221</v>
      </c>
      <c r="BC585" s="174">
        <v>43511</v>
      </c>
    </row>
    <row r="586" spans="1:55" ht="45">
      <c r="A586" s="18" t="s">
        <v>6</v>
      </c>
      <c r="B586" s="18" t="s">
        <v>1060</v>
      </c>
      <c r="C586" s="23" t="s">
        <v>10</v>
      </c>
      <c r="D586" s="23" t="s">
        <v>10</v>
      </c>
      <c r="E586" s="23" t="s">
        <v>11</v>
      </c>
      <c r="F586" s="23" t="s">
        <v>11</v>
      </c>
      <c r="G586" s="18" t="s">
        <v>724</v>
      </c>
      <c r="H586" s="19">
        <v>2600</v>
      </c>
      <c r="I586" s="37">
        <v>600</v>
      </c>
      <c r="J586" s="19">
        <v>97.5</v>
      </c>
      <c r="K586" s="21" t="s">
        <v>1219</v>
      </c>
      <c r="L586" s="49" t="s">
        <v>725</v>
      </c>
      <c r="M586" s="38" t="s">
        <v>568</v>
      </c>
      <c r="N586" s="174">
        <v>43388</v>
      </c>
      <c r="O586" s="23" t="s">
        <v>17</v>
      </c>
      <c r="P586" s="23" t="s">
        <v>17</v>
      </c>
      <c r="Q586" s="23" t="s">
        <v>17</v>
      </c>
      <c r="R586" s="151" t="s">
        <v>573</v>
      </c>
      <c r="S586" s="39" t="s">
        <v>10</v>
      </c>
      <c r="T586" s="39" t="s">
        <v>11</v>
      </c>
      <c r="U586" s="153">
        <v>379.32</v>
      </c>
      <c r="V586" s="153"/>
      <c r="W586" s="153"/>
      <c r="X586" s="153">
        <v>875</v>
      </c>
      <c r="Y586" s="153">
        <v>957</v>
      </c>
      <c r="Z586" s="153">
        <v>1200</v>
      </c>
      <c r="AA586" s="40">
        <v>260</v>
      </c>
      <c r="AB586" s="40">
        <v>520</v>
      </c>
      <c r="AC586" s="40">
        <v>780</v>
      </c>
      <c r="AD586" s="40">
        <v>1300</v>
      </c>
      <c r="AE586" s="40">
        <v>1950</v>
      </c>
      <c r="AF586" s="40">
        <v>2600</v>
      </c>
      <c r="AG586" s="40">
        <v>95.654267999999988</v>
      </c>
      <c r="AH586" s="40">
        <v>97.278513000000018</v>
      </c>
      <c r="AI586" s="40">
        <v>97.676036400000015</v>
      </c>
      <c r="AJ586" s="40">
        <v>97.833769199999992</v>
      </c>
      <c r="AK586" s="40">
        <v>97.64240199999999</v>
      </c>
      <c r="AL586" s="40">
        <v>97.218773599999977</v>
      </c>
      <c r="AM586" s="40">
        <v>97.567724010000006</v>
      </c>
      <c r="AN586" s="40">
        <v>95.393141999999983</v>
      </c>
      <c r="AO586" s="40">
        <v>97.142182800000029</v>
      </c>
      <c r="AP586" s="40">
        <v>97.56110360000001</v>
      </c>
      <c r="AQ586" s="40">
        <v>97.745445599999996</v>
      </c>
      <c r="AR586" s="40">
        <v>97.548142999999982</v>
      </c>
      <c r="AS586" s="40">
        <v>97.071069899999983</v>
      </c>
      <c r="AT586" s="40">
        <v>97.460780112999998</v>
      </c>
      <c r="AU586" s="40">
        <v>94.470888000000031</v>
      </c>
      <c r="AV586" s="40">
        <v>96.735168000000002</v>
      </c>
      <c r="AW586" s="40">
        <v>97.058768000000001</v>
      </c>
      <c r="AX586" s="40">
        <v>97.489406399999993</v>
      </c>
      <c r="AY586" s="40">
        <v>97.359624999999994</v>
      </c>
      <c r="AZ586" s="40">
        <v>96.888670700000006</v>
      </c>
      <c r="BA586" s="40">
        <v>97.180456208999999</v>
      </c>
      <c r="BB586" s="174">
        <v>43327</v>
      </c>
      <c r="BC586" s="174">
        <v>43511</v>
      </c>
    </row>
    <row r="587" spans="1:55" ht="45">
      <c r="A587" s="18" t="s">
        <v>6</v>
      </c>
      <c r="B587" s="18" t="s">
        <v>1057</v>
      </c>
      <c r="C587" s="23" t="s">
        <v>10</v>
      </c>
      <c r="D587" s="23" t="s">
        <v>10</v>
      </c>
      <c r="E587" s="23" t="s">
        <v>11</v>
      </c>
      <c r="F587" s="23" t="s">
        <v>11</v>
      </c>
      <c r="G587" s="18" t="s">
        <v>567</v>
      </c>
      <c r="H587" s="19">
        <v>1661</v>
      </c>
      <c r="I587" s="37">
        <v>385</v>
      </c>
      <c r="J587" s="19">
        <v>97</v>
      </c>
      <c r="K587" s="21" t="s">
        <v>1219</v>
      </c>
      <c r="L587" s="49" t="s">
        <v>439</v>
      </c>
      <c r="M587" s="38" t="s">
        <v>568</v>
      </c>
      <c r="N587" s="174">
        <v>43388</v>
      </c>
      <c r="O587" s="23" t="s">
        <v>17</v>
      </c>
      <c r="P587" s="23" t="s">
        <v>17</v>
      </c>
      <c r="Q587" s="23" t="s">
        <v>17</v>
      </c>
      <c r="R587" s="151" t="s">
        <v>573</v>
      </c>
      <c r="S587" s="39" t="s">
        <v>10</v>
      </c>
      <c r="T587" s="39" t="s">
        <v>11</v>
      </c>
      <c r="U587" s="153">
        <v>294</v>
      </c>
      <c r="V587" s="153"/>
      <c r="W587" s="153"/>
      <c r="X587" s="153">
        <v>570</v>
      </c>
      <c r="Y587" s="153">
        <v>665</v>
      </c>
      <c r="Z587" s="153">
        <v>950</v>
      </c>
      <c r="AA587" s="40">
        <v>166.1</v>
      </c>
      <c r="AB587" s="40">
        <v>332.2</v>
      </c>
      <c r="AC587" s="40">
        <v>498.3</v>
      </c>
      <c r="AD587" s="40">
        <v>830.5</v>
      </c>
      <c r="AE587" s="40">
        <v>1245.75</v>
      </c>
      <c r="AF587" s="40">
        <v>1661</v>
      </c>
      <c r="AG587" s="40">
        <v>96.09</v>
      </c>
      <c r="AH587" s="40">
        <v>97.54</v>
      </c>
      <c r="AI587" s="40">
        <v>97.81</v>
      </c>
      <c r="AJ587" s="40">
        <v>97.789999999999992</v>
      </c>
      <c r="AK587" s="40">
        <v>97.59</v>
      </c>
      <c r="AL587" s="40">
        <v>97.25</v>
      </c>
      <c r="AM587" s="40">
        <v>97.58</v>
      </c>
      <c r="AN587" s="40">
        <v>95.5</v>
      </c>
      <c r="AO587" s="40">
        <v>97.22</v>
      </c>
      <c r="AP587" s="40">
        <v>97.55</v>
      </c>
      <c r="AQ587" s="40">
        <v>97.61999999999999</v>
      </c>
      <c r="AR587" s="40">
        <v>97.45</v>
      </c>
      <c r="AS587" s="40">
        <v>97.13000000000001</v>
      </c>
      <c r="AT587" s="40">
        <v>97.39</v>
      </c>
      <c r="AU587" s="40">
        <v>93.24</v>
      </c>
      <c r="AV587" s="40">
        <v>96.22</v>
      </c>
      <c r="AW587" s="40">
        <v>96.740000000000009</v>
      </c>
      <c r="AX587" s="40">
        <v>97.070000000000007</v>
      </c>
      <c r="AY587" s="40">
        <v>96.98</v>
      </c>
      <c r="AZ587" s="40">
        <v>96.67</v>
      </c>
      <c r="BA587" s="40">
        <v>96.77</v>
      </c>
      <c r="BB587" s="174">
        <v>43206</v>
      </c>
      <c r="BC587" s="174">
        <v>43511</v>
      </c>
    </row>
    <row r="588" spans="1:55" ht="45">
      <c r="A588" s="18" t="s">
        <v>6</v>
      </c>
      <c r="B588" s="18" t="s">
        <v>1058</v>
      </c>
      <c r="C588" s="23" t="s">
        <v>10</v>
      </c>
      <c r="D588" s="23" t="s">
        <v>10</v>
      </c>
      <c r="E588" s="23" t="s">
        <v>11</v>
      </c>
      <c r="F588" s="23" t="s">
        <v>11</v>
      </c>
      <c r="G588" s="18" t="s">
        <v>574</v>
      </c>
      <c r="H588" s="19">
        <v>2079</v>
      </c>
      <c r="I588" s="37">
        <v>385</v>
      </c>
      <c r="J588" s="19">
        <v>97</v>
      </c>
      <c r="K588" s="21" t="s">
        <v>1219</v>
      </c>
      <c r="L588" s="49" t="s">
        <v>439</v>
      </c>
      <c r="M588" s="38" t="s">
        <v>568</v>
      </c>
      <c r="N588" s="174">
        <v>43388</v>
      </c>
      <c r="O588" s="23" t="s">
        <v>17</v>
      </c>
      <c r="P588" s="23" t="s">
        <v>17</v>
      </c>
      <c r="Q588" s="23" t="s">
        <v>17</v>
      </c>
      <c r="R588" s="151" t="s">
        <v>573</v>
      </c>
      <c r="S588" s="39" t="s">
        <v>10</v>
      </c>
      <c r="T588" s="39" t="s">
        <v>11</v>
      </c>
      <c r="U588" s="153">
        <v>297</v>
      </c>
      <c r="V588" s="153"/>
      <c r="W588" s="153"/>
      <c r="X588" s="153">
        <v>570</v>
      </c>
      <c r="Y588" s="153">
        <v>665</v>
      </c>
      <c r="Z588" s="153">
        <v>950</v>
      </c>
      <c r="AA588" s="40">
        <v>207.9</v>
      </c>
      <c r="AB588" s="40">
        <v>415.8</v>
      </c>
      <c r="AC588" s="40">
        <v>623.70000000000005</v>
      </c>
      <c r="AD588" s="40">
        <v>1039.5</v>
      </c>
      <c r="AE588" s="40">
        <v>1559.25</v>
      </c>
      <c r="AF588" s="40">
        <v>2079</v>
      </c>
      <c r="AG588" s="40">
        <v>96.63000000000001</v>
      </c>
      <c r="AH588" s="40">
        <v>97.68</v>
      </c>
      <c r="AI588" s="40">
        <v>97.8</v>
      </c>
      <c r="AJ588" s="40">
        <v>97.69</v>
      </c>
      <c r="AK588" s="40">
        <v>97.330000000000013</v>
      </c>
      <c r="AL588" s="40">
        <v>96.679999999999993</v>
      </c>
      <c r="AM588" s="40">
        <v>97.42</v>
      </c>
      <c r="AN588" s="40">
        <v>96.07</v>
      </c>
      <c r="AO588" s="40">
        <v>97.38</v>
      </c>
      <c r="AP588" s="40">
        <v>97.58</v>
      </c>
      <c r="AQ588" s="40">
        <v>97.53</v>
      </c>
      <c r="AR588" s="40">
        <v>97.21</v>
      </c>
      <c r="AS588" s="40">
        <v>96.57</v>
      </c>
      <c r="AT588" s="40">
        <v>97.25</v>
      </c>
      <c r="AU588" s="40">
        <v>94.45</v>
      </c>
      <c r="AV588" s="40">
        <v>96.53</v>
      </c>
      <c r="AW588" s="40">
        <v>96.960000000000008</v>
      </c>
      <c r="AX588" s="40">
        <v>97.05</v>
      </c>
      <c r="AY588" s="40">
        <v>96.73</v>
      </c>
      <c r="AZ588" s="40">
        <v>96.179999999999993</v>
      </c>
      <c r="BA588" s="40">
        <v>96.69</v>
      </c>
      <c r="BB588" s="174">
        <v>43206</v>
      </c>
      <c r="BC588" s="174">
        <v>43511</v>
      </c>
    </row>
    <row r="589" spans="1:55" ht="45">
      <c r="A589" s="18" t="s">
        <v>6</v>
      </c>
      <c r="B589" s="18" t="s">
        <v>1671</v>
      </c>
      <c r="C589" s="23" t="s">
        <v>10</v>
      </c>
      <c r="D589" s="23" t="s">
        <v>10</v>
      </c>
      <c r="E589" s="23" t="s">
        <v>10</v>
      </c>
      <c r="F589" s="23" t="s">
        <v>11</v>
      </c>
      <c r="G589" s="18" t="s">
        <v>1667</v>
      </c>
      <c r="H589" s="19">
        <v>125</v>
      </c>
      <c r="I589" s="37">
        <v>480</v>
      </c>
      <c r="J589" s="19">
        <v>98.5</v>
      </c>
      <c r="K589" s="20" t="s">
        <v>1219</v>
      </c>
      <c r="L589" s="49" t="s">
        <v>1559</v>
      </c>
      <c r="M589" s="38" t="s">
        <v>1668</v>
      </c>
      <c r="N589" s="124">
        <v>43647</v>
      </c>
      <c r="O589" s="38" t="s">
        <v>1559</v>
      </c>
      <c r="P589" s="38" t="s">
        <v>17</v>
      </c>
      <c r="Q589" s="38" t="s">
        <v>17</v>
      </c>
      <c r="R589" s="151"/>
      <c r="S589" s="39" t="s">
        <v>11</v>
      </c>
      <c r="T589" s="39" t="s">
        <v>11</v>
      </c>
      <c r="U589" s="153">
        <v>5.37</v>
      </c>
      <c r="V589" s="153"/>
      <c r="W589" s="153"/>
      <c r="X589" s="153">
        <v>705</v>
      </c>
      <c r="Y589" s="153">
        <v>830</v>
      </c>
      <c r="Z589" s="153">
        <v>1200</v>
      </c>
      <c r="AA589" s="40">
        <v>12.500700000000002</v>
      </c>
      <c r="AB589" s="40">
        <v>25.001400000000004</v>
      </c>
      <c r="AC589" s="40">
        <v>37.502099999999999</v>
      </c>
      <c r="AD589" s="40">
        <v>62.503500000000003</v>
      </c>
      <c r="AE589" s="40">
        <v>93.755250000000004</v>
      </c>
      <c r="AF589" s="40">
        <v>125.00700000000001</v>
      </c>
      <c r="AG589" s="40">
        <v>98.755599999999987</v>
      </c>
      <c r="AH589" s="40">
        <v>98.997600000000006</v>
      </c>
      <c r="AI589" s="40">
        <v>98.883799999999994</v>
      </c>
      <c r="AJ589" s="40">
        <v>98.82759999999999</v>
      </c>
      <c r="AK589" s="40">
        <v>98.606200000000015</v>
      </c>
      <c r="AL589" s="40">
        <v>98.284400000000005</v>
      </c>
      <c r="AM589" s="40">
        <v>98.695462000000006</v>
      </c>
      <c r="AN589" s="40">
        <v>98.440199999999976</v>
      </c>
      <c r="AO589" s="40">
        <v>98.823599999999985</v>
      </c>
      <c r="AP589" s="40">
        <v>98.695200000000014</v>
      </c>
      <c r="AQ589" s="40">
        <v>98.627400000000009</v>
      </c>
      <c r="AR589" s="40">
        <v>98.404799999999994</v>
      </c>
      <c r="AS589" s="40">
        <v>98.053799999999995</v>
      </c>
      <c r="AT589" s="40">
        <v>98.491199999999992</v>
      </c>
      <c r="AU589" s="40">
        <v>97.470200000000006</v>
      </c>
      <c r="AV589" s="40">
        <v>98.042400000000001</v>
      </c>
      <c r="AW589" s="40">
        <v>98.234999999999999</v>
      </c>
      <c r="AX589" s="40">
        <v>98.284199999999984</v>
      </c>
      <c r="AY589" s="40">
        <v>98.147599999999983</v>
      </c>
      <c r="AZ589" s="40">
        <v>97.811599999999999</v>
      </c>
      <c r="BA589" s="40">
        <v>98.137617999999989</v>
      </c>
      <c r="BB589" s="180">
        <v>43647</v>
      </c>
      <c r="BC589" s="180"/>
    </row>
    <row r="590" spans="1:55" ht="45">
      <c r="A590" s="18" t="s">
        <v>6</v>
      </c>
      <c r="B590" s="18" t="s">
        <v>1672</v>
      </c>
      <c r="C590" s="23" t="s">
        <v>10</v>
      </c>
      <c r="D590" s="23" t="s">
        <v>10</v>
      </c>
      <c r="E590" s="23" t="s">
        <v>10</v>
      </c>
      <c r="F590" s="23" t="s">
        <v>11</v>
      </c>
      <c r="G590" s="18" t="s">
        <v>1669</v>
      </c>
      <c r="H590" s="19">
        <v>150</v>
      </c>
      <c r="I590" s="37">
        <v>600</v>
      </c>
      <c r="J590" s="19">
        <v>99</v>
      </c>
      <c r="K590" s="20" t="s">
        <v>1219</v>
      </c>
      <c r="L590" s="49" t="s">
        <v>1559</v>
      </c>
      <c r="M590" s="38" t="s">
        <v>1668</v>
      </c>
      <c r="N590" s="124">
        <v>43647</v>
      </c>
      <c r="O590" s="38" t="s">
        <v>1559</v>
      </c>
      <c r="P590" s="38" t="s">
        <v>17</v>
      </c>
      <c r="Q590" s="38" t="s">
        <v>17</v>
      </c>
      <c r="R590" s="151"/>
      <c r="S590" s="39" t="s">
        <v>11</v>
      </c>
      <c r="T590" s="39" t="s">
        <v>11</v>
      </c>
      <c r="U590" s="153">
        <v>6.63</v>
      </c>
      <c r="V590" s="153"/>
      <c r="W590" s="153"/>
      <c r="X590" s="153">
        <v>880</v>
      </c>
      <c r="Y590" s="153">
        <v>960</v>
      </c>
      <c r="Z590" s="153">
        <v>1200</v>
      </c>
      <c r="AA590" s="40">
        <v>15.007867000000003</v>
      </c>
      <c r="AB590" s="40">
        <v>30.015734000000005</v>
      </c>
      <c r="AC590" s="40">
        <v>45.023601000000006</v>
      </c>
      <c r="AD590" s="40">
        <v>75.039335000000008</v>
      </c>
      <c r="AE590" s="40">
        <v>112.55900250000002</v>
      </c>
      <c r="AF590" s="40">
        <v>150.07867000000002</v>
      </c>
      <c r="AG590" s="40">
        <v>98.7136</v>
      </c>
      <c r="AH590" s="40">
        <v>99.051999999999992</v>
      </c>
      <c r="AI590" s="40">
        <v>98.978999999999999</v>
      </c>
      <c r="AJ590" s="40">
        <v>98.954999999999998</v>
      </c>
      <c r="AK590" s="40">
        <v>98.81519999999999</v>
      </c>
      <c r="AL590" s="40">
        <v>98.582000000000008</v>
      </c>
      <c r="AM590" s="40">
        <v>98.860330000000005</v>
      </c>
      <c r="AN590" s="40">
        <v>98.722000000000008</v>
      </c>
      <c r="AO590" s="40">
        <v>99.032200000000003</v>
      </c>
      <c r="AP590" s="40">
        <v>99.016199999999998</v>
      </c>
      <c r="AQ590" s="40">
        <v>98.96220000000001</v>
      </c>
      <c r="AR590" s="40">
        <v>98.761799999999994</v>
      </c>
      <c r="AS590" s="40">
        <v>98.523200000000003</v>
      </c>
      <c r="AT590" s="40">
        <v>98.834410000000005</v>
      </c>
      <c r="AU590" s="40">
        <v>98.083799999999997</v>
      </c>
      <c r="AV590" s="40">
        <v>98.629400000000004</v>
      </c>
      <c r="AW590" s="40">
        <v>98.703999999999994</v>
      </c>
      <c r="AX590" s="40">
        <v>98.705600000000004</v>
      </c>
      <c r="AY590" s="40">
        <v>98.5702</v>
      </c>
      <c r="AZ590" s="40">
        <v>98.319400000000002</v>
      </c>
      <c r="BA590" s="40">
        <v>98.585654000000005</v>
      </c>
      <c r="BB590" s="180">
        <v>43647</v>
      </c>
      <c r="BC590" s="180"/>
    </row>
    <row r="591" spans="1:55" ht="45">
      <c r="A591" s="140" t="s">
        <v>6</v>
      </c>
      <c r="B591" s="140" t="s">
        <v>1187</v>
      </c>
      <c r="C591" s="26" t="s">
        <v>10</v>
      </c>
      <c r="D591" s="26" t="s">
        <v>10</v>
      </c>
      <c r="E591" s="23" t="s">
        <v>10</v>
      </c>
      <c r="F591" s="23" t="s">
        <v>11</v>
      </c>
      <c r="G591" s="140" t="s">
        <v>1188</v>
      </c>
      <c r="H591" s="149">
        <v>33.299999999999997</v>
      </c>
      <c r="I591" s="129">
        <v>480</v>
      </c>
      <c r="J591" s="137">
        <v>97.5</v>
      </c>
      <c r="K591" s="21" t="s">
        <v>1219</v>
      </c>
      <c r="L591" s="58" t="s">
        <v>1189</v>
      </c>
      <c r="M591" s="26" t="s">
        <v>1190</v>
      </c>
      <c r="N591" s="175">
        <v>43451</v>
      </c>
      <c r="O591" s="58" t="s">
        <v>1189</v>
      </c>
      <c r="P591" s="23" t="s">
        <v>17</v>
      </c>
      <c r="Q591" s="23" t="s">
        <v>17</v>
      </c>
      <c r="R591" s="152"/>
      <c r="S591" s="131" t="s">
        <v>11</v>
      </c>
      <c r="T591" s="131" t="s">
        <v>11</v>
      </c>
      <c r="U591" s="132">
        <v>5.43</v>
      </c>
      <c r="V591" s="133"/>
      <c r="W591" s="133"/>
      <c r="X591" s="133">
        <v>330</v>
      </c>
      <c r="Y591" s="133">
        <v>683</v>
      </c>
      <c r="Z591" s="133">
        <v>800</v>
      </c>
      <c r="AA591" s="132">
        <v>3.33</v>
      </c>
      <c r="AB591" s="132">
        <v>6.66</v>
      </c>
      <c r="AC591" s="132">
        <v>9.9899999999999984</v>
      </c>
      <c r="AD591" s="132">
        <v>16.649999999999999</v>
      </c>
      <c r="AE591" s="132">
        <v>24.974999999999998</v>
      </c>
      <c r="AF591" s="132">
        <v>33.299999999999997</v>
      </c>
      <c r="AG591" s="137">
        <v>94.259</v>
      </c>
      <c r="AH591" s="137">
        <v>96.337000000000018</v>
      </c>
      <c r="AI591" s="137">
        <v>96.705000000000013</v>
      </c>
      <c r="AJ591" s="137">
        <v>96.64400000000002</v>
      </c>
      <c r="AK591" s="137">
        <v>96.46</v>
      </c>
      <c r="AL591" s="137">
        <v>96.002999999999986</v>
      </c>
      <c r="AM591" s="137">
        <v>96.411000000000016</v>
      </c>
      <c r="AN591" s="137">
        <v>94.707000000000022</v>
      </c>
      <c r="AO591" s="137">
        <v>96.754999999999995</v>
      </c>
      <c r="AP591" s="137">
        <v>97.302999999999983</v>
      </c>
      <c r="AQ591" s="137">
        <v>97.646999999999991</v>
      </c>
      <c r="AR591" s="137">
        <v>97.694000000000003</v>
      </c>
      <c r="AS591" s="137">
        <v>97.719000000000008</v>
      </c>
      <c r="AT591" s="137">
        <v>97.47202999999999</v>
      </c>
      <c r="AU591" s="137">
        <v>95.731000000000009</v>
      </c>
      <c r="AV591" s="137">
        <v>97.626000000000005</v>
      </c>
      <c r="AW591" s="137">
        <v>98.043999999999983</v>
      </c>
      <c r="AX591" s="137">
        <v>98.228999999999999</v>
      </c>
      <c r="AY591" s="137">
        <v>98.119</v>
      </c>
      <c r="AZ591" s="137">
        <v>97.988000000000014</v>
      </c>
      <c r="BA591" s="137">
        <v>98.006379999999993</v>
      </c>
      <c r="BB591" s="176">
        <v>43451</v>
      </c>
      <c r="BC591" s="175">
        <v>43511</v>
      </c>
    </row>
    <row r="592" spans="1:55" ht="45">
      <c r="A592" s="140" t="s">
        <v>6</v>
      </c>
      <c r="B592" s="140" t="s">
        <v>1191</v>
      </c>
      <c r="C592" s="26" t="s">
        <v>10</v>
      </c>
      <c r="D592" s="26" t="s">
        <v>10</v>
      </c>
      <c r="E592" s="23" t="s">
        <v>10</v>
      </c>
      <c r="F592" s="23" t="s">
        <v>11</v>
      </c>
      <c r="G592" s="140" t="s">
        <v>1192</v>
      </c>
      <c r="H592" s="149">
        <v>50</v>
      </c>
      <c r="I592" s="129">
        <v>480</v>
      </c>
      <c r="J592" s="137">
        <v>97.5</v>
      </c>
      <c r="K592" s="21" t="s">
        <v>1219</v>
      </c>
      <c r="L592" s="58" t="s">
        <v>1189</v>
      </c>
      <c r="M592" s="26" t="s">
        <v>1190</v>
      </c>
      <c r="N592" s="175">
        <v>43451</v>
      </c>
      <c r="O592" s="58" t="s">
        <v>1189</v>
      </c>
      <c r="P592" s="23" t="s">
        <v>17</v>
      </c>
      <c r="Q592" s="23" t="s">
        <v>17</v>
      </c>
      <c r="R592" s="152"/>
      <c r="S592" s="131" t="s">
        <v>11</v>
      </c>
      <c r="T592" s="131" t="s">
        <v>11</v>
      </c>
      <c r="U592" s="132">
        <v>5.43</v>
      </c>
      <c r="V592" s="133"/>
      <c r="W592" s="133"/>
      <c r="X592" s="133">
        <v>500</v>
      </c>
      <c r="Y592" s="133">
        <v>725</v>
      </c>
      <c r="Z592" s="133">
        <v>800</v>
      </c>
      <c r="AA592" s="132">
        <v>5.0006000000000004</v>
      </c>
      <c r="AB592" s="132">
        <v>10.001200000000001</v>
      </c>
      <c r="AC592" s="132">
        <v>15.001799999999999</v>
      </c>
      <c r="AD592" s="132">
        <v>25.003</v>
      </c>
      <c r="AE592" s="132">
        <v>37.5045</v>
      </c>
      <c r="AF592" s="132">
        <v>50.006</v>
      </c>
      <c r="AG592" s="137">
        <v>95.551999999999992</v>
      </c>
      <c r="AH592" s="137">
        <v>97.12299999999999</v>
      </c>
      <c r="AI592" s="137">
        <v>97.41</v>
      </c>
      <c r="AJ592" s="137">
        <v>97.362000000000009</v>
      </c>
      <c r="AK592" s="137">
        <v>97.004999999999995</v>
      </c>
      <c r="AL592" s="137">
        <v>96.688000000000017</v>
      </c>
      <c r="AM592" s="137">
        <v>97.060500000000005</v>
      </c>
      <c r="AN592" s="137">
        <v>96.195000000000007</v>
      </c>
      <c r="AO592" s="137">
        <v>97.446000000000026</v>
      </c>
      <c r="AP592" s="137">
        <v>97.741</v>
      </c>
      <c r="AQ592" s="137">
        <v>97.833000000000013</v>
      </c>
      <c r="AR592" s="137">
        <v>97.603999999999999</v>
      </c>
      <c r="AS592" s="137">
        <v>97.356999999999999</v>
      </c>
      <c r="AT592" s="137">
        <v>97.591920000000002</v>
      </c>
      <c r="AU592" s="137">
        <v>97.061999999999998</v>
      </c>
      <c r="AV592" s="137">
        <v>98.073999999999998</v>
      </c>
      <c r="AW592" s="137">
        <v>98.228999999999999</v>
      </c>
      <c r="AX592" s="137">
        <v>98.119</v>
      </c>
      <c r="AY592" s="137">
        <v>97.965000000000003</v>
      </c>
      <c r="AZ592" s="137">
        <v>97.765000000000015</v>
      </c>
      <c r="BA592" s="137">
        <v>97.988350000000011</v>
      </c>
      <c r="BB592" s="176">
        <v>43451</v>
      </c>
      <c r="BC592" s="175">
        <v>43511</v>
      </c>
    </row>
    <row r="593" spans="1:55" ht="45">
      <c r="A593" s="140" t="s">
        <v>6</v>
      </c>
      <c r="B593" s="140" t="s">
        <v>1193</v>
      </c>
      <c r="C593" s="26" t="s">
        <v>10</v>
      </c>
      <c r="D593" s="26" t="s">
        <v>10</v>
      </c>
      <c r="E593" s="23" t="s">
        <v>10</v>
      </c>
      <c r="F593" s="23" t="s">
        <v>11</v>
      </c>
      <c r="G593" s="140" t="s">
        <v>1194</v>
      </c>
      <c r="H593" s="149">
        <v>62.5</v>
      </c>
      <c r="I593" s="129">
        <v>480</v>
      </c>
      <c r="J593" s="137">
        <v>97.5</v>
      </c>
      <c r="K593" s="21" t="s">
        <v>1219</v>
      </c>
      <c r="L593" s="58" t="s">
        <v>1189</v>
      </c>
      <c r="M593" s="26" t="s">
        <v>1190</v>
      </c>
      <c r="N593" s="175">
        <v>43451</v>
      </c>
      <c r="O593" s="58" t="s">
        <v>1189</v>
      </c>
      <c r="P593" s="23" t="s">
        <v>17</v>
      </c>
      <c r="Q593" s="23" t="s">
        <v>17</v>
      </c>
      <c r="R593" s="152"/>
      <c r="S593" s="131" t="s">
        <v>11</v>
      </c>
      <c r="T593" s="131" t="s">
        <v>11</v>
      </c>
      <c r="U593" s="132">
        <v>5.43</v>
      </c>
      <c r="V593" s="133"/>
      <c r="W593" s="133"/>
      <c r="X593" s="133">
        <v>500</v>
      </c>
      <c r="Y593" s="133">
        <v>725</v>
      </c>
      <c r="Z593" s="133">
        <v>800</v>
      </c>
      <c r="AA593" s="132">
        <v>6.25</v>
      </c>
      <c r="AB593" s="132">
        <v>12.5</v>
      </c>
      <c r="AC593" s="132">
        <v>18.75</v>
      </c>
      <c r="AD593" s="132">
        <v>31.25</v>
      </c>
      <c r="AE593" s="132">
        <v>46.875</v>
      </c>
      <c r="AF593" s="132">
        <v>62.5</v>
      </c>
      <c r="AG593" s="137">
        <v>96.186000000000007</v>
      </c>
      <c r="AH593" s="137">
        <v>97.248999999999995</v>
      </c>
      <c r="AI593" s="137">
        <v>97.41</v>
      </c>
      <c r="AJ593" s="137">
        <v>97.376000000000005</v>
      </c>
      <c r="AK593" s="137">
        <v>97.170999999999992</v>
      </c>
      <c r="AL593" s="137">
        <v>96.537999999999997</v>
      </c>
      <c r="AM593" s="137">
        <v>97.175579999999997</v>
      </c>
      <c r="AN593" s="137">
        <v>96.698999999999998</v>
      </c>
      <c r="AO593" s="137">
        <v>97.649999999999991</v>
      </c>
      <c r="AP593" s="137">
        <v>97.804000000000002</v>
      </c>
      <c r="AQ593" s="137">
        <v>97.787999999999982</v>
      </c>
      <c r="AR593" s="137">
        <v>97.419999999999987</v>
      </c>
      <c r="AS593" s="137">
        <v>97.048000000000002</v>
      </c>
      <c r="AT593" s="137">
        <v>97.507419999999996</v>
      </c>
      <c r="AU593" s="137">
        <v>97.37700000000001</v>
      </c>
      <c r="AV593" s="137">
        <v>98.172000000000011</v>
      </c>
      <c r="AW593" s="137">
        <v>98.225000000000009</v>
      </c>
      <c r="AX593" s="137">
        <v>98.063000000000002</v>
      </c>
      <c r="AY593" s="137">
        <v>97.819000000000017</v>
      </c>
      <c r="AZ593" s="137">
        <v>97.456999999999994</v>
      </c>
      <c r="BA593" s="137">
        <v>97.900830000000013</v>
      </c>
      <c r="BB593" s="176">
        <v>43451</v>
      </c>
      <c r="BC593" s="175">
        <v>43511</v>
      </c>
    </row>
    <row r="594" spans="1:55" ht="45">
      <c r="A594" s="18" t="s">
        <v>6</v>
      </c>
      <c r="B594" s="18" t="s">
        <v>1052</v>
      </c>
      <c r="C594" s="23" t="s">
        <v>10</v>
      </c>
      <c r="D594" s="23" t="s">
        <v>10</v>
      </c>
      <c r="E594" s="23" t="s">
        <v>10</v>
      </c>
      <c r="F594" s="23" t="s">
        <v>11</v>
      </c>
      <c r="G594" s="18" t="s">
        <v>155</v>
      </c>
      <c r="H594" s="19">
        <v>12</v>
      </c>
      <c r="I594" s="19">
        <v>480</v>
      </c>
      <c r="J594" s="19">
        <v>97.5</v>
      </c>
      <c r="K594" s="21" t="s">
        <v>1219</v>
      </c>
      <c r="L594" s="49" t="s">
        <v>462</v>
      </c>
      <c r="M594" s="21" t="s">
        <v>463</v>
      </c>
      <c r="N594" s="174">
        <v>43388</v>
      </c>
      <c r="O594" s="49" t="s">
        <v>462</v>
      </c>
      <c r="P594" s="23" t="s">
        <v>17</v>
      </c>
      <c r="Q594" s="23" t="s">
        <v>17</v>
      </c>
      <c r="R594" s="150"/>
      <c r="S594" s="20" t="s">
        <v>10</v>
      </c>
      <c r="T594" s="20" t="s">
        <v>11</v>
      </c>
      <c r="U594" s="19">
        <v>1.79</v>
      </c>
      <c r="V594" s="19"/>
      <c r="W594" s="19"/>
      <c r="X594" s="19">
        <v>300</v>
      </c>
      <c r="Y594" s="19">
        <v>675</v>
      </c>
      <c r="Z594" s="19">
        <v>800</v>
      </c>
      <c r="AA594" s="40">
        <v>1.2000000000000002</v>
      </c>
      <c r="AB594" s="40">
        <v>2.4000000000000004</v>
      </c>
      <c r="AC594" s="40">
        <v>3.5999999999999996</v>
      </c>
      <c r="AD594" s="40">
        <v>6</v>
      </c>
      <c r="AE594" s="40">
        <v>9</v>
      </c>
      <c r="AF594" s="40">
        <v>12</v>
      </c>
      <c r="AG594" s="40">
        <v>92.894674644817883</v>
      </c>
      <c r="AH594" s="40">
        <v>95.825371847114951</v>
      </c>
      <c r="AI594" s="40">
        <v>96.49457533743761</v>
      </c>
      <c r="AJ594" s="40">
        <v>96.690700406340042</v>
      </c>
      <c r="AK594" s="40">
        <v>96.627312947730815</v>
      </c>
      <c r="AL594" s="40">
        <v>96.507013910909436</v>
      </c>
      <c r="AM594" s="40">
        <v>96.429278261815185</v>
      </c>
      <c r="AN594" s="40">
        <v>94.885736215076193</v>
      </c>
      <c r="AO594" s="40">
        <v>96.883040483522223</v>
      </c>
      <c r="AP594" s="40">
        <v>97.494372087983805</v>
      </c>
      <c r="AQ594" s="40">
        <v>97.777000604401067</v>
      </c>
      <c r="AR594" s="40">
        <v>97.832115333209018</v>
      </c>
      <c r="AS594" s="40">
        <v>97.811357024005105</v>
      </c>
      <c r="AT594" s="40">
        <v>97.613665228062487</v>
      </c>
      <c r="AU594" s="40">
        <v>94.154840052277819</v>
      </c>
      <c r="AV594" s="40">
        <v>97.204030409030267</v>
      </c>
      <c r="AW594" s="40">
        <v>97.700750214004856</v>
      </c>
      <c r="AX594" s="40">
        <v>98.014008962786292</v>
      </c>
      <c r="AY594" s="40">
        <v>98.183788377033963</v>
      </c>
      <c r="AZ594" s="40">
        <v>98.189784411397596</v>
      </c>
      <c r="BA594" s="40">
        <v>97.880324090806212</v>
      </c>
      <c r="BB594" s="174">
        <v>43313</v>
      </c>
      <c r="BC594" s="174">
        <v>43511</v>
      </c>
    </row>
    <row r="595" spans="1:55" ht="45">
      <c r="A595" s="18" t="s">
        <v>6</v>
      </c>
      <c r="B595" s="18" t="s">
        <v>1053</v>
      </c>
      <c r="C595" s="23" t="s">
        <v>10</v>
      </c>
      <c r="D595" s="23" t="s">
        <v>10</v>
      </c>
      <c r="E595" s="23" t="s">
        <v>10</v>
      </c>
      <c r="F595" s="23" t="s">
        <v>11</v>
      </c>
      <c r="G595" s="18" t="s">
        <v>156</v>
      </c>
      <c r="H595" s="19">
        <v>15</v>
      </c>
      <c r="I595" s="19">
        <v>480</v>
      </c>
      <c r="J595" s="19">
        <v>97.5</v>
      </c>
      <c r="K595" s="21" t="s">
        <v>1219</v>
      </c>
      <c r="L595" s="49" t="s">
        <v>462</v>
      </c>
      <c r="M595" s="21" t="s">
        <v>463</v>
      </c>
      <c r="N595" s="174">
        <v>43388</v>
      </c>
      <c r="O595" s="49" t="s">
        <v>462</v>
      </c>
      <c r="P595" s="23" t="s">
        <v>17</v>
      </c>
      <c r="Q595" s="23" t="s">
        <v>17</v>
      </c>
      <c r="R595" s="150"/>
      <c r="S595" s="20" t="s">
        <v>10</v>
      </c>
      <c r="T595" s="20" t="s">
        <v>11</v>
      </c>
      <c r="U595" s="19">
        <v>1.79</v>
      </c>
      <c r="V595" s="19"/>
      <c r="W595" s="19"/>
      <c r="X595" s="19">
        <v>300</v>
      </c>
      <c r="Y595" s="19">
        <v>675</v>
      </c>
      <c r="Z595" s="19">
        <v>800</v>
      </c>
      <c r="AA595" s="40">
        <v>1.5</v>
      </c>
      <c r="AB595" s="40">
        <v>3</v>
      </c>
      <c r="AC595" s="40">
        <v>4.5</v>
      </c>
      <c r="AD595" s="40">
        <v>7.5</v>
      </c>
      <c r="AE595" s="40">
        <v>11.25</v>
      </c>
      <c r="AF595" s="40">
        <v>15</v>
      </c>
      <c r="AG595" s="40">
        <v>93.855655768325036</v>
      </c>
      <c r="AH595" s="40">
        <v>96.220132968022185</v>
      </c>
      <c r="AI595" s="40">
        <v>96.731415475995405</v>
      </c>
      <c r="AJ595" s="40">
        <v>96.662686184447367</v>
      </c>
      <c r="AK595" s="40">
        <v>96.525350018358225</v>
      </c>
      <c r="AL595" s="40">
        <v>96.347074199043405</v>
      </c>
      <c r="AM595" s="40">
        <v>96.447956054669547</v>
      </c>
      <c r="AN595" s="40">
        <v>95.495928692020158</v>
      </c>
      <c r="AO595" s="40">
        <v>97.192892755040859</v>
      </c>
      <c r="AP595" s="40">
        <v>97.796289926240703</v>
      </c>
      <c r="AQ595" s="40">
        <v>97.802899005800356</v>
      </c>
      <c r="AR595" s="40">
        <v>97.832975895750408</v>
      </c>
      <c r="AS595" s="40">
        <v>97.777428409336565</v>
      </c>
      <c r="AT595" s="40">
        <v>97.693994013014347</v>
      </c>
      <c r="AU595" s="40">
        <v>95.552946082935037</v>
      </c>
      <c r="AV595" s="40">
        <v>97.515080368134008</v>
      </c>
      <c r="AW595" s="40">
        <v>97.923591757588014</v>
      </c>
      <c r="AX595" s="40">
        <v>98.172996722782088</v>
      </c>
      <c r="AY595" s="40">
        <v>98.214818639191321</v>
      </c>
      <c r="AZ595" s="40">
        <v>98.157219501191648</v>
      </c>
      <c r="BA595" s="40">
        <v>98.02674703824988</v>
      </c>
      <c r="BB595" s="174">
        <v>43313</v>
      </c>
      <c r="BC595" s="174">
        <v>43511</v>
      </c>
    </row>
    <row r="596" spans="1:55" ht="45">
      <c r="A596" s="18" t="s">
        <v>6</v>
      </c>
      <c r="B596" s="18" t="s">
        <v>1054</v>
      </c>
      <c r="C596" s="23" t="s">
        <v>10</v>
      </c>
      <c r="D596" s="23" t="s">
        <v>10</v>
      </c>
      <c r="E596" s="23" t="s">
        <v>10</v>
      </c>
      <c r="F596" s="23" t="s">
        <v>11</v>
      </c>
      <c r="G596" s="18" t="s">
        <v>157</v>
      </c>
      <c r="H596" s="19">
        <v>20</v>
      </c>
      <c r="I596" s="19">
        <v>480</v>
      </c>
      <c r="J596" s="19">
        <v>97.5</v>
      </c>
      <c r="K596" s="21" t="s">
        <v>1219</v>
      </c>
      <c r="L596" s="49" t="s">
        <v>462</v>
      </c>
      <c r="M596" s="21" t="s">
        <v>463</v>
      </c>
      <c r="N596" s="174">
        <v>43388</v>
      </c>
      <c r="O596" s="49" t="s">
        <v>462</v>
      </c>
      <c r="P596" s="23" t="s">
        <v>17</v>
      </c>
      <c r="Q596" s="23" t="s">
        <v>17</v>
      </c>
      <c r="R596" s="150"/>
      <c r="S596" s="20" t="s">
        <v>10</v>
      </c>
      <c r="T596" s="20" t="s">
        <v>11</v>
      </c>
      <c r="U596" s="19">
        <v>1.79</v>
      </c>
      <c r="V596" s="19"/>
      <c r="W596" s="19"/>
      <c r="X596" s="19">
        <v>380</v>
      </c>
      <c r="Y596" s="19">
        <v>695</v>
      </c>
      <c r="Z596" s="19">
        <v>800</v>
      </c>
      <c r="AA596" s="40">
        <v>2</v>
      </c>
      <c r="AB596" s="40">
        <v>4</v>
      </c>
      <c r="AC596" s="40">
        <v>6</v>
      </c>
      <c r="AD596" s="40">
        <v>10</v>
      </c>
      <c r="AE596" s="40">
        <v>15</v>
      </c>
      <c r="AF596" s="40">
        <v>20</v>
      </c>
      <c r="AG596" s="40">
        <v>95.166002573680657</v>
      </c>
      <c r="AH596" s="40">
        <v>96.960461207919593</v>
      </c>
      <c r="AI596" s="40">
        <v>97.206210307973649</v>
      </c>
      <c r="AJ596" s="40">
        <v>97.083526385263212</v>
      </c>
      <c r="AK596" s="40">
        <v>96.934118174722499</v>
      </c>
      <c r="AL596" s="40">
        <v>96.705141513761617</v>
      </c>
      <c r="AM596" s="40">
        <v>96.917288649496328</v>
      </c>
      <c r="AN596" s="40">
        <v>97.228849010193727</v>
      </c>
      <c r="AO596" s="40">
        <v>98.289481853362432</v>
      </c>
      <c r="AP596" s="40">
        <v>98.509907734190421</v>
      </c>
      <c r="AQ596" s="40">
        <v>98.548489172388329</v>
      </c>
      <c r="AR596" s="40">
        <v>97.836810327646688</v>
      </c>
      <c r="AS596" s="40">
        <v>97.705085096687185</v>
      </c>
      <c r="AT596" s="40">
        <v>98.058763435867391</v>
      </c>
      <c r="AU596" s="40">
        <v>96.492868266958425</v>
      </c>
      <c r="AV596" s="40">
        <v>97.86877684687623</v>
      </c>
      <c r="AW596" s="40">
        <v>98.130627177880115</v>
      </c>
      <c r="AX596" s="40">
        <v>98.219804322689427</v>
      </c>
      <c r="AY596" s="40">
        <v>98.174642673551418</v>
      </c>
      <c r="AZ596" s="40">
        <v>98.04215458277919</v>
      </c>
      <c r="BA596" s="40">
        <v>98.089656088253761</v>
      </c>
      <c r="BB596" s="174">
        <v>43313</v>
      </c>
      <c r="BC596" s="174">
        <v>43511</v>
      </c>
    </row>
    <row r="597" spans="1:55" ht="45">
      <c r="A597" s="18" t="s">
        <v>6</v>
      </c>
      <c r="B597" s="18" t="s">
        <v>391</v>
      </c>
      <c r="C597" s="23" t="s">
        <v>10</v>
      </c>
      <c r="D597" s="23" t="s">
        <v>10</v>
      </c>
      <c r="E597" s="23" t="s">
        <v>10</v>
      </c>
      <c r="F597" s="23" t="s">
        <v>11</v>
      </c>
      <c r="G597" s="18" t="s">
        <v>158</v>
      </c>
      <c r="H597" s="19">
        <v>24</v>
      </c>
      <c r="I597" s="19">
        <v>480</v>
      </c>
      <c r="J597" s="19">
        <v>98</v>
      </c>
      <c r="K597" s="21" t="s">
        <v>1219</v>
      </c>
      <c r="L597" s="49" t="s">
        <v>462</v>
      </c>
      <c r="M597" s="21" t="s">
        <v>463</v>
      </c>
      <c r="N597" s="174">
        <v>43388</v>
      </c>
      <c r="O597" s="49" t="s">
        <v>462</v>
      </c>
      <c r="P597" s="23" t="s">
        <v>17</v>
      </c>
      <c r="Q597" s="23" t="s">
        <v>17</v>
      </c>
      <c r="R597" s="150"/>
      <c r="S597" s="20" t="s">
        <v>10</v>
      </c>
      <c r="T597" s="20" t="s">
        <v>11</v>
      </c>
      <c r="U597" s="19">
        <v>1.79</v>
      </c>
      <c r="V597" s="19"/>
      <c r="W597" s="19"/>
      <c r="X597" s="19">
        <v>450</v>
      </c>
      <c r="Y597" s="19">
        <v>712</v>
      </c>
      <c r="Z597" s="19">
        <v>800</v>
      </c>
      <c r="AA597" s="40">
        <v>2.4060000000000001</v>
      </c>
      <c r="AB597" s="40">
        <v>4.8120000000000003</v>
      </c>
      <c r="AC597" s="40">
        <v>7.2179999999999991</v>
      </c>
      <c r="AD597" s="40">
        <v>12.03</v>
      </c>
      <c r="AE597" s="40">
        <v>18.044999999999998</v>
      </c>
      <c r="AF597" s="40">
        <v>24.06</v>
      </c>
      <c r="AG597" s="40">
        <v>96.082505616067209</v>
      </c>
      <c r="AH597" s="40">
        <v>97.424181190564596</v>
      </c>
      <c r="AI597" s="40">
        <v>97.444656931781154</v>
      </c>
      <c r="AJ597" s="40">
        <v>97.315063669223932</v>
      </c>
      <c r="AK597" s="40">
        <v>97.122156907959265</v>
      </c>
      <c r="AL597" s="40">
        <v>96.865885453167053</v>
      </c>
      <c r="AM597" s="40">
        <v>97.162068920398454</v>
      </c>
      <c r="AN597" s="40">
        <v>97.45990452259629</v>
      </c>
      <c r="AO597" s="40">
        <v>98.348028973855392</v>
      </c>
      <c r="AP597" s="40">
        <v>98.503124414275888</v>
      </c>
      <c r="AQ597" s="40">
        <v>98.531362070230031</v>
      </c>
      <c r="AR597" s="40">
        <v>98.435119435359169</v>
      </c>
      <c r="AS597" s="40">
        <v>98.266514886637623</v>
      </c>
      <c r="AT597" s="40">
        <v>98.411697639130281</v>
      </c>
      <c r="AU597" s="40">
        <v>96.909942056488973</v>
      </c>
      <c r="AV597" s="40">
        <v>98.004925627161398</v>
      </c>
      <c r="AW597" s="40">
        <v>98.188558637442924</v>
      </c>
      <c r="AX597" s="40">
        <v>98.204070345596193</v>
      </c>
      <c r="AY597" s="40">
        <v>98.076628570877034</v>
      </c>
      <c r="AZ597" s="40">
        <v>97.882251177120239</v>
      </c>
      <c r="BA597" s="40">
        <v>98.056851474106807</v>
      </c>
      <c r="BB597" s="174">
        <v>43313</v>
      </c>
      <c r="BC597" s="174">
        <v>43511</v>
      </c>
    </row>
    <row r="598" spans="1:55" ht="45">
      <c r="A598" s="18" t="s">
        <v>6</v>
      </c>
      <c r="B598" s="18" t="s">
        <v>1055</v>
      </c>
      <c r="C598" s="23" t="s">
        <v>10</v>
      </c>
      <c r="D598" s="23" t="s">
        <v>10</v>
      </c>
      <c r="E598" s="23" t="s">
        <v>10</v>
      </c>
      <c r="F598" s="23" t="s">
        <v>11</v>
      </c>
      <c r="G598" s="18" t="s">
        <v>159</v>
      </c>
      <c r="H598" s="19">
        <v>30</v>
      </c>
      <c r="I598" s="19">
        <v>480</v>
      </c>
      <c r="J598" s="19">
        <v>98</v>
      </c>
      <c r="K598" s="21" t="s">
        <v>1219</v>
      </c>
      <c r="L598" s="49" t="s">
        <v>424</v>
      </c>
      <c r="M598" s="21" t="s">
        <v>463</v>
      </c>
      <c r="N598" s="174">
        <v>43388</v>
      </c>
      <c r="O598" s="49" t="s">
        <v>424</v>
      </c>
      <c r="P598" s="23" t="s">
        <v>17</v>
      </c>
      <c r="Q598" s="23" t="s">
        <v>17</v>
      </c>
      <c r="R598" s="150"/>
      <c r="S598" s="20" t="s">
        <v>10</v>
      </c>
      <c r="T598" s="20" t="s">
        <v>11</v>
      </c>
      <c r="U598" s="19">
        <v>1.22</v>
      </c>
      <c r="V598" s="19"/>
      <c r="W598" s="19"/>
      <c r="X598" s="19">
        <v>500</v>
      </c>
      <c r="Y598" s="19">
        <v>720</v>
      </c>
      <c r="Z598" s="19">
        <v>800</v>
      </c>
      <c r="AA598" s="40">
        <v>3.0010000000000003</v>
      </c>
      <c r="AB598" s="40">
        <v>6.0020000000000007</v>
      </c>
      <c r="AC598" s="40">
        <v>9.0030000000000001</v>
      </c>
      <c r="AD598" s="40">
        <v>15.005000000000001</v>
      </c>
      <c r="AE598" s="40">
        <v>22.5075</v>
      </c>
      <c r="AF598" s="40">
        <v>30.01</v>
      </c>
      <c r="AG598" s="40">
        <v>96.587999999999994</v>
      </c>
      <c r="AH598" s="40">
        <v>97.715999999999994</v>
      </c>
      <c r="AI598" s="40">
        <v>97.926000000000016</v>
      </c>
      <c r="AJ598" s="40">
        <v>97.97999999999999</v>
      </c>
      <c r="AK598" s="40">
        <v>97.838000000000008</v>
      </c>
      <c r="AL598" s="40">
        <v>97.622</v>
      </c>
      <c r="AM598" s="40">
        <v>97.811480000000017</v>
      </c>
      <c r="AN598" s="40">
        <v>97.588000000000008</v>
      </c>
      <c r="AO598" s="40">
        <v>98.448000000000008</v>
      </c>
      <c r="AP598" s="40">
        <v>98.690000000000012</v>
      </c>
      <c r="AQ598" s="40">
        <v>98.602000000000004</v>
      </c>
      <c r="AR598" s="40">
        <v>98.537999999999982</v>
      </c>
      <c r="AS598" s="40">
        <v>98.328000000000003</v>
      </c>
      <c r="AT598" s="40">
        <v>98.516679999999994</v>
      </c>
      <c r="AU598" s="40">
        <v>97.025999999999996</v>
      </c>
      <c r="AV598" s="40">
        <v>98.059999999999988</v>
      </c>
      <c r="AW598" s="40">
        <v>98.451999999999998</v>
      </c>
      <c r="AX598" s="40">
        <v>98.385999999999996</v>
      </c>
      <c r="AY598" s="40">
        <v>98.281999999999996</v>
      </c>
      <c r="AZ598" s="40">
        <v>98.08</v>
      </c>
      <c r="BA598" s="40">
        <v>98.252799999999993</v>
      </c>
      <c r="BB598" s="174">
        <v>43313</v>
      </c>
      <c r="BC598" s="174">
        <v>43511</v>
      </c>
    </row>
    <row r="599" spans="1:55" ht="45">
      <c r="A599" s="18" t="s">
        <v>6</v>
      </c>
      <c r="B599" s="18" t="s">
        <v>1056</v>
      </c>
      <c r="C599" s="39" t="s">
        <v>10</v>
      </c>
      <c r="D599" s="39" t="s">
        <v>10</v>
      </c>
      <c r="E599" s="23" t="s">
        <v>10</v>
      </c>
      <c r="F599" s="23" t="s">
        <v>11</v>
      </c>
      <c r="G599" s="18" t="s">
        <v>196</v>
      </c>
      <c r="H599" s="19">
        <v>50</v>
      </c>
      <c r="I599" s="19">
        <v>480</v>
      </c>
      <c r="J599" s="19">
        <v>98</v>
      </c>
      <c r="K599" s="21" t="s">
        <v>1219</v>
      </c>
      <c r="L599" s="49" t="s">
        <v>433</v>
      </c>
      <c r="M599" s="21" t="s">
        <v>464</v>
      </c>
      <c r="N599" s="174">
        <v>43388</v>
      </c>
      <c r="O599" s="49" t="s">
        <v>433</v>
      </c>
      <c r="P599" s="23" t="s">
        <v>17</v>
      </c>
      <c r="Q599" s="23" t="s">
        <v>17</v>
      </c>
      <c r="R599" s="150"/>
      <c r="S599" s="20" t="s">
        <v>11</v>
      </c>
      <c r="T599" s="20" t="s">
        <v>11</v>
      </c>
      <c r="U599" s="19">
        <v>5.0999999999999996</v>
      </c>
      <c r="V599" s="19"/>
      <c r="W599" s="19"/>
      <c r="X599" s="19">
        <v>500</v>
      </c>
      <c r="Y599" s="19">
        <v>725</v>
      </c>
      <c r="Z599" s="19">
        <v>800</v>
      </c>
      <c r="AA599" s="40">
        <v>5.007200000000001</v>
      </c>
      <c r="AB599" s="40">
        <v>10.014400000000002</v>
      </c>
      <c r="AC599" s="40">
        <v>15.021599999999999</v>
      </c>
      <c r="AD599" s="40">
        <v>25.036000000000001</v>
      </c>
      <c r="AE599" s="40">
        <v>37.554000000000002</v>
      </c>
      <c r="AF599" s="40">
        <v>50.072000000000003</v>
      </c>
      <c r="AG599" s="40">
        <v>94.977052210975756</v>
      </c>
      <c r="AH599" s="40">
        <v>97.194100192003802</v>
      </c>
      <c r="AI599" s="40">
        <v>97.715813731459207</v>
      </c>
      <c r="AJ599" s="40">
        <v>97.83176636038047</v>
      </c>
      <c r="AK599" s="40">
        <v>97.579339858053501</v>
      </c>
      <c r="AL599" s="40">
        <v>97.290231385965427</v>
      </c>
      <c r="AM599" s="40">
        <v>97.510917375560851</v>
      </c>
      <c r="AN599" s="40">
        <v>96.461798895561259</v>
      </c>
      <c r="AO599" s="40">
        <v>97.750782823830761</v>
      </c>
      <c r="AP599" s="40">
        <v>98.13005082647274</v>
      </c>
      <c r="AQ599" s="40">
        <v>98.217536428930913</v>
      </c>
      <c r="AR599" s="40">
        <v>98.075696105718862</v>
      </c>
      <c r="AS599" s="40">
        <v>97.864463445029159</v>
      </c>
      <c r="AT599" s="40">
        <v>98.020641954548665</v>
      </c>
      <c r="AU599" s="40">
        <v>97.214025618024976</v>
      </c>
      <c r="AV599" s="40">
        <v>97.858978751253218</v>
      </c>
      <c r="AW599" s="40">
        <v>98.0247513670773</v>
      </c>
      <c r="AX599" s="40">
        <v>97.786820902736025</v>
      </c>
      <c r="AY599" s="40">
        <v>98.184619531557445</v>
      </c>
      <c r="AZ599" s="40">
        <v>97.862828393640228</v>
      </c>
      <c r="BA599" s="40">
        <v>98.01070228731497</v>
      </c>
      <c r="BB599" s="174">
        <v>42979</v>
      </c>
      <c r="BC599" s="174">
        <v>43511</v>
      </c>
    </row>
    <row r="600" spans="1:55" ht="45">
      <c r="A600" s="18" t="s">
        <v>28</v>
      </c>
      <c r="B600" s="18" t="s">
        <v>1083</v>
      </c>
      <c r="C600" s="23" t="s">
        <v>10</v>
      </c>
      <c r="D600" s="23" t="s">
        <v>10</v>
      </c>
      <c r="E600" s="23" t="s">
        <v>10</v>
      </c>
      <c r="F600" s="23" t="s">
        <v>11</v>
      </c>
      <c r="G600" s="18" t="s">
        <v>45</v>
      </c>
      <c r="H600" s="19">
        <v>9.93</v>
      </c>
      <c r="I600" s="19">
        <v>208</v>
      </c>
      <c r="J600" s="19">
        <v>97</v>
      </c>
      <c r="K600" s="21" t="s">
        <v>1217</v>
      </c>
      <c r="L600" s="49" t="s">
        <v>467</v>
      </c>
      <c r="M600" s="21" t="s">
        <v>468</v>
      </c>
      <c r="N600" s="174">
        <v>43388</v>
      </c>
      <c r="O600" s="49" t="s">
        <v>467</v>
      </c>
      <c r="P600" s="23" t="s">
        <v>17</v>
      </c>
      <c r="Q600" s="23" t="s">
        <v>17</v>
      </c>
      <c r="R600" s="150"/>
      <c r="S600" s="20" t="s">
        <v>10</v>
      </c>
      <c r="T600" s="20" t="s">
        <v>11</v>
      </c>
      <c r="U600" s="19">
        <v>5.75</v>
      </c>
      <c r="V600" s="19"/>
      <c r="W600" s="19"/>
      <c r="X600" s="19">
        <v>325</v>
      </c>
      <c r="Y600" s="19">
        <v>375</v>
      </c>
      <c r="Z600" s="19">
        <v>480</v>
      </c>
      <c r="AA600" s="40">
        <v>0.99299999999999999</v>
      </c>
      <c r="AB600" s="40">
        <v>1.986</v>
      </c>
      <c r="AC600" s="40">
        <v>2.9790000000000001</v>
      </c>
      <c r="AD600" s="40">
        <v>4.9649999999999999</v>
      </c>
      <c r="AE600" s="40">
        <v>7.4480000000000004</v>
      </c>
      <c r="AF600" s="40">
        <v>9.93</v>
      </c>
      <c r="AG600" s="40">
        <v>96.8</v>
      </c>
      <c r="AH600" s="40">
        <v>97.6</v>
      </c>
      <c r="AI600" s="40">
        <v>97.7</v>
      </c>
      <c r="AJ600" s="40">
        <v>97.5</v>
      </c>
      <c r="AK600" s="40">
        <v>97.4</v>
      </c>
      <c r="AL600" s="40">
        <v>97.1</v>
      </c>
      <c r="AM600" s="40">
        <v>97.4</v>
      </c>
      <c r="AN600" s="40">
        <v>96.5</v>
      </c>
      <c r="AO600" s="40">
        <v>97.4</v>
      </c>
      <c r="AP600" s="40">
        <v>97.5</v>
      </c>
      <c r="AQ600" s="40">
        <v>97.4</v>
      </c>
      <c r="AR600" s="40">
        <v>97.2</v>
      </c>
      <c r="AS600" s="40">
        <v>96.9</v>
      </c>
      <c r="AT600" s="40">
        <v>97.3</v>
      </c>
      <c r="AU600" s="40">
        <v>96.2</v>
      </c>
      <c r="AV600" s="40">
        <v>97</v>
      </c>
      <c r="AW600" s="40">
        <v>97.2</v>
      </c>
      <c r="AX600" s="40">
        <v>97.1</v>
      </c>
      <c r="AY600" s="40">
        <v>96.9</v>
      </c>
      <c r="AZ600" s="40">
        <v>96.7</v>
      </c>
      <c r="BA600" s="40">
        <v>96.9</v>
      </c>
      <c r="BB600" s="174">
        <v>42917</v>
      </c>
      <c r="BC600" s="174">
        <v>43388</v>
      </c>
    </row>
    <row r="601" spans="1:55" ht="45">
      <c r="A601" s="18" t="s">
        <v>28</v>
      </c>
      <c r="B601" s="18" t="s">
        <v>1084</v>
      </c>
      <c r="C601" s="23" t="s">
        <v>10</v>
      </c>
      <c r="D601" s="23" t="s">
        <v>10</v>
      </c>
      <c r="E601" s="23" t="s">
        <v>10</v>
      </c>
      <c r="F601" s="23" t="s">
        <v>11</v>
      </c>
      <c r="G601" s="18" t="s">
        <v>46</v>
      </c>
      <c r="H601" s="19">
        <v>9.94</v>
      </c>
      <c r="I601" s="19">
        <v>240</v>
      </c>
      <c r="J601" s="19">
        <v>97.5</v>
      </c>
      <c r="K601" s="21" t="s">
        <v>1217</v>
      </c>
      <c r="L601" s="49" t="s">
        <v>467</v>
      </c>
      <c r="M601" s="21" t="s">
        <v>468</v>
      </c>
      <c r="N601" s="174">
        <v>43388</v>
      </c>
      <c r="O601" s="49" t="s">
        <v>467</v>
      </c>
      <c r="P601" s="23" t="s">
        <v>17</v>
      </c>
      <c r="Q601" s="23" t="s">
        <v>17</v>
      </c>
      <c r="R601" s="150"/>
      <c r="S601" s="20" t="s">
        <v>10</v>
      </c>
      <c r="T601" s="20" t="s">
        <v>11</v>
      </c>
      <c r="U601" s="19">
        <v>5.95</v>
      </c>
      <c r="V601" s="19"/>
      <c r="W601" s="19"/>
      <c r="X601" s="19">
        <v>360</v>
      </c>
      <c r="Y601" s="19">
        <v>400</v>
      </c>
      <c r="Z601" s="19">
        <v>480</v>
      </c>
      <c r="AA601" s="40">
        <v>0.99</v>
      </c>
      <c r="AB601" s="40">
        <v>1.99</v>
      </c>
      <c r="AC601" s="40">
        <v>2.98</v>
      </c>
      <c r="AD601" s="40">
        <v>4.97</v>
      </c>
      <c r="AE601" s="40">
        <v>7.46</v>
      </c>
      <c r="AF601" s="40">
        <v>9.94</v>
      </c>
      <c r="AG601" s="40">
        <v>96.8</v>
      </c>
      <c r="AH601" s="40">
        <v>97.6</v>
      </c>
      <c r="AI601" s="40">
        <v>97.8</v>
      </c>
      <c r="AJ601" s="40">
        <v>97.8</v>
      </c>
      <c r="AK601" s="40">
        <v>97.7</v>
      </c>
      <c r="AL601" s="40">
        <v>97.5</v>
      </c>
      <c r="AM601" s="40">
        <v>97.7</v>
      </c>
      <c r="AN601" s="40">
        <v>96.6</v>
      </c>
      <c r="AO601" s="40">
        <v>97.5</v>
      </c>
      <c r="AP601" s="40">
        <v>97.7</v>
      </c>
      <c r="AQ601" s="40">
        <v>97.6</v>
      </c>
      <c r="AR601" s="40">
        <v>97.6</v>
      </c>
      <c r="AS601" s="40">
        <v>97.4</v>
      </c>
      <c r="AT601" s="40">
        <v>97.6</v>
      </c>
      <c r="AU601" s="40">
        <v>96.4</v>
      </c>
      <c r="AV601" s="40">
        <v>97.3</v>
      </c>
      <c r="AW601" s="40">
        <v>97.5</v>
      </c>
      <c r="AX601" s="40">
        <v>97.4</v>
      </c>
      <c r="AY601" s="40">
        <v>97.4</v>
      </c>
      <c r="AZ601" s="40">
        <v>97.2</v>
      </c>
      <c r="BA601" s="40">
        <v>97.3</v>
      </c>
      <c r="BB601" s="174">
        <v>42917</v>
      </c>
      <c r="BC601" s="174">
        <v>43388</v>
      </c>
    </row>
    <row r="602" spans="1:55" ht="45">
      <c r="A602" s="140" t="s">
        <v>28</v>
      </c>
      <c r="B602" s="18" t="s">
        <v>1086</v>
      </c>
      <c r="C602" s="23" t="s">
        <v>10</v>
      </c>
      <c r="D602" s="23" t="s">
        <v>10</v>
      </c>
      <c r="E602" s="23" t="s">
        <v>10</v>
      </c>
      <c r="F602" s="23" t="s">
        <v>11</v>
      </c>
      <c r="G602" s="147" t="s">
        <v>562</v>
      </c>
      <c r="H602" s="19">
        <v>10.000999999999999</v>
      </c>
      <c r="I602" s="19">
        <v>208</v>
      </c>
      <c r="J602" s="19">
        <v>98.5</v>
      </c>
      <c r="K602" s="21" t="s">
        <v>1217</v>
      </c>
      <c r="L602" s="49" t="s">
        <v>563</v>
      </c>
      <c r="M602" s="21" t="s">
        <v>564</v>
      </c>
      <c r="N602" s="174">
        <v>43388</v>
      </c>
      <c r="O602" s="49" t="s">
        <v>563</v>
      </c>
      <c r="P602" s="23" t="s">
        <v>17</v>
      </c>
      <c r="Q602" s="23" t="s">
        <v>17</v>
      </c>
      <c r="R602" s="150"/>
      <c r="S602" s="20" t="s">
        <v>11</v>
      </c>
      <c r="T602" s="20" t="s">
        <v>11</v>
      </c>
      <c r="U602" s="19">
        <v>5.71</v>
      </c>
      <c r="V602" s="19"/>
      <c r="W602" s="19"/>
      <c r="X602" s="19">
        <v>360</v>
      </c>
      <c r="Y602" s="19">
        <v>395</v>
      </c>
      <c r="Z602" s="19">
        <v>480</v>
      </c>
      <c r="AA602" s="40">
        <v>1</v>
      </c>
      <c r="AB602" s="40">
        <v>2</v>
      </c>
      <c r="AC602" s="40">
        <v>3</v>
      </c>
      <c r="AD602" s="40">
        <v>5.0010000000000003</v>
      </c>
      <c r="AE602" s="40">
        <v>7.5010000000000003</v>
      </c>
      <c r="AF602" s="40">
        <v>10.000999999999999</v>
      </c>
      <c r="AG602" s="40">
        <v>97.77</v>
      </c>
      <c r="AH602" s="40">
        <v>98.73</v>
      </c>
      <c r="AI602" s="40">
        <v>98.83</v>
      </c>
      <c r="AJ602" s="40">
        <v>99.07</v>
      </c>
      <c r="AK602" s="40">
        <v>98.67</v>
      </c>
      <c r="AL602" s="40">
        <v>98.17</v>
      </c>
      <c r="AM602" s="40">
        <v>98.71</v>
      </c>
      <c r="AN602" s="40">
        <v>97.65</v>
      </c>
      <c r="AO602" s="40">
        <v>98.66</v>
      </c>
      <c r="AP602" s="40">
        <v>98.77</v>
      </c>
      <c r="AQ602" s="40">
        <v>98.97</v>
      </c>
      <c r="AR602" s="40">
        <v>98.58</v>
      </c>
      <c r="AS602" s="40">
        <v>98.09</v>
      </c>
      <c r="AT602" s="40">
        <v>98.62</v>
      </c>
      <c r="AU602" s="40">
        <v>97.44</v>
      </c>
      <c r="AV602" s="40">
        <v>98.54</v>
      </c>
      <c r="AW602" s="40">
        <v>98.7</v>
      </c>
      <c r="AX602" s="40">
        <v>98.7</v>
      </c>
      <c r="AY602" s="40">
        <v>98.62</v>
      </c>
      <c r="AZ602" s="40">
        <v>98.1</v>
      </c>
      <c r="BA602" s="40">
        <v>98.57</v>
      </c>
      <c r="BB602" s="174">
        <v>43192</v>
      </c>
      <c r="BC602" s="174">
        <v>43388</v>
      </c>
    </row>
    <row r="603" spans="1:55" ht="45">
      <c r="A603" s="140" t="s">
        <v>28</v>
      </c>
      <c r="B603" s="18" t="s">
        <v>1085</v>
      </c>
      <c r="C603" s="23" t="s">
        <v>10</v>
      </c>
      <c r="D603" s="23" t="s">
        <v>10</v>
      </c>
      <c r="E603" s="23" t="s">
        <v>10</v>
      </c>
      <c r="F603" s="23" t="s">
        <v>11</v>
      </c>
      <c r="G603" s="147" t="s">
        <v>565</v>
      </c>
      <c r="H603" s="19">
        <v>9.9939999999999998</v>
      </c>
      <c r="I603" s="19">
        <v>240</v>
      </c>
      <c r="J603" s="19">
        <v>99</v>
      </c>
      <c r="K603" s="21" t="s">
        <v>1217</v>
      </c>
      <c r="L603" s="49" t="s">
        <v>563</v>
      </c>
      <c r="M603" s="21" t="s">
        <v>564</v>
      </c>
      <c r="N603" s="174">
        <v>43388</v>
      </c>
      <c r="O603" s="49" t="s">
        <v>563</v>
      </c>
      <c r="P603" s="23" t="s">
        <v>17</v>
      </c>
      <c r="Q603" s="23" t="s">
        <v>17</v>
      </c>
      <c r="R603" s="150"/>
      <c r="S603" s="20" t="s">
        <v>11</v>
      </c>
      <c r="T603" s="20" t="s">
        <v>11</v>
      </c>
      <c r="U603" s="19">
        <v>6</v>
      </c>
      <c r="V603" s="19"/>
      <c r="W603" s="19"/>
      <c r="X603" s="19">
        <v>360</v>
      </c>
      <c r="Y603" s="19">
        <v>395</v>
      </c>
      <c r="Z603" s="19">
        <v>480</v>
      </c>
      <c r="AA603" s="40">
        <v>0.999</v>
      </c>
      <c r="AB603" s="40">
        <v>1.9990000000000001</v>
      </c>
      <c r="AC603" s="40">
        <v>2.9980000000000002</v>
      </c>
      <c r="AD603" s="40">
        <v>4.9969999999999999</v>
      </c>
      <c r="AE603" s="40">
        <v>7.4960000000000004</v>
      </c>
      <c r="AF603" s="40">
        <v>9.9939999999999998</v>
      </c>
      <c r="AG603" s="40">
        <v>97.86</v>
      </c>
      <c r="AH603" s="40">
        <v>98.83</v>
      </c>
      <c r="AI603" s="40">
        <v>98.94</v>
      </c>
      <c r="AJ603" s="40">
        <v>99.23</v>
      </c>
      <c r="AK603" s="40">
        <v>98.95</v>
      </c>
      <c r="AL603" s="40">
        <v>98.63</v>
      </c>
      <c r="AM603" s="40">
        <v>98.94</v>
      </c>
      <c r="AN603" s="40">
        <v>97.69</v>
      </c>
      <c r="AO603" s="40">
        <v>98.74</v>
      </c>
      <c r="AP603" s="40">
        <v>98.88</v>
      </c>
      <c r="AQ603" s="40">
        <v>99.18</v>
      </c>
      <c r="AR603" s="40">
        <v>98.91</v>
      </c>
      <c r="AS603" s="40">
        <v>98.55</v>
      </c>
      <c r="AT603" s="40">
        <v>98.89</v>
      </c>
      <c r="AU603" s="40">
        <v>97.44</v>
      </c>
      <c r="AV603" s="40">
        <v>98.54</v>
      </c>
      <c r="AW603" s="40">
        <v>98.68</v>
      </c>
      <c r="AX603" s="40">
        <v>98.7</v>
      </c>
      <c r="AY603" s="40">
        <v>98.62</v>
      </c>
      <c r="AZ603" s="40">
        <v>98.1</v>
      </c>
      <c r="BA603" s="40">
        <v>98.57</v>
      </c>
      <c r="BB603" s="174">
        <v>43192</v>
      </c>
      <c r="BC603" s="174">
        <v>43388</v>
      </c>
    </row>
    <row r="604" spans="1:55" ht="60">
      <c r="A604" s="140" t="s">
        <v>28</v>
      </c>
      <c r="B604" s="140" t="s">
        <v>1093</v>
      </c>
      <c r="C604" s="26" t="s">
        <v>10</v>
      </c>
      <c r="D604" s="26" t="s">
        <v>10</v>
      </c>
      <c r="E604" s="23" t="s">
        <v>10</v>
      </c>
      <c r="F604" s="23" t="s">
        <v>11</v>
      </c>
      <c r="G604" s="140" t="s">
        <v>506</v>
      </c>
      <c r="H604" s="132">
        <v>33.299999999999997</v>
      </c>
      <c r="I604" s="129">
        <v>480</v>
      </c>
      <c r="J604" s="137">
        <v>98.5</v>
      </c>
      <c r="K604" s="21" t="s">
        <v>1217</v>
      </c>
      <c r="L604" s="130" t="s">
        <v>479</v>
      </c>
      <c r="M604" s="26" t="s">
        <v>470</v>
      </c>
      <c r="N604" s="174">
        <v>43388</v>
      </c>
      <c r="O604" s="130" t="s">
        <v>479</v>
      </c>
      <c r="P604" s="23" t="s">
        <v>17</v>
      </c>
      <c r="Q604" s="23" t="s">
        <v>17</v>
      </c>
      <c r="R604" s="152" t="s">
        <v>480</v>
      </c>
      <c r="S604" s="131" t="s">
        <v>10</v>
      </c>
      <c r="T604" s="131" t="s">
        <v>11</v>
      </c>
      <c r="U604" s="132">
        <v>5.05</v>
      </c>
      <c r="V604" s="133"/>
      <c r="W604" s="133"/>
      <c r="X604" s="133">
        <v>790</v>
      </c>
      <c r="Y604" s="133">
        <v>850</v>
      </c>
      <c r="Z604" s="133">
        <v>950</v>
      </c>
      <c r="AA604" s="134">
        <v>3.34</v>
      </c>
      <c r="AB604" s="134">
        <v>6.68</v>
      </c>
      <c r="AC604" s="134">
        <v>10.02</v>
      </c>
      <c r="AD604" s="134">
        <v>16.7</v>
      </c>
      <c r="AE604" s="134">
        <v>25.049999999999997</v>
      </c>
      <c r="AF604" s="134">
        <v>33.4</v>
      </c>
      <c r="AG604" s="134">
        <v>97.189196467488244</v>
      </c>
      <c r="AH604" s="134">
        <v>98.242947891445439</v>
      </c>
      <c r="AI604" s="134">
        <v>98.888888761904767</v>
      </c>
      <c r="AJ604" s="134">
        <v>98.509803882352941</v>
      </c>
      <c r="AK604" s="134">
        <v>98.67768595041322</v>
      </c>
      <c r="AL604" s="134">
        <v>98.461538461538467</v>
      </c>
      <c r="AM604" s="134">
        <v>98.575691196790416</v>
      </c>
      <c r="AN604" s="134">
        <v>96.664031410256399</v>
      </c>
      <c r="AO604" s="134">
        <v>98.084400284495032</v>
      </c>
      <c r="AP604" s="134">
        <v>98.113207547169807</v>
      </c>
      <c r="AQ604" s="134">
        <v>98.505882352941171</v>
      </c>
      <c r="AR604" s="134">
        <v>98.370370370370367</v>
      </c>
      <c r="AS604" s="134">
        <v>98.159509202453989</v>
      </c>
      <c r="AT604" s="134">
        <v>98.274873226832014</v>
      </c>
      <c r="AU604" s="134">
        <v>96.33825541401275</v>
      </c>
      <c r="AV604" s="134">
        <v>97.84397143659011</v>
      </c>
      <c r="AW604" s="134">
        <v>97.84276716981131</v>
      </c>
      <c r="AX604" s="134">
        <v>98.470588235294116</v>
      </c>
      <c r="AY604" s="134">
        <v>98.312757201646093</v>
      </c>
      <c r="AZ604" s="134">
        <v>98.159509202453989</v>
      </c>
      <c r="BA604" s="134">
        <v>98.179421155174268</v>
      </c>
      <c r="BB604" s="174">
        <v>43132</v>
      </c>
      <c r="BC604" s="174">
        <v>43388</v>
      </c>
    </row>
    <row r="605" spans="1:55" ht="45">
      <c r="A605" s="18" t="s">
        <v>28</v>
      </c>
      <c r="B605" s="18" t="s">
        <v>1082</v>
      </c>
      <c r="C605" s="23" t="s">
        <v>10</v>
      </c>
      <c r="D605" s="23" t="s">
        <v>10</v>
      </c>
      <c r="E605" s="23" t="s">
        <v>10</v>
      </c>
      <c r="F605" s="23" t="s">
        <v>11</v>
      </c>
      <c r="G605" s="18" t="s">
        <v>30</v>
      </c>
      <c r="H605" s="19">
        <v>9.85</v>
      </c>
      <c r="I605" s="19">
        <v>480</v>
      </c>
      <c r="J605" s="19">
        <v>98</v>
      </c>
      <c r="K605" s="21" t="s">
        <v>1217</v>
      </c>
      <c r="L605" s="49" t="s">
        <v>469</v>
      </c>
      <c r="M605" s="21" t="s">
        <v>470</v>
      </c>
      <c r="N605" s="174">
        <v>43388</v>
      </c>
      <c r="O605" s="49" t="s">
        <v>469</v>
      </c>
      <c r="P605" s="23" t="s">
        <v>17</v>
      </c>
      <c r="Q605" s="23" t="s">
        <v>17</v>
      </c>
      <c r="R605" s="150"/>
      <c r="S605" s="20" t="s">
        <v>10</v>
      </c>
      <c r="T605" s="20" t="s">
        <v>11</v>
      </c>
      <c r="U605" s="19">
        <v>3.13</v>
      </c>
      <c r="V605" s="19"/>
      <c r="W605" s="19"/>
      <c r="X605" s="19">
        <v>100</v>
      </c>
      <c r="Y605" s="19">
        <v>882</v>
      </c>
      <c r="Z605" s="19">
        <v>962</v>
      </c>
      <c r="AA605" s="40">
        <v>0.98</v>
      </c>
      <c r="AB605" s="40">
        <v>1.97</v>
      </c>
      <c r="AC605" s="40">
        <v>2.95</v>
      </c>
      <c r="AD605" s="40">
        <v>4.92</v>
      </c>
      <c r="AE605" s="40">
        <v>7.38</v>
      </c>
      <c r="AF605" s="40">
        <v>9.85</v>
      </c>
      <c r="AG605" s="40">
        <v>95.5</v>
      </c>
      <c r="AH605" s="40">
        <v>97.4</v>
      </c>
      <c r="AI605" s="40">
        <v>97.8</v>
      </c>
      <c r="AJ605" s="40">
        <v>98.1</v>
      </c>
      <c r="AK605" s="40">
        <v>98.1</v>
      </c>
      <c r="AL605" s="40">
        <v>98</v>
      </c>
      <c r="AM605" s="40">
        <v>97.9</v>
      </c>
      <c r="AN605" s="40">
        <v>95.1</v>
      </c>
      <c r="AO605" s="40">
        <v>97.3</v>
      </c>
      <c r="AP605" s="40">
        <v>97.7</v>
      </c>
      <c r="AQ605" s="40">
        <v>98</v>
      </c>
      <c r="AR605" s="40">
        <v>98</v>
      </c>
      <c r="AS605" s="40">
        <v>97.9</v>
      </c>
      <c r="AT605" s="40">
        <v>97.8</v>
      </c>
      <c r="AU605" s="40">
        <v>94.2</v>
      </c>
      <c r="AV605" s="40">
        <v>97</v>
      </c>
      <c r="AW605" s="40">
        <v>97.5</v>
      </c>
      <c r="AX605" s="40">
        <v>97.9</v>
      </c>
      <c r="AY605" s="40">
        <v>98</v>
      </c>
      <c r="AZ605" s="40">
        <v>97.9</v>
      </c>
      <c r="BA605" s="40">
        <v>97.7</v>
      </c>
      <c r="BB605" s="174">
        <v>42917</v>
      </c>
      <c r="BC605" s="174">
        <v>43388</v>
      </c>
    </row>
    <row r="606" spans="1:55" ht="45">
      <c r="A606" s="18" t="s">
        <v>28</v>
      </c>
      <c r="B606" s="18" t="s">
        <v>1087</v>
      </c>
      <c r="C606" s="23" t="s">
        <v>10</v>
      </c>
      <c r="D606" s="23" t="s">
        <v>10</v>
      </c>
      <c r="E606" s="23" t="s">
        <v>10</v>
      </c>
      <c r="F606" s="23" t="s">
        <v>11</v>
      </c>
      <c r="G606" s="18" t="s">
        <v>47</v>
      </c>
      <c r="H606" s="19">
        <v>11.39</v>
      </c>
      <c r="I606" s="19">
        <v>240</v>
      </c>
      <c r="J606" s="19">
        <v>97.5</v>
      </c>
      <c r="K606" s="21" t="s">
        <v>1217</v>
      </c>
      <c r="L606" s="49" t="s">
        <v>467</v>
      </c>
      <c r="M606" s="21" t="s">
        <v>468</v>
      </c>
      <c r="N606" s="174">
        <v>43388</v>
      </c>
      <c r="O606" s="49" t="s">
        <v>467</v>
      </c>
      <c r="P606" s="23" t="s">
        <v>17</v>
      </c>
      <c r="Q606" s="23" t="s">
        <v>17</v>
      </c>
      <c r="R606" s="150"/>
      <c r="S606" s="20" t="s">
        <v>10</v>
      </c>
      <c r="T606" s="20" t="s">
        <v>11</v>
      </c>
      <c r="U606" s="19">
        <v>5.95</v>
      </c>
      <c r="V606" s="19"/>
      <c r="W606" s="19"/>
      <c r="X606" s="19">
        <v>360</v>
      </c>
      <c r="Y606" s="19">
        <v>400</v>
      </c>
      <c r="Z606" s="19">
        <v>480</v>
      </c>
      <c r="AA606" s="40">
        <v>1.139</v>
      </c>
      <c r="AB606" s="40">
        <v>2.278</v>
      </c>
      <c r="AC606" s="40">
        <v>3.4169999999999998</v>
      </c>
      <c r="AD606" s="40">
        <v>5.6950000000000003</v>
      </c>
      <c r="AE606" s="40">
        <v>8.5429999999999993</v>
      </c>
      <c r="AF606" s="40">
        <v>11.39</v>
      </c>
      <c r="AG606" s="40">
        <v>96.9</v>
      </c>
      <c r="AH606" s="40">
        <v>97.7</v>
      </c>
      <c r="AI606" s="40">
        <v>97.8</v>
      </c>
      <c r="AJ606" s="40">
        <v>97.8</v>
      </c>
      <c r="AK606" s="40">
        <v>97.6</v>
      </c>
      <c r="AL606" s="40">
        <v>97.4</v>
      </c>
      <c r="AM606" s="40">
        <v>97.7</v>
      </c>
      <c r="AN606" s="40">
        <v>96.8</v>
      </c>
      <c r="AO606" s="40">
        <v>97.6</v>
      </c>
      <c r="AP606" s="40">
        <v>97.7</v>
      </c>
      <c r="AQ606" s="40">
        <v>97.6</v>
      </c>
      <c r="AR606" s="40">
        <v>97.5</v>
      </c>
      <c r="AS606" s="40">
        <v>97.3</v>
      </c>
      <c r="AT606" s="40">
        <v>97.5</v>
      </c>
      <c r="AU606" s="40">
        <v>96.5</v>
      </c>
      <c r="AV606" s="40">
        <v>97.4</v>
      </c>
      <c r="AW606" s="40">
        <v>97.5</v>
      </c>
      <c r="AX606" s="40">
        <v>97.5</v>
      </c>
      <c r="AY606" s="40">
        <v>97.3</v>
      </c>
      <c r="AZ606" s="40">
        <v>97.1</v>
      </c>
      <c r="BA606" s="40">
        <v>97.3</v>
      </c>
      <c r="BB606" s="174">
        <v>42917</v>
      </c>
      <c r="BC606" s="174">
        <v>43388</v>
      </c>
    </row>
    <row r="607" spans="1:55" ht="45">
      <c r="A607" s="140" t="s">
        <v>28</v>
      </c>
      <c r="B607" s="18" t="s">
        <v>1088</v>
      </c>
      <c r="C607" s="23" t="s">
        <v>10</v>
      </c>
      <c r="D607" s="23" t="s">
        <v>10</v>
      </c>
      <c r="E607" s="23" t="s">
        <v>10</v>
      </c>
      <c r="F607" s="23" t="s">
        <v>11</v>
      </c>
      <c r="G607" s="147" t="s">
        <v>566</v>
      </c>
      <c r="H607" s="19">
        <v>11.393000000000001</v>
      </c>
      <c r="I607" s="19">
        <v>240</v>
      </c>
      <c r="J607" s="19">
        <v>99</v>
      </c>
      <c r="K607" s="21" t="s">
        <v>1217</v>
      </c>
      <c r="L607" s="49" t="s">
        <v>563</v>
      </c>
      <c r="M607" s="21" t="s">
        <v>564</v>
      </c>
      <c r="N607" s="174">
        <v>43388</v>
      </c>
      <c r="O607" s="49" t="s">
        <v>563</v>
      </c>
      <c r="P607" s="23" t="s">
        <v>17</v>
      </c>
      <c r="Q607" s="23" t="s">
        <v>17</v>
      </c>
      <c r="R607" s="150"/>
      <c r="S607" s="20" t="s">
        <v>11</v>
      </c>
      <c r="T607" s="20" t="s">
        <v>11</v>
      </c>
      <c r="U607" s="19">
        <v>6</v>
      </c>
      <c r="V607" s="19"/>
      <c r="W607" s="19"/>
      <c r="X607" s="19">
        <v>360</v>
      </c>
      <c r="Y607" s="19">
        <v>395</v>
      </c>
      <c r="Z607" s="19">
        <v>480</v>
      </c>
      <c r="AA607" s="40">
        <v>1.139</v>
      </c>
      <c r="AB607" s="40">
        <v>2.2789999999999999</v>
      </c>
      <c r="AC607" s="40">
        <v>3.4180000000000001</v>
      </c>
      <c r="AD607" s="40">
        <v>5.6970000000000001</v>
      </c>
      <c r="AE607" s="40">
        <v>8.5449999999999999</v>
      </c>
      <c r="AF607" s="40">
        <v>11.393000000000001</v>
      </c>
      <c r="AG607" s="40">
        <v>97.88</v>
      </c>
      <c r="AH607" s="40">
        <v>98.84</v>
      </c>
      <c r="AI607" s="40">
        <v>98.95</v>
      </c>
      <c r="AJ607" s="40">
        <v>99.16</v>
      </c>
      <c r="AK607" s="40">
        <v>98.82</v>
      </c>
      <c r="AL607" s="40">
        <v>98.41</v>
      </c>
      <c r="AM607" s="40">
        <v>98.85</v>
      </c>
      <c r="AN607" s="40">
        <v>97.91</v>
      </c>
      <c r="AO607" s="40">
        <v>98.83</v>
      </c>
      <c r="AP607" s="40">
        <v>98.93</v>
      </c>
      <c r="AQ607" s="40">
        <v>99.17</v>
      </c>
      <c r="AR607" s="40">
        <v>98.83</v>
      </c>
      <c r="AS607" s="40">
        <v>98.4</v>
      </c>
      <c r="AT607" s="40">
        <v>98.85</v>
      </c>
      <c r="AU607" s="40">
        <v>97.42</v>
      </c>
      <c r="AV607" s="40">
        <v>98.63</v>
      </c>
      <c r="AW607" s="40">
        <v>98.79</v>
      </c>
      <c r="AX607" s="40">
        <v>98.82</v>
      </c>
      <c r="AY607" s="40">
        <v>98.8</v>
      </c>
      <c r="AZ607" s="40">
        <v>98.39</v>
      </c>
      <c r="BA607" s="40">
        <v>98.72</v>
      </c>
      <c r="BB607" s="174">
        <v>43192</v>
      </c>
      <c r="BC607" s="174">
        <v>43388</v>
      </c>
    </row>
    <row r="608" spans="1:55" ht="45">
      <c r="A608" s="18" t="s">
        <v>28</v>
      </c>
      <c r="B608" s="18" t="s">
        <v>1089</v>
      </c>
      <c r="C608" s="23" t="s">
        <v>10</v>
      </c>
      <c r="D608" s="23" t="s">
        <v>10</v>
      </c>
      <c r="E608" s="23" t="s">
        <v>10</v>
      </c>
      <c r="F608" s="23" t="s">
        <v>11</v>
      </c>
      <c r="G608" s="18" t="s">
        <v>29</v>
      </c>
      <c r="H608" s="19">
        <v>14.51</v>
      </c>
      <c r="I608" s="19">
        <v>208</v>
      </c>
      <c r="J608" s="19">
        <v>97</v>
      </c>
      <c r="K608" s="21" t="s">
        <v>1217</v>
      </c>
      <c r="L608" s="49" t="s">
        <v>469</v>
      </c>
      <c r="M608" s="21" t="s">
        <v>470</v>
      </c>
      <c r="N608" s="174">
        <v>43388</v>
      </c>
      <c r="O608" s="49" t="s">
        <v>469</v>
      </c>
      <c r="P608" s="23" t="s">
        <v>17</v>
      </c>
      <c r="Q608" s="23" t="s">
        <v>17</v>
      </c>
      <c r="R608" s="150"/>
      <c r="S608" s="20" t="s">
        <v>10</v>
      </c>
      <c r="T608" s="20" t="s">
        <v>11</v>
      </c>
      <c r="U608" s="19">
        <v>4.16</v>
      </c>
      <c r="V608" s="19"/>
      <c r="W608" s="19"/>
      <c r="X608" s="19">
        <v>400</v>
      </c>
      <c r="Y608" s="19">
        <v>460</v>
      </c>
      <c r="Z608" s="19">
        <v>600</v>
      </c>
      <c r="AA608" s="40">
        <v>1.45</v>
      </c>
      <c r="AB608" s="40">
        <v>2.9</v>
      </c>
      <c r="AC608" s="40">
        <v>4.3499999999999996</v>
      </c>
      <c r="AD608" s="40">
        <v>7.26</v>
      </c>
      <c r="AE608" s="40">
        <v>10.88</v>
      </c>
      <c r="AF608" s="40">
        <v>14.51</v>
      </c>
      <c r="AG608" s="40">
        <v>95.9</v>
      </c>
      <c r="AH608" s="40">
        <v>97.3</v>
      </c>
      <c r="AI608" s="40">
        <v>97.5</v>
      </c>
      <c r="AJ608" s="40">
        <v>97.5</v>
      </c>
      <c r="AK608" s="40">
        <v>97</v>
      </c>
      <c r="AL608" s="40">
        <v>96.6</v>
      </c>
      <c r="AM608" s="40">
        <v>97.1</v>
      </c>
      <c r="AN608" s="40">
        <v>95.2</v>
      </c>
      <c r="AO608" s="40">
        <v>97.1</v>
      </c>
      <c r="AP608" s="40">
        <v>97.2</v>
      </c>
      <c r="AQ608" s="40">
        <v>97.3</v>
      </c>
      <c r="AR608" s="40">
        <v>97.2</v>
      </c>
      <c r="AS608" s="40">
        <v>96.8</v>
      </c>
      <c r="AT608" s="40">
        <v>97.1</v>
      </c>
      <c r="AU608" s="40">
        <v>94.7</v>
      </c>
      <c r="AV608" s="40">
        <v>96.3</v>
      </c>
      <c r="AW608" s="40">
        <v>96.7</v>
      </c>
      <c r="AX608" s="40">
        <v>96.9</v>
      </c>
      <c r="AY608" s="40">
        <v>96.4</v>
      </c>
      <c r="AZ608" s="40">
        <v>96.2</v>
      </c>
      <c r="BA608" s="40">
        <v>96.4</v>
      </c>
      <c r="BB608" s="174">
        <v>42917</v>
      </c>
      <c r="BC608" s="174">
        <v>43388</v>
      </c>
    </row>
    <row r="609" spans="1:55" ht="45">
      <c r="A609" s="18" t="s">
        <v>28</v>
      </c>
      <c r="B609" s="18" t="s">
        <v>1091</v>
      </c>
      <c r="C609" s="23" t="s">
        <v>10</v>
      </c>
      <c r="D609" s="23" t="s">
        <v>10</v>
      </c>
      <c r="E609" s="23" t="s">
        <v>10</v>
      </c>
      <c r="F609" s="23" t="s">
        <v>11</v>
      </c>
      <c r="G609" s="18" t="s">
        <v>31</v>
      </c>
      <c r="H609" s="19">
        <v>20.05</v>
      </c>
      <c r="I609" s="19">
        <v>480</v>
      </c>
      <c r="J609" s="19">
        <v>98</v>
      </c>
      <c r="K609" s="21" t="s">
        <v>1217</v>
      </c>
      <c r="L609" s="49" t="s">
        <v>469</v>
      </c>
      <c r="M609" s="21" t="s">
        <v>470</v>
      </c>
      <c r="N609" s="174">
        <v>43388</v>
      </c>
      <c r="O609" s="49" t="s">
        <v>469</v>
      </c>
      <c r="P609" s="23" t="s">
        <v>17</v>
      </c>
      <c r="Q609" s="23" t="s">
        <v>17</v>
      </c>
      <c r="R609" s="150"/>
      <c r="S609" s="20" t="s">
        <v>10</v>
      </c>
      <c r="T609" s="20" t="s">
        <v>11</v>
      </c>
      <c r="U609" s="19">
        <v>3.48</v>
      </c>
      <c r="V609" s="19"/>
      <c r="W609" s="19"/>
      <c r="X609" s="19">
        <v>842</v>
      </c>
      <c r="Y609" s="19">
        <v>882</v>
      </c>
      <c r="Z609" s="19">
        <v>962</v>
      </c>
      <c r="AA609" s="40">
        <v>2.0099999999999998</v>
      </c>
      <c r="AB609" s="40">
        <v>4.01</v>
      </c>
      <c r="AC609" s="40">
        <v>6.02</v>
      </c>
      <c r="AD609" s="40">
        <v>10.029999999999999</v>
      </c>
      <c r="AE609" s="40">
        <v>15.04</v>
      </c>
      <c r="AF609" s="40">
        <v>20.05</v>
      </c>
      <c r="AG609" s="40">
        <v>96.6</v>
      </c>
      <c r="AH609" s="40">
        <v>97.6</v>
      </c>
      <c r="AI609" s="40">
        <v>97.9</v>
      </c>
      <c r="AJ609" s="40">
        <v>98</v>
      </c>
      <c r="AK609" s="40">
        <v>98</v>
      </c>
      <c r="AL609" s="40">
        <v>97.9</v>
      </c>
      <c r="AM609" s="40">
        <v>97.9</v>
      </c>
      <c r="AN609" s="40">
        <v>96.6</v>
      </c>
      <c r="AO609" s="40">
        <v>97.5</v>
      </c>
      <c r="AP609" s="40">
        <v>97.9</v>
      </c>
      <c r="AQ609" s="40">
        <v>98</v>
      </c>
      <c r="AR609" s="40">
        <v>98</v>
      </c>
      <c r="AS609" s="40">
        <v>97.9</v>
      </c>
      <c r="AT609" s="40">
        <v>97.9</v>
      </c>
      <c r="AU609" s="40">
        <v>96</v>
      </c>
      <c r="AV609" s="40">
        <v>97.3</v>
      </c>
      <c r="AW609" s="40">
        <v>97.7</v>
      </c>
      <c r="AX609" s="40">
        <v>97.9</v>
      </c>
      <c r="AY609" s="40">
        <v>97.8</v>
      </c>
      <c r="AZ609" s="40">
        <v>97.8</v>
      </c>
      <c r="BA609" s="40">
        <v>97.7</v>
      </c>
      <c r="BB609" s="174">
        <v>42917</v>
      </c>
      <c r="BC609" s="174">
        <v>43388</v>
      </c>
    </row>
    <row r="610" spans="1:55" ht="45">
      <c r="A610" s="18" t="s">
        <v>28</v>
      </c>
      <c r="B610" s="146" t="s">
        <v>1061</v>
      </c>
      <c r="C610" s="141" t="s">
        <v>10</v>
      </c>
      <c r="D610" s="141" t="s">
        <v>10</v>
      </c>
      <c r="E610" s="23" t="s">
        <v>10</v>
      </c>
      <c r="F610" s="23" t="s">
        <v>11</v>
      </c>
      <c r="G610" s="18" t="s">
        <v>642</v>
      </c>
      <c r="H610" s="19">
        <v>2.9620000000000002</v>
      </c>
      <c r="I610" s="19">
        <v>240</v>
      </c>
      <c r="J610" s="19">
        <v>99</v>
      </c>
      <c r="K610" s="21" t="s">
        <v>1217</v>
      </c>
      <c r="L610" s="49" t="s">
        <v>465</v>
      </c>
      <c r="M610" s="21" t="s">
        <v>466</v>
      </c>
      <c r="N610" s="174">
        <v>43388</v>
      </c>
      <c r="O610" s="49" t="s">
        <v>465</v>
      </c>
      <c r="P610" s="23" t="s">
        <v>17</v>
      </c>
      <c r="Q610" s="23" t="s">
        <v>17</v>
      </c>
      <c r="R610" s="150"/>
      <c r="S610" s="20" t="s">
        <v>10</v>
      </c>
      <c r="T610" s="20" t="s">
        <v>11</v>
      </c>
      <c r="U610" s="19">
        <v>0</v>
      </c>
      <c r="V610" s="19"/>
      <c r="W610" s="19"/>
      <c r="X610" s="19">
        <v>360</v>
      </c>
      <c r="Y610" s="19">
        <v>395</v>
      </c>
      <c r="Z610" s="19">
        <v>480</v>
      </c>
      <c r="AA610" s="40">
        <v>0.3</v>
      </c>
      <c r="AB610" s="40">
        <v>0.6</v>
      </c>
      <c r="AC610" s="40">
        <v>0.9</v>
      </c>
      <c r="AD610" s="40">
        <v>1.6</v>
      </c>
      <c r="AE610" s="40">
        <v>2.1</v>
      </c>
      <c r="AF610" s="40">
        <v>2.8</v>
      </c>
      <c r="AG610" s="40">
        <v>95.67</v>
      </c>
      <c r="AH610" s="40">
        <v>98.01</v>
      </c>
      <c r="AI610" s="40">
        <v>98.63</v>
      </c>
      <c r="AJ610" s="40">
        <v>99.01</v>
      </c>
      <c r="AK610" s="40">
        <v>99.19</v>
      </c>
      <c r="AL610" s="40">
        <v>99.19</v>
      </c>
      <c r="AM610" s="40">
        <v>98.89</v>
      </c>
      <c r="AN610" s="40">
        <v>95.39</v>
      </c>
      <c r="AO610" s="40">
        <v>97.88</v>
      </c>
      <c r="AP610" s="40">
        <v>98.54</v>
      </c>
      <c r="AQ610" s="40">
        <v>98.96</v>
      </c>
      <c r="AR610" s="40">
        <v>99.16</v>
      </c>
      <c r="AS610" s="40">
        <v>99.16</v>
      </c>
      <c r="AT610" s="40">
        <v>98.83</v>
      </c>
      <c r="AU610" s="40">
        <v>95.93</v>
      </c>
      <c r="AV610" s="40">
        <v>98.04</v>
      </c>
      <c r="AW610" s="40">
        <v>98.57</v>
      </c>
      <c r="AX610" s="40">
        <v>99</v>
      </c>
      <c r="AY610" s="40">
        <v>99.08</v>
      </c>
      <c r="AZ610" s="40">
        <v>99.17</v>
      </c>
      <c r="BA610" s="40">
        <v>98.83</v>
      </c>
      <c r="BB610" s="174">
        <v>42917</v>
      </c>
      <c r="BC610" s="174">
        <v>43388</v>
      </c>
    </row>
    <row r="611" spans="1:55" ht="45">
      <c r="A611" s="18" t="s">
        <v>28</v>
      </c>
      <c r="B611" s="18" t="s">
        <v>1063</v>
      </c>
      <c r="C611" s="23" t="s">
        <v>10</v>
      </c>
      <c r="D611" s="23" t="s">
        <v>10</v>
      </c>
      <c r="E611" s="23" t="s">
        <v>10</v>
      </c>
      <c r="F611" s="23" t="s">
        <v>11</v>
      </c>
      <c r="G611" s="18" t="s">
        <v>33</v>
      </c>
      <c r="H611" s="19">
        <v>3.02</v>
      </c>
      <c r="I611" s="19">
        <v>208</v>
      </c>
      <c r="J611" s="19">
        <v>97.5</v>
      </c>
      <c r="K611" s="21" t="s">
        <v>1217</v>
      </c>
      <c r="L611" s="49" t="s">
        <v>467</v>
      </c>
      <c r="M611" s="21" t="s">
        <v>468</v>
      </c>
      <c r="N611" s="174">
        <v>43388</v>
      </c>
      <c r="O611" s="49" t="s">
        <v>467</v>
      </c>
      <c r="P611" s="23" t="s">
        <v>17</v>
      </c>
      <c r="Q611" s="23" t="s">
        <v>17</v>
      </c>
      <c r="R611" s="150"/>
      <c r="S611" s="20" t="s">
        <v>10</v>
      </c>
      <c r="T611" s="20" t="s">
        <v>11</v>
      </c>
      <c r="U611" s="19">
        <v>3.71</v>
      </c>
      <c r="V611" s="19"/>
      <c r="W611" s="19"/>
      <c r="X611" s="19">
        <v>305</v>
      </c>
      <c r="Y611" s="19">
        <v>350</v>
      </c>
      <c r="Z611" s="19">
        <v>480</v>
      </c>
      <c r="AA611" s="40">
        <v>0.3</v>
      </c>
      <c r="AB611" s="40">
        <v>0.6</v>
      </c>
      <c r="AC611" s="40">
        <v>0.91</v>
      </c>
      <c r="AD611" s="40">
        <v>1.51</v>
      </c>
      <c r="AE611" s="40">
        <v>2.27</v>
      </c>
      <c r="AF611" s="40">
        <v>3.02</v>
      </c>
      <c r="AG611" s="40">
        <v>96</v>
      </c>
      <c r="AH611" s="40">
        <v>97.4</v>
      </c>
      <c r="AI611" s="40">
        <v>97.6</v>
      </c>
      <c r="AJ611" s="40">
        <v>97.7</v>
      </c>
      <c r="AK611" s="40">
        <v>97.6</v>
      </c>
      <c r="AL611" s="40">
        <v>97.4</v>
      </c>
      <c r="AM611" s="40">
        <v>97.5</v>
      </c>
      <c r="AN611" s="40">
        <v>95.6</v>
      </c>
      <c r="AO611" s="40">
        <v>97.1</v>
      </c>
      <c r="AP611" s="40">
        <v>97.5</v>
      </c>
      <c r="AQ611" s="40">
        <v>97.6</v>
      </c>
      <c r="AR611" s="40">
        <v>97.5</v>
      </c>
      <c r="AS611" s="40">
        <v>97.3</v>
      </c>
      <c r="AT611" s="40">
        <v>97.4</v>
      </c>
      <c r="AU611" s="40">
        <v>93.6</v>
      </c>
      <c r="AV611" s="40">
        <v>96.3</v>
      </c>
      <c r="AW611" s="40">
        <v>96.9</v>
      </c>
      <c r="AX611" s="40">
        <v>97.2</v>
      </c>
      <c r="AY611" s="40">
        <v>97.2</v>
      </c>
      <c r="AZ611" s="40">
        <v>97.1</v>
      </c>
      <c r="BA611" s="40">
        <v>97</v>
      </c>
      <c r="BB611" s="174">
        <v>42917</v>
      </c>
      <c r="BC611" s="174">
        <v>43388</v>
      </c>
    </row>
    <row r="612" spans="1:55" ht="45">
      <c r="A612" s="18" t="s">
        <v>28</v>
      </c>
      <c r="B612" s="18" t="s">
        <v>1062</v>
      </c>
      <c r="C612" s="23" t="s">
        <v>10</v>
      </c>
      <c r="D612" s="23" t="s">
        <v>10</v>
      </c>
      <c r="E612" s="23" t="s">
        <v>10</v>
      </c>
      <c r="F612" s="23" t="s">
        <v>11</v>
      </c>
      <c r="G612" s="18" t="s">
        <v>34</v>
      </c>
      <c r="H612" s="19">
        <v>3.01</v>
      </c>
      <c r="I612" s="19">
        <v>240</v>
      </c>
      <c r="J612" s="19">
        <v>97.5</v>
      </c>
      <c r="K612" s="21" t="s">
        <v>1217</v>
      </c>
      <c r="L612" s="49" t="s">
        <v>467</v>
      </c>
      <c r="M612" s="21" t="s">
        <v>468</v>
      </c>
      <c r="N612" s="174">
        <v>43388</v>
      </c>
      <c r="O612" s="49" t="s">
        <v>467</v>
      </c>
      <c r="P612" s="23" t="s">
        <v>17</v>
      </c>
      <c r="Q612" s="23" t="s">
        <v>17</v>
      </c>
      <c r="R612" s="150"/>
      <c r="S612" s="20" t="s">
        <v>10</v>
      </c>
      <c r="T612" s="20" t="s">
        <v>11</v>
      </c>
      <c r="U612" s="19">
        <v>3.39</v>
      </c>
      <c r="V612" s="19"/>
      <c r="W612" s="19"/>
      <c r="X612" s="19">
        <v>100</v>
      </c>
      <c r="Y612" s="19">
        <v>388</v>
      </c>
      <c r="Z612" s="19">
        <v>480</v>
      </c>
      <c r="AA612" s="40">
        <v>0.3</v>
      </c>
      <c r="AB612" s="40">
        <v>0.6</v>
      </c>
      <c r="AC612" s="40">
        <v>0.9</v>
      </c>
      <c r="AD612" s="40">
        <v>1.51</v>
      </c>
      <c r="AE612" s="40">
        <v>2.2599999999999998</v>
      </c>
      <c r="AF612" s="40">
        <v>3.01</v>
      </c>
      <c r="AG612" s="40">
        <v>95.1</v>
      </c>
      <c r="AH612" s="40">
        <v>97.1</v>
      </c>
      <c r="AI612" s="40">
        <v>97.5</v>
      </c>
      <c r="AJ612" s="40">
        <v>97.8</v>
      </c>
      <c r="AK612" s="40">
        <v>97.8</v>
      </c>
      <c r="AL612" s="40">
        <v>97.7</v>
      </c>
      <c r="AM612" s="40">
        <v>97.6</v>
      </c>
      <c r="AN612" s="40">
        <v>94.8</v>
      </c>
      <c r="AO612" s="40">
        <v>96.8</v>
      </c>
      <c r="AP612" s="40">
        <v>97.4</v>
      </c>
      <c r="AQ612" s="40">
        <v>97.7</v>
      </c>
      <c r="AR612" s="40">
        <v>97.7</v>
      </c>
      <c r="AS612" s="40">
        <v>97.6</v>
      </c>
      <c r="AT612" s="40">
        <v>97.5</v>
      </c>
      <c r="AU612" s="40">
        <v>93.4</v>
      </c>
      <c r="AV612" s="40">
        <v>96.4</v>
      </c>
      <c r="AW612" s="40">
        <v>97</v>
      </c>
      <c r="AX612" s="40">
        <v>97.4</v>
      </c>
      <c r="AY612" s="40">
        <v>97.5</v>
      </c>
      <c r="AZ612" s="40">
        <v>97.5</v>
      </c>
      <c r="BA612" s="40">
        <v>97.2</v>
      </c>
      <c r="BB612" s="174">
        <v>42917</v>
      </c>
      <c r="BC612" s="174">
        <v>43388</v>
      </c>
    </row>
    <row r="613" spans="1:55" ht="45">
      <c r="A613" s="140" t="s">
        <v>28</v>
      </c>
      <c r="B613" s="140" t="s">
        <v>1092</v>
      </c>
      <c r="C613" s="26" t="s">
        <v>10</v>
      </c>
      <c r="D613" s="26" t="s">
        <v>10</v>
      </c>
      <c r="E613" s="23" t="s">
        <v>10</v>
      </c>
      <c r="F613" s="23" t="s">
        <v>11</v>
      </c>
      <c r="G613" s="140" t="s">
        <v>300</v>
      </c>
      <c r="H613" s="132">
        <v>30.158999999999999</v>
      </c>
      <c r="I613" s="129">
        <v>480</v>
      </c>
      <c r="J613" s="137">
        <v>98.5</v>
      </c>
      <c r="K613" s="21" t="s">
        <v>1217</v>
      </c>
      <c r="L613" s="130" t="s">
        <v>471</v>
      </c>
      <c r="M613" s="26" t="s">
        <v>470</v>
      </c>
      <c r="N613" s="174">
        <v>43388</v>
      </c>
      <c r="O613" s="130" t="s">
        <v>471</v>
      </c>
      <c r="P613" s="23" t="s">
        <v>17</v>
      </c>
      <c r="Q613" s="23" t="s">
        <v>17</v>
      </c>
      <c r="R613" s="152"/>
      <c r="S613" s="131" t="s">
        <v>11</v>
      </c>
      <c r="T613" s="131" t="s">
        <v>11</v>
      </c>
      <c r="U613" s="132">
        <v>7.06</v>
      </c>
      <c r="V613" s="133"/>
      <c r="W613" s="133"/>
      <c r="X613" s="133">
        <v>790</v>
      </c>
      <c r="Y613" s="133">
        <v>850</v>
      </c>
      <c r="Z613" s="133">
        <v>950</v>
      </c>
      <c r="AA613" s="134">
        <v>3</v>
      </c>
      <c r="AB613" s="134">
        <v>6</v>
      </c>
      <c r="AC613" s="134">
        <v>9</v>
      </c>
      <c r="AD613" s="134">
        <v>15</v>
      </c>
      <c r="AE613" s="134">
        <v>22.5</v>
      </c>
      <c r="AF613" s="134">
        <v>30</v>
      </c>
      <c r="AG613" s="134">
        <v>97.408512599999995</v>
      </c>
      <c r="AH613" s="134">
        <v>98.364666800000009</v>
      </c>
      <c r="AI613" s="134">
        <v>98.550598599999987</v>
      </c>
      <c r="AJ613" s="134">
        <v>98.507541000000003</v>
      </c>
      <c r="AK613" s="134">
        <v>98.480424199999987</v>
      </c>
      <c r="AL613" s="134">
        <v>98.385566000000011</v>
      </c>
      <c r="AM613" s="134">
        <v>98.441132412000002</v>
      </c>
      <c r="AN613" s="134">
        <v>97.079442999999998</v>
      </c>
      <c r="AO613" s="134">
        <v>98.204926200000003</v>
      </c>
      <c r="AP613" s="134">
        <v>98.428963600000003</v>
      </c>
      <c r="AQ613" s="134">
        <v>98.419413799999987</v>
      </c>
      <c r="AR613" s="134">
        <v>98.402914199999998</v>
      </c>
      <c r="AS613" s="134">
        <v>98.314027999999993</v>
      </c>
      <c r="AT613" s="134">
        <v>98.342222486000011</v>
      </c>
      <c r="AU613" s="134">
        <v>96.416390800000002</v>
      </c>
      <c r="AV613" s="134">
        <v>97.900681600000013</v>
      </c>
      <c r="AW613" s="134">
        <v>98.208887799999985</v>
      </c>
      <c r="AX613" s="134">
        <v>98.295271</v>
      </c>
      <c r="AY613" s="134">
        <v>98.262175800000009</v>
      </c>
      <c r="AZ613" s="134">
        <v>98.199991199999999</v>
      </c>
      <c r="BA613" s="134">
        <v>98.167715892000004</v>
      </c>
      <c r="BB613" s="174">
        <v>43102</v>
      </c>
      <c r="BC613" s="174">
        <v>43388</v>
      </c>
    </row>
    <row r="614" spans="1:55" ht="45">
      <c r="A614" s="18" t="s">
        <v>28</v>
      </c>
      <c r="B614" s="18" t="s">
        <v>1094</v>
      </c>
      <c r="C614" s="23" t="s">
        <v>10</v>
      </c>
      <c r="D614" s="23" t="s">
        <v>10</v>
      </c>
      <c r="E614" s="23" t="s">
        <v>10</v>
      </c>
      <c r="F614" s="23" t="s">
        <v>11</v>
      </c>
      <c r="G614" s="18" t="s">
        <v>32</v>
      </c>
      <c r="H614" s="19">
        <v>33.299999999999997</v>
      </c>
      <c r="I614" s="19">
        <v>480</v>
      </c>
      <c r="J614" s="19">
        <v>98.5</v>
      </c>
      <c r="K614" s="21" t="s">
        <v>1217</v>
      </c>
      <c r="L614" s="49" t="s">
        <v>469</v>
      </c>
      <c r="M614" s="21" t="s">
        <v>470</v>
      </c>
      <c r="N614" s="174">
        <v>43388</v>
      </c>
      <c r="O614" s="49" t="s">
        <v>469</v>
      </c>
      <c r="P614" s="23" t="s">
        <v>17</v>
      </c>
      <c r="Q614" s="23" t="s">
        <v>17</v>
      </c>
      <c r="R614" s="150"/>
      <c r="S614" s="20" t="s">
        <v>10</v>
      </c>
      <c r="T614" s="20" t="s">
        <v>11</v>
      </c>
      <c r="U614" s="19">
        <v>5.05</v>
      </c>
      <c r="V614" s="19"/>
      <c r="W614" s="19"/>
      <c r="X614" s="19">
        <v>790</v>
      </c>
      <c r="Y614" s="19">
        <v>850</v>
      </c>
      <c r="Z614" s="19">
        <v>950</v>
      </c>
      <c r="AA614" s="40">
        <v>3.34</v>
      </c>
      <c r="AB614" s="40">
        <v>6.68</v>
      </c>
      <c r="AC614" s="40">
        <v>10.02</v>
      </c>
      <c r="AD614" s="40">
        <v>16.7</v>
      </c>
      <c r="AE614" s="40">
        <v>25.05</v>
      </c>
      <c r="AF614" s="40">
        <v>33.4</v>
      </c>
      <c r="AG614" s="40">
        <v>97.2</v>
      </c>
      <c r="AH614" s="40">
        <v>98.2</v>
      </c>
      <c r="AI614" s="40">
        <v>98.9</v>
      </c>
      <c r="AJ614" s="40">
        <v>98.5</v>
      </c>
      <c r="AK614" s="40">
        <v>98.7</v>
      </c>
      <c r="AL614" s="40">
        <v>98.5</v>
      </c>
      <c r="AM614" s="40">
        <v>98.6</v>
      </c>
      <c r="AN614" s="40">
        <v>96.7</v>
      </c>
      <c r="AO614" s="40">
        <v>98.1</v>
      </c>
      <c r="AP614" s="40">
        <v>98.1</v>
      </c>
      <c r="AQ614" s="40">
        <v>98.5</v>
      </c>
      <c r="AR614" s="40">
        <v>98.4</v>
      </c>
      <c r="AS614" s="40">
        <v>98.2</v>
      </c>
      <c r="AT614" s="40">
        <v>98.3</v>
      </c>
      <c r="AU614" s="40">
        <v>96.3</v>
      </c>
      <c r="AV614" s="40">
        <v>97.8</v>
      </c>
      <c r="AW614" s="40">
        <v>97.8</v>
      </c>
      <c r="AX614" s="40">
        <v>98.5</v>
      </c>
      <c r="AY614" s="40">
        <v>98.3</v>
      </c>
      <c r="AZ614" s="40">
        <v>98.2</v>
      </c>
      <c r="BA614" s="40">
        <v>98.2</v>
      </c>
      <c r="BB614" s="174">
        <v>42917</v>
      </c>
      <c r="BC614" s="174">
        <v>43388</v>
      </c>
    </row>
    <row r="615" spans="1:55" ht="45">
      <c r="A615" s="18" t="s">
        <v>28</v>
      </c>
      <c r="B615" s="18" t="s">
        <v>1066</v>
      </c>
      <c r="C615" s="23" t="s">
        <v>10</v>
      </c>
      <c r="D615" s="23" t="s">
        <v>10</v>
      </c>
      <c r="E615" s="23" t="s">
        <v>10</v>
      </c>
      <c r="F615" s="23" t="s">
        <v>11</v>
      </c>
      <c r="G615" s="18" t="s">
        <v>35</v>
      </c>
      <c r="H615" s="19">
        <v>3.2879999999999998</v>
      </c>
      <c r="I615" s="19">
        <v>208</v>
      </c>
      <c r="J615" s="19">
        <v>97</v>
      </c>
      <c r="K615" s="21" t="s">
        <v>1217</v>
      </c>
      <c r="L615" s="49" t="s">
        <v>467</v>
      </c>
      <c r="M615" s="21" t="s">
        <v>468</v>
      </c>
      <c r="N615" s="174">
        <v>43388</v>
      </c>
      <c r="O615" s="49" t="s">
        <v>467</v>
      </c>
      <c r="P615" s="23" t="s">
        <v>17</v>
      </c>
      <c r="Q615" s="23" t="s">
        <v>17</v>
      </c>
      <c r="R615" s="150"/>
      <c r="S615" s="20" t="s">
        <v>10</v>
      </c>
      <c r="T615" s="20" t="s">
        <v>11</v>
      </c>
      <c r="U615" s="19">
        <v>5.55</v>
      </c>
      <c r="V615" s="19"/>
      <c r="W615" s="19"/>
      <c r="X615" s="19">
        <v>320</v>
      </c>
      <c r="Y615" s="19">
        <v>410</v>
      </c>
      <c r="Z615" s="19">
        <v>500</v>
      </c>
      <c r="AA615" s="40">
        <v>0.33</v>
      </c>
      <c r="AB615" s="40">
        <v>0.66</v>
      </c>
      <c r="AC615" s="40">
        <v>0.99</v>
      </c>
      <c r="AD615" s="40">
        <v>1.64</v>
      </c>
      <c r="AE615" s="40">
        <v>2.4700000000000002</v>
      </c>
      <c r="AF615" s="40">
        <v>3.29</v>
      </c>
      <c r="AG615" s="40">
        <v>95.5</v>
      </c>
      <c r="AH615" s="40">
        <v>97.2</v>
      </c>
      <c r="AI615" s="40">
        <v>97.3</v>
      </c>
      <c r="AJ615" s="40">
        <v>97.4</v>
      </c>
      <c r="AK615" s="40">
        <v>97.2</v>
      </c>
      <c r="AL615" s="40">
        <v>97.4</v>
      </c>
      <c r="AM615" s="40">
        <v>97.2</v>
      </c>
      <c r="AN615" s="40">
        <v>94.8</v>
      </c>
      <c r="AO615" s="40">
        <v>96.7</v>
      </c>
      <c r="AP615" s="40">
        <v>97</v>
      </c>
      <c r="AQ615" s="40">
        <v>97.2</v>
      </c>
      <c r="AR615" s="40">
        <v>97</v>
      </c>
      <c r="AS615" s="40">
        <v>96.8</v>
      </c>
      <c r="AT615" s="40">
        <v>96.9</v>
      </c>
      <c r="AU615" s="40">
        <v>93.5</v>
      </c>
      <c r="AV615" s="40">
        <v>96.3</v>
      </c>
      <c r="AW615" s="40">
        <v>96.6</v>
      </c>
      <c r="AX615" s="40">
        <v>96.9</v>
      </c>
      <c r="AY615" s="40">
        <v>96.9</v>
      </c>
      <c r="AZ615" s="40">
        <v>96.8</v>
      </c>
      <c r="BA615" s="40">
        <v>96.7</v>
      </c>
      <c r="BB615" s="174">
        <v>42917</v>
      </c>
      <c r="BC615" s="174">
        <v>43388</v>
      </c>
    </row>
    <row r="616" spans="1:55" ht="45">
      <c r="A616" s="18" t="s">
        <v>28</v>
      </c>
      <c r="B616" s="18" t="s">
        <v>1064</v>
      </c>
      <c r="C616" s="23" t="s">
        <v>10</v>
      </c>
      <c r="D616" s="23" t="s">
        <v>10</v>
      </c>
      <c r="E616" s="23" t="s">
        <v>10</v>
      </c>
      <c r="F616" s="23" t="s">
        <v>11</v>
      </c>
      <c r="G616" s="18" t="s">
        <v>36</v>
      </c>
      <c r="H616" s="19">
        <v>3.2509999999999999</v>
      </c>
      <c r="I616" s="19">
        <v>240</v>
      </c>
      <c r="J616" s="19">
        <v>97.5</v>
      </c>
      <c r="K616" s="21" t="s">
        <v>1217</v>
      </c>
      <c r="L616" s="49" t="s">
        <v>467</v>
      </c>
      <c r="M616" s="21" t="s">
        <v>468</v>
      </c>
      <c r="N616" s="174">
        <v>43388</v>
      </c>
      <c r="O616" s="49" t="s">
        <v>467</v>
      </c>
      <c r="P616" s="23" t="s">
        <v>17</v>
      </c>
      <c r="Q616" s="23" t="s">
        <v>17</v>
      </c>
      <c r="R616" s="150"/>
      <c r="S616" s="20" t="s">
        <v>10</v>
      </c>
      <c r="T616" s="20" t="s">
        <v>11</v>
      </c>
      <c r="U616" s="19">
        <v>5.46</v>
      </c>
      <c r="V616" s="19"/>
      <c r="W616" s="19"/>
      <c r="X616" s="19">
        <v>370</v>
      </c>
      <c r="Y616" s="19">
        <v>435</v>
      </c>
      <c r="Z616" s="19">
        <v>500</v>
      </c>
      <c r="AA616" s="40">
        <v>0.33</v>
      </c>
      <c r="AB616" s="40">
        <v>0.65</v>
      </c>
      <c r="AC616" s="40">
        <v>0.98</v>
      </c>
      <c r="AD616" s="40">
        <v>1.63</v>
      </c>
      <c r="AE616" s="40">
        <v>2.44</v>
      </c>
      <c r="AF616" s="40">
        <v>3.25</v>
      </c>
      <c r="AG616" s="40">
        <v>95.3</v>
      </c>
      <c r="AH616" s="40">
        <v>97.1</v>
      </c>
      <c r="AI616" s="40">
        <v>97.5</v>
      </c>
      <c r="AJ616" s="40">
        <v>97.6</v>
      </c>
      <c r="AK616" s="40">
        <v>97.6</v>
      </c>
      <c r="AL616" s="40">
        <v>97.5</v>
      </c>
      <c r="AM616" s="40">
        <v>97.5</v>
      </c>
      <c r="AN616" s="40">
        <v>94.9</v>
      </c>
      <c r="AO616" s="40">
        <v>96.8</v>
      </c>
      <c r="AP616" s="40">
        <v>97.3</v>
      </c>
      <c r="AQ616" s="40">
        <v>97.5</v>
      </c>
      <c r="AR616" s="40">
        <v>97.5</v>
      </c>
      <c r="AS616" s="40">
        <v>97.3</v>
      </c>
      <c r="AT616" s="40">
        <v>97.3</v>
      </c>
      <c r="AU616" s="40">
        <v>94.2</v>
      </c>
      <c r="AV616" s="40">
        <v>96.5</v>
      </c>
      <c r="AW616" s="40">
        <v>96.9</v>
      </c>
      <c r="AX616" s="40">
        <v>97.3</v>
      </c>
      <c r="AY616" s="40">
        <v>97.4</v>
      </c>
      <c r="AZ616" s="40">
        <v>97.2</v>
      </c>
      <c r="BA616" s="40">
        <v>97.1</v>
      </c>
      <c r="BB616" s="174">
        <v>42917</v>
      </c>
      <c r="BC616" s="174">
        <v>43388</v>
      </c>
    </row>
    <row r="617" spans="1:55" ht="45">
      <c r="A617" s="18" t="s">
        <v>28</v>
      </c>
      <c r="B617" s="18" t="s">
        <v>1065</v>
      </c>
      <c r="C617" s="23" t="s">
        <v>10</v>
      </c>
      <c r="D617" s="23" t="s">
        <v>10</v>
      </c>
      <c r="E617" s="23" t="s">
        <v>10</v>
      </c>
      <c r="F617" s="23" t="s">
        <v>11</v>
      </c>
      <c r="G617" s="18" t="s">
        <v>639</v>
      </c>
      <c r="H617" s="19">
        <v>3.2549999999999999</v>
      </c>
      <c r="I617" s="37">
        <v>208</v>
      </c>
      <c r="J617" s="19">
        <v>99</v>
      </c>
      <c r="K617" s="21" t="s">
        <v>1217</v>
      </c>
      <c r="L617" s="49" t="s">
        <v>563</v>
      </c>
      <c r="M617" s="38" t="s">
        <v>640</v>
      </c>
      <c r="N617" s="174">
        <v>43388</v>
      </c>
      <c r="O617" s="49" t="s">
        <v>563</v>
      </c>
      <c r="P617" s="23" t="s">
        <v>17</v>
      </c>
      <c r="Q617" s="23" t="s">
        <v>17</v>
      </c>
      <c r="R617" s="151"/>
      <c r="S617" s="39" t="s">
        <v>11</v>
      </c>
      <c r="T617" s="39" t="s">
        <v>11</v>
      </c>
      <c r="U617" s="153">
        <v>4.12</v>
      </c>
      <c r="V617" s="153"/>
      <c r="W617" s="153"/>
      <c r="X617" s="153">
        <v>360</v>
      </c>
      <c r="Y617" s="153">
        <v>395</v>
      </c>
      <c r="Z617" s="153">
        <v>480</v>
      </c>
      <c r="AA617" s="40">
        <v>0.32550000000000001</v>
      </c>
      <c r="AB617" s="40">
        <v>0.65100000000000002</v>
      </c>
      <c r="AC617" s="40">
        <v>0.97649999999999992</v>
      </c>
      <c r="AD617" s="40">
        <v>1.6274999999999999</v>
      </c>
      <c r="AE617" s="40">
        <v>2.4412500000000001</v>
      </c>
      <c r="AF617" s="40">
        <v>3.2549999999999999</v>
      </c>
      <c r="AG617" s="40">
        <v>89.794951399999988</v>
      </c>
      <c r="AH617" s="40">
        <v>99.390665599999991</v>
      </c>
      <c r="AI617" s="40">
        <v>99.381222399999999</v>
      </c>
      <c r="AJ617" s="40">
        <v>99.276854799999995</v>
      </c>
      <c r="AK617" s="40">
        <v>99.002583599999994</v>
      </c>
      <c r="AL617" s="40">
        <v>98.779119199999997</v>
      </c>
      <c r="AM617" s="40">
        <v>98.745542799999996</v>
      </c>
      <c r="AN617" s="40">
        <v>92.106059000000002</v>
      </c>
      <c r="AO617" s="40">
        <v>99.351759600000008</v>
      </c>
      <c r="AP617" s="40">
        <v>99.3770016</v>
      </c>
      <c r="AQ617" s="40">
        <v>99.245419999999996</v>
      </c>
      <c r="AR617" s="40">
        <v>98.986043600000002</v>
      </c>
      <c r="AS617" s="40">
        <v>98.754181799999998</v>
      </c>
      <c r="AT617" s="40">
        <v>98.81892092999999</v>
      </c>
      <c r="AU617" s="40">
        <v>95.580213600000008</v>
      </c>
      <c r="AV617" s="40">
        <v>99.428654200000011</v>
      </c>
      <c r="AW617" s="40">
        <v>99.392419000000004</v>
      </c>
      <c r="AX617" s="40">
        <v>99.252379999999988</v>
      </c>
      <c r="AY617" s="40">
        <v>98.997597999999996</v>
      </c>
      <c r="AZ617" s="40">
        <v>98.729736999999986</v>
      </c>
      <c r="BA617" s="40">
        <v>98.969945123999992</v>
      </c>
      <c r="BB617" s="174">
        <v>43252</v>
      </c>
      <c r="BC617" s="174">
        <v>43388</v>
      </c>
    </row>
    <row r="618" spans="1:55" ht="45">
      <c r="A618" s="18" t="s">
        <v>28</v>
      </c>
      <c r="B618" s="146" t="s">
        <v>1067</v>
      </c>
      <c r="C618" s="141" t="s">
        <v>10</v>
      </c>
      <c r="D618" s="141" t="s">
        <v>10</v>
      </c>
      <c r="E618" s="23" t="s">
        <v>10</v>
      </c>
      <c r="F618" s="23" t="s">
        <v>11</v>
      </c>
      <c r="G618" s="18" t="s">
        <v>643</v>
      </c>
      <c r="H618" s="19">
        <v>3.7469999999999999</v>
      </c>
      <c r="I618" s="19">
        <v>240</v>
      </c>
      <c r="J618" s="19">
        <v>99</v>
      </c>
      <c r="K618" s="21" t="s">
        <v>1217</v>
      </c>
      <c r="L618" s="49" t="s">
        <v>465</v>
      </c>
      <c r="M618" s="21" t="s">
        <v>466</v>
      </c>
      <c r="N618" s="174">
        <v>43388</v>
      </c>
      <c r="O618" s="49" t="s">
        <v>465</v>
      </c>
      <c r="P618" s="23" t="s">
        <v>17</v>
      </c>
      <c r="Q618" s="23" t="s">
        <v>17</v>
      </c>
      <c r="R618" s="150"/>
      <c r="S618" s="20" t="s">
        <v>10</v>
      </c>
      <c r="T618" s="20" t="s">
        <v>11</v>
      </c>
      <c r="U618" s="19">
        <v>0</v>
      </c>
      <c r="V618" s="19"/>
      <c r="W618" s="19"/>
      <c r="X618" s="19">
        <v>360</v>
      </c>
      <c r="Y618" s="19">
        <v>395</v>
      </c>
      <c r="Z618" s="19">
        <v>480</v>
      </c>
      <c r="AA618" s="40">
        <v>0.3</v>
      </c>
      <c r="AB618" s="40">
        <v>0.8</v>
      </c>
      <c r="AC618" s="40">
        <v>1.2</v>
      </c>
      <c r="AD618" s="40">
        <v>2</v>
      </c>
      <c r="AE618" s="40">
        <v>2.8</v>
      </c>
      <c r="AF618" s="40">
        <v>3.6</v>
      </c>
      <c r="AG618" s="40">
        <v>96.56</v>
      </c>
      <c r="AH618" s="40">
        <v>98.4</v>
      </c>
      <c r="AI618" s="40">
        <v>98.82</v>
      </c>
      <c r="AJ618" s="40">
        <v>99.18</v>
      </c>
      <c r="AK618" s="40">
        <v>99.19</v>
      </c>
      <c r="AL618" s="40">
        <v>99.2</v>
      </c>
      <c r="AM618" s="40">
        <v>99</v>
      </c>
      <c r="AN618" s="40">
        <v>96.34</v>
      </c>
      <c r="AO618" s="40">
        <v>98.3</v>
      </c>
      <c r="AP618" s="40">
        <v>98.75</v>
      </c>
      <c r="AQ618" s="40">
        <v>99.14</v>
      </c>
      <c r="AR618" s="40">
        <v>99.16</v>
      </c>
      <c r="AS618" s="40">
        <v>99.12</v>
      </c>
      <c r="AT618" s="40">
        <v>98.95</v>
      </c>
      <c r="AU618" s="40">
        <v>96.72</v>
      </c>
      <c r="AV618" s="40">
        <v>98.57</v>
      </c>
      <c r="AW618" s="40">
        <v>98.82</v>
      </c>
      <c r="AX618" s="40">
        <v>99.07</v>
      </c>
      <c r="AY618" s="40">
        <v>99.17</v>
      </c>
      <c r="AZ618" s="40">
        <v>99.08</v>
      </c>
      <c r="BA618" s="40">
        <v>98.97</v>
      </c>
      <c r="BB618" s="174">
        <v>42917</v>
      </c>
      <c r="BC618" s="174">
        <v>43388</v>
      </c>
    </row>
    <row r="619" spans="1:55" ht="45">
      <c r="A619" s="18" t="s">
        <v>28</v>
      </c>
      <c r="B619" s="18" t="s">
        <v>1069</v>
      </c>
      <c r="C619" s="23" t="s">
        <v>10</v>
      </c>
      <c r="D619" s="23" t="s">
        <v>10</v>
      </c>
      <c r="E619" s="23" t="s">
        <v>10</v>
      </c>
      <c r="F619" s="23" t="s">
        <v>11</v>
      </c>
      <c r="G619" s="18" t="s">
        <v>37</v>
      </c>
      <c r="H619" s="19">
        <v>3.99</v>
      </c>
      <c r="I619" s="19">
        <v>208</v>
      </c>
      <c r="J619" s="19">
        <v>97</v>
      </c>
      <c r="K619" s="21" t="s">
        <v>1217</v>
      </c>
      <c r="L619" s="49" t="s">
        <v>467</v>
      </c>
      <c r="M619" s="21" t="s">
        <v>468</v>
      </c>
      <c r="N619" s="174">
        <v>43388</v>
      </c>
      <c r="O619" s="49" t="s">
        <v>467</v>
      </c>
      <c r="P619" s="23" t="s">
        <v>17</v>
      </c>
      <c r="Q619" s="23" t="s">
        <v>17</v>
      </c>
      <c r="R619" s="150"/>
      <c r="S619" s="20" t="s">
        <v>10</v>
      </c>
      <c r="T619" s="20" t="s">
        <v>11</v>
      </c>
      <c r="U619" s="19">
        <v>5.0999999999999996</v>
      </c>
      <c r="V619" s="19"/>
      <c r="W619" s="19"/>
      <c r="X619" s="19">
        <v>320</v>
      </c>
      <c r="Y619" s="19">
        <v>410</v>
      </c>
      <c r="Z619" s="19">
        <v>500</v>
      </c>
      <c r="AA619" s="40">
        <v>0.4</v>
      </c>
      <c r="AB619" s="40">
        <v>0.8</v>
      </c>
      <c r="AC619" s="40">
        <v>1.2</v>
      </c>
      <c r="AD619" s="40">
        <v>2</v>
      </c>
      <c r="AE619" s="40">
        <v>2.99</v>
      </c>
      <c r="AF619" s="40">
        <v>3.99</v>
      </c>
      <c r="AG619" s="40">
        <v>95.5</v>
      </c>
      <c r="AH619" s="40">
        <v>97.2</v>
      </c>
      <c r="AI619" s="40">
        <v>97.3</v>
      </c>
      <c r="AJ619" s="40">
        <v>97.3</v>
      </c>
      <c r="AK619" s="40">
        <v>97.4</v>
      </c>
      <c r="AL619" s="40">
        <v>97.1</v>
      </c>
      <c r="AM619" s="40">
        <v>97.3</v>
      </c>
      <c r="AN619" s="40">
        <v>94.8</v>
      </c>
      <c r="AO619" s="40">
        <v>96.7</v>
      </c>
      <c r="AP619" s="40">
        <v>97.1</v>
      </c>
      <c r="AQ619" s="40">
        <v>97.2</v>
      </c>
      <c r="AR619" s="40">
        <v>96.8</v>
      </c>
      <c r="AS619" s="40">
        <v>97</v>
      </c>
      <c r="AT619" s="40">
        <v>96.9</v>
      </c>
      <c r="AU619" s="40">
        <v>93.5</v>
      </c>
      <c r="AV619" s="40">
        <v>96.3</v>
      </c>
      <c r="AW619" s="40">
        <v>96.8</v>
      </c>
      <c r="AX619" s="40">
        <v>96.9</v>
      </c>
      <c r="AY619" s="40">
        <v>96.8</v>
      </c>
      <c r="AZ619" s="40">
        <v>96.4</v>
      </c>
      <c r="BA619" s="40">
        <v>96.6</v>
      </c>
      <c r="BB619" s="174">
        <v>42917</v>
      </c>
      <c r="BC619" s="174">
        <v>43388</v>
      </c>
    </row>
    <row r="620" spans="1:55" ht="45">
      <c r="A620" s="18" t="s">
        <v>28</v>
      </c>
      <c r="B620" s="18" t="s">
        <v>1068</v>
      </c>
      <c r="C620" s="23" t="s">
        <v>10</v>
      </c>
      <c r="D620" s="23" t="s">
        <v>10</v>
      </c>
      <c r="E620" s="23" t="s">
        <v>10</v>
      </c>
      <c r="F620" s="23" t="s">
        <v>11</v>
      </c>
      <c r="G620" s="18" t="s">
        <v>38</v>
      </c>
      <c r="H620" s="19">
        <v>3.79</v>
      </c>
      <c r="I620" s="19">
        <v>240</v>
      </c>
      <c r="J620" s="19">
        <v>98</v>
      </c>
      <c r="K620" s="21" t="s">
        <v>1217</v>
      </c>
      <c r="L620" s="49" t="s">
        <v>467</v>
      </c>
      <c r="M620" s="21" t="s">
        <v>468</v>
      </c>
      <c r="N620" s="174">
        <v>43388</v>
      </c>
      <c r="O620" s="49" t="s">
        <v>467</v>
      </c>
      <c r="P620" s="23" t="s">
        <v>17</v>
      </c>
      <c r="Q620" s="23" t="s">
        <v>17</v>
      </c>
      <c r="R620" s="150"/>
      <c r="S620" s="20" t="s">
        <v>10</v>
      </c>
      <c r="T620" s="20" t="s">
        <v>11</v>
      </c>
      <c r="U620" s="19">
        <v>2.2400000000000002</v>
      </c>
      <c r="V620" s="19"/>
      <c r="W620" s="19"/>
      <c r="X620" s="19">
        <v>360</v>
      </c>
      <c r="Y620" s="19">
        <v>400</v>
      </c>
      <c r="Z620" s="19">
        <v>480</v>
      </c>
      <c r="AA620" s="40">
        <v>0.38</v>
      </c>
      <c r="AB620" s="40">
        <v>0.76</v>
      </c>
      <c r="AC620" s="40">
        <v>1.1399999999999999</v>
      </c>
      <c r="AD620" s="40">
        <v>1.9</v>
      </c>
      <c r="AE620" s="40">
        <v>2.84</v>
      </c>
      <c r="AF620" s="40">
        <v>3.79</v>
      </c>
      <c r="AG620" s="40">
        <v>96.1</v>
      </c>
      <c r="AH620" s="40">
        <v>97.6</v>
      </c>
      <c r="AI620" s="40">
        <v>98</v>
      </c>
      <c r="AJ620" s="40">
        <v>98.1</v>
      </c>
      <c r="AK620" s="40">
        <v>98.1</v>
      </c>
      <c r="AL620" s="40">
        <v>98.2</v>
      </c>
      <c r="AM620" s="40">
        <v>98</v>
      </c>
      <c r="AN620" s="40">
        <v>95.7</v>
      </c>
      <c r="AO620" s="40">
        <v>97.3</v>
      </c>
      <c r="AP620" s="40">
        <v>97.8</v>
      </c>
      <c r="AQ620" s="40">
        <v>98.1</v>
      </c>
      <c r="AR620" s="40">
        <v>98</v>
      </c>
      <c r="AS620" s="40">
        <v>98.2</v>
      </c>
      <c r="AT620" s="40">
        <v>97.9</v>
      </c>
      <c r="AU620" s="40">
        <v>94.6</v>
      </c>
      <c r="AV620" s="40">
        <v>96.8</v>
      </c>
      <c r="AW620" s="40">
        <v>97.5</v>
      </c>
      <c r="AX620" s="40">
        <v>97.9</v>
      </c>
      <c r="AY620" s="40">
        <v>97.9</v>
      </c>
      <c r="AZ620" s="40">
        <v>97.8</v>
      </c>
      <c r="BA620" s="40">
        <v>97.6</v>
      </c>
      <c r="BB620" s="174">
        <v>42917</v>
      </c>
      <c r="BC620" s="174">
        <v>43388</v>
      </c>
    </row>
    <row r="621" spans="1:55" ht="60">
      <c r="A621" s="140" t="s">
        <v>28</v>
      </c>
      <c r="B621" s="140" t="s">
        <v>1090</v>
      </c>
      <c r="C621" s="26" t="s">
        <v>10</v>
      </c>
      <c r="D621" s="26" t="s">
        <v>10</v>
      </c>
      <c r="E621" s="23" t="s">
        <v>10</v>
      </c>
      <c r="F621" s="23" t="s">
        <v>11</v>
      </c>
      <c r="G621" s="140" t="s">
        <v>478</v>
      </c>
      <c r="H621" s="132">
        <v>14.51</v>
      </c>
      <c r="I621" s="129">
        <v>208</v>
      </c>
      <c r="J621" s="137">
        <v>97</v>
      </c>
      <c r="K621" s="21" t="s">
        <v>1217</v>
      </c>
      <c r="L621" s="130" t="s">
        <v>479</v>
      </c>
      <c r="M621" s="26" t="s">
        <v>470</v>
      </c>
      <c r="N621" s="174">
        <v>43388</v>
      </c>
      <c r="O621" s="130" t="s">
        <v>479</v>
      </c>
      <c r="P621" s="23" t="s">
        <v>17</v>
      </c>
      <c r="Q621" s="23" t="s">
        <v>17</v>
      </c>
      <c r="R621" s="152" t="s">
        <v>477</v>
      </c>
      <c r="S621" s="131" t="s">
        <v>10</v>
      </c>
      <c r="T621" s="131" t="s">
        <v>11</v>
      </c>
      <c r="U621" s="132">
        <v>4.16</v>
      </c>
      <c r="V621" s="133"/>
      <c r="W621" s="133"/>
      <c r="X621" s="133">
        <v>400</v>
      </c>
      <c r="Y621" s="133">
        <v>460</v>
      </c>
      <c r="Z621" s="133">
        <v>600</v>
      </c>
      <c r="AA621" s="134">
        <v>1.4510000000000001</v>
      </c>
      <c r="AB621" s="134">
        <v>2.9020000000000001</v>
      </c>
      <c r="AC621" s="134">
        <v>4.3529999999999998</v>
      </c>
      <c r="AD621" s="134">
        <v>7.2549999999999999</v>
      </c>
      <c r="AE621" s="134">
        <v>10.8825</v>
      </c>
      <c r="AF621" s="134">
        <v>14.51</v>
      </c>
      <c r="AG621" s="134">
        <v>95.892661799999999</v>
      </c>
      <c r="AH621" s="134">
        <v>97.278178400000002</v>
      </c>
      <c r="AI621" s="134">
        <v>97.483730999999992</v>
      </c>
      <c r="AJ621" s="134">
        <v>97.461980600000004</v>
      </c>
      <c r="AK621" s="134">
        <v>97.009345999999994</v>
      </c>
      <c r="AL621" s="134">
        <v>96.643356999999995</v>
      </c>
      <c r="AM621" s="134">
        <v>97.111800267999996</v>
      </c>
      <c r="AN621" s="134">
        <v>95.225235800000007</v>
      </c>
      <c r="AO621" s="134">
        <v>97.08651660000001</v>
      </c>
      <c r="AP621" s="134">
        <v>97.192224999999993</v>
      </c>
      <c r="AQ621" s="134">
        <v>97.304581999999996</v>
      </c>
      <c r="AR621" s="134">
        <v>97.196262000000004</v>
      </c>
      <c r="AS621" s="134">
        <v>96.801864999999992</v>
      </c>
      <c r="AT621" s="134">
        <v>97.114476592000003</v>
      </c>
      <c r="AU621" s="134">
        <v>94.66687300000001</v>
      </c>
      <c r="AV621" s="134">
        <v>96.286802999999992</v>
      </c>
      <c r="AW621" s="134">
        <v>96.672386199999991</v>
      </c>
      <c r="AX621" s="134">
        <v>96.856588399999993</v>
      </c>
      <c r="AY621" s="134">
        <v>96.388889000000006</v>
      </c>
      <c r="AZ621" s="134">
        <v>96.175926200000006</v>
      </c>
      <c r="BA621" s="134">
        <v>96.436492458000004</v>
      </c>
      <c r="BB621" s="174">
        <v>43132</v>
      </c>
      <c r="BC621" s="174">
        <v>43388</v>
      </c>
    </row>
    <row r="622" spans="1:55" ht="45">
      <c r="A622" s="18" t="s">
        <v>28</v>
      </c>
      <c r="B622" s="146" t="s">
        <v>1070</v>
      </c>
      <c r="C622" s="141" t="s">
        <v>10</v>
      </c>
      <c r="D622" s="141" t="s">
        <v>10</v>
      </c>
      <c r="E622" s="23" t="s">
        <v>10</v>
      </c>
      <c r="F622" s="23" t="s">
        <v>11</v>
      </c>
      <c r="G622" s="18" t="s">
        <v>644</v>
      </c>
      <c r="H622" s="19">
        <v>4.9790000000000001</v>
      </c>
      <c r="I622" s="19">
        <v>208</v>
      </c>
      <c r="J622" s="19">
        <v>98.5</v>
      </c>
      <c r="K622" s="21" t="s">
        <v>1217</v>
      </c>
      <c r="L622" s="49" t="s">
        <v>465</v>
      </c>
      <c r="M622" s="21" t="s">
        <v>466</v>
      </c>
      <c r="N622" s="174">
        <v>43388</v>
      </c>
      <c r="O622" s="49" t="s">
        <v>465</v>
      </c>
      <c r="P622" s="23" t="s">
        <v>17</v>
      </c>
      <c r="Q622" s="23" t="s">
        <v>17</v>
      </c>
      <c r="R622" s="150"/>
      <c r="S622" s="20" t="s">
        <v>10</v>
      </c>
      <c r="T622" s="20" t="s">
        <v>11</v>
      </c>
      <c r="U622" s="19">
        <v>4.51</v>
      </c>
      <c r="V622" s="19"/>
      <c r="W622" s="19"/>
      <c r="X622" s="19">
        <v>360</v>
      </c>
      <c r="Y622" s="19">
        <v>395</v>
      </c>
      <c r="Z622" s="19">
        <v>480</v>
      </c>
      <c r="AA622" s="40">
        <v>0.4</v>
      </c>
      <c r="AB622" s="40">
        <v>1</v>
      </c>
      <c r="AC622" s="40">
        <v>1.6</v>
      </c>
      <c r="AD622" s="40">
        <v>2.7</v>
      </c>
      <c r="AE622" s="40">
        <v>3.6</v>
      </c>
      <c r="AF622" s="40">
        <v>4.9000000000000004</v>
      </c>
      <c r="AG622" s="40">
        <v>96.58</v>
      </c>
      <c r="AH622" s="40">
        <v>98.34</v>
      </c>
      <c r="AI622" s="40">
        <v>98.72</v>
      </c>
      <c r="AJ622" s="40">
        <v>98.82</v>
      </c>
      <c r="AK622" s="40">
        <v>98.82</v>
      </c>
      <c r="AL622" s="40">
        <v>98.91</v>
      </c>
      <c r="AM622" s="40">
        <v>98.7</v>
      </c>
      <c r="AN622" s="40">
        <v>96.34</v>
      </c>
      <c r="AO622" s="40">
        <v>98.22</v>
      </c>
      <c r="AP622" s="40">
        <v>98.64</v>
      </c>
      <c r="AQ622" s="40">
        <v>98.76</v>
      </c>
      <c r="AR622" s="40">
        <v>98.77</v>
      </c>
      <c r="AS622" s="40">
        <v>98.64</v>
      </c>
      <c r="AT622" s="40">
        <v>98.62</v>
      </c>
      <c r="AU622" s="40">
        <v>95.89</v>
      </c>
      <c r="AV622" s="40">
        <v>97.99</v>
      </c>
      <c r="AW622" s="40">
        <v>98.46</v>
      </c>
      <c r="AX622" s="40">
        <v>98.68</v>
      </c>
      <c r="AY622" s="40">
        <v>98.7</v>
      </c>
      <c r="AZ622" s="40">
        <v>98.57</v>
      </c>
      <c r="BA622" s="40">
        <v>98.51</v>
      </c>
      <c r="BB622" s="174">
        <v>42917</v>
      </c>
      <c r="BC622" s="174">
        <v>43388</v>
      </c>
    </row>
    <row r="623" spans="1:55" ht="45">
      <c r="A623" s="18" t="s">
        <v>28</v>
      </c>
      <c r="B623" s="146" t="s">
        <v>1073</v>
      </c>
      <c r="C623" s="141" t="s">
        <v>10</v>
      </c>
      <c r="D623" s="141" t="s">
        <v>10</v>
      </c>
      <c r="E623" s="23" t="s">
        <v>10</v>
      </c>
      <c r="F623" s="23" t="s">
        <v>11</v>
      </c>
      <c r="G623" s="18" t="s">
        <v>645</v>
      </c>
      <c r="H623" s="19">
        <v>5.0519999999999996</v>
      </c>
      <c r="I623" s="19">
        <v>240</v>
      </c>
      <c r="J623" s="19">
        <v>99</v>
      </c>
      <c r="K623" s="21" t="s">
        <v>1217</v>
      </c>
      <c r="L623" s="49" t="s">
        <v>465</v>
      </c>
      <c r="M623" s="21" t="s">
        <v>466</v>
      </c>
      <c r="N623" s="174">
        <v>43388</v>
      </c>
      <c r="O623" s="49" t="s">
        <v>465</v>
      </c>
      <c r="P623" s="23" t="s">
        <v>17</v>
      </c>
      <c r="Q623" s="23" t="s">
        <v>17</v>
      </c>
      <c r="R623" s="150"/>
      <c r="S623" s="20" t="s">
        <v>10</v>
      </c>
      <c r="T623" s="20" t="s">
        <v>11</v>
      </c>
      <c r="U623" s="19">
        <v>4.5199999999999996</v>
      </c>
      <c r="V623" s="19"/>
      <c r="W623" s="19"/>
      <c r="X623" s="19">
        <v>360</v>
      </c>
      <c r="Y623" s="19">
        <v>395</v>
      </c>
      <c r="Z623" s="19">
        <v>480</v>
      </c>
      <c r="AA623" s="40">
        <v>0.4</v>
      </c>
      <c r="AB623" s="40">
        <v>1</v>
      </c>
      <c r="AC623" s="40">
        <v>1.6</v>
      </c>
      <c r="AD623" s="40">
        <v>2.7</v>
      </c>
      <c r="AE623" s="40">
        <v>3.6</v>
      </c>
      <c r="AF623" s="40">
        <v>4.9000000000000004</v>
      </c>
      <c r="AG623" s="40">
        <v>96.65</v>
      </c>
      <c r="AH623" s="40">
        <v>98.42</v>
      </c>
      <c r="AI623" s="40">
        <v>98.79</v>
      </c>
      <c r="AJ623" s="40">
        <v>99</v>
      </c>
      <c r="AK623" s="40">
        <v>98.97</v>
      </c>
      <c r="AL623" s="40">
        <v>99.11</v>
      </c>
      <c r="AM623" s="40">
        <v>98.84</v>
      </c>
      <c r="AN623" s="40">
        <v>96.38</v>
      </c>
      <c r="AO623" s="40">
        <v>98.28</v>
      </c>
      <c r="AP623" s="40">
        <v>98.7</v>
      </c>
      <c r="AQ623" s="40">
        <v>98.94</v>
      </c>
      <c r="AR623" s="40">
        <v>98.92</v>
      </c>
      <c r="AS623" s="40">
        <v>98.86</v>
      </c>
      <c r="AT623" s="40">
        <v>98.76</v>
      </c>
      <c r="AU623" s="40">
        <v>96.03</v>
      </c>
      <c r="AV623" s="40">
        <v>98.07</v>
      </c>
      <c r="AW623" s="40">
        <v>98.57</v>
      </c>
      <c r="AX623" s="40">
        <v>98.87</v>
      </c>
      <c r="AY623" s="40">
        <v>98.87</v>
      </c>
      <c r="AZ623" s="40">
        <v>98.81</v>
      </c>
      <c r="BA623" s="40">
        <v>98.68</v>
      </c>
      <c r="BB623" s="174">
        <v>42917</v>
      </c>
      <c r="BC623" s="174">
        <v>43388</v>
      </c>
    </row>
    <row r="624" spans="1:55" ht="45">
      <c r="A624" s="18" t="s">
        <v>28</v>
      </c>
      <c r="B624" s="18" t="s">
        <v>1071</v>
      </c>
      <c r="C624" s="23" t="s">
        <v>10</v>
      </c>
      <c r="D624" s="23" t="s">
        <v>10</v>
      </c>
      <c r="E624" s="23" t="s">
        <v>10</v>
      </c>
      <c r="F624" s="23" t="s">
        <v>11</v>
      </c>
      <c r="G624" s="18" t="s">
        <v>39</v>
      </c>
      <c r="H624" s="19">
        <v>4.9800000000000004</v>
      </c>
      <c r="I624" s="19">
        <v>208</v>
      </c>
      <c r="J624" s="19">
        <v>97</v>
      </c>
      <c r="K624" s="21" t="s">
        <v>1217</v>
      </c>
      <c r="L624" s="49" t="s">
        <v>467</v>
      </c>
      <c r="M624" s="21" t="s">
        <v>468</v>
      </c>
      <c r="N624" s="174">
        <v>43388</v>
      </c>
      <c r="O624" s="49" t="s">
        <v>467</v>
      </c>
      <c r="P624" s="23" t="s">
        <v>17</v>
      </c>
      <c r="Q624" s="23" t="s">
        <v>17</v>
      </c>
      <c r="R624" s="150"/>
      <c r="S624" s="20" t="s">
        <v>10</v>
      </c>
      <c r="T624" s="20" t="s">
        <v>11</v>
      </c>
      <c r="U624" s="19">
        <v>5.46</v>
      </c>
      <c r="V624" s="19"/>
      <c r="W624" s="19"/>
      <c r="X624" s="19">
        <v>320</v>
      </c>
      <c r="Y624" s="19">
        <v>410</v>
      </c>
      <c r="Z624" s="19">
        <v>500</v>
      </c>
      <c r="AA624" s="40">
        <v>0.5</v>
      </c>
      <c r="AB624" s="40">
        <v>1</v>
      </c>
      <c r="AC624" s="40">
        <v>1.49</v>
      </c>
      <c r="AD624" s="40">
        <v>2.4900000000000002</v>
      </c>
      <c r="AE624" s="40">
        <v>3.73</v>
      </c>
      <c r="AF624" s="40">
        <v>4.9800000000000004</v>
      </c>
      <c r="AG624" s="40">
        <v>96.6</v>
      </c>
      <c r="AH624" s="40">
        <v>97.3</v>
      </c>
      <c r="AI624" s="40">
        <v>97.4</v>
      </c>
      <c r="AJ624" s="40">
        <v>97.2</v>
      </c>
      <c r="AK624" s="40">
        <v>97.1</v>
      </c>
      <c r="AL624" s="40">
        <v>96.6</v>
      </c>
      <c r="AM624" s="40">
        <v>97.1</v>
      </c>
      <c r="AN624" s="40">
        <v>95.9</v>
      </c>
      <c r="AO624" s="40">
        <v>97</v>
      </c>
      <c r="AP624" s="40">
        <v>97.2</v>
      </c>
      <c r="AQ624" s="40">
        <v>97</v>
      </c>
      <c r="AR624" s="40">
        <v>97</v>
      </c>
      <c r="AS624" s="40">
        <v>96.6</v>
      </c>
      <c r="AT624" s="40">
        <v>97</v>
      </c>
      <c r="AU624" s="40">
        <v>96.2</v>
      </c>
      <c r="AV624" s="40">
        <v>96.6</v>
      </c>
      <c r="AW624" s="40">
        <v>96.9</v>
      </c>
      <c r="AX624" s="40">
        <v>96.9</v>
      </c>
      <c r="AY624" s="40">
        <v>96.4</v>
      </c>
      <c r="AZ624" s="40">
        <v>96.5</v>
      </c>
      <c r="BA624" s="40">
        <v>96.5</v>
      </c>
      <c r="BB624" s="174">
        <v>42917</v>
      </c>
      <c r="BC624" s="174">
        <v>43388</v>
      </c>
    </row>
    <row r="625" spans="1:55" ht="45">
      <c r="A625" s="18" t="s">
        <v>28</v>
      </c>
      <c r="B625" s="18" t="s">
        <v>1072</v>
      </c>
      <c r="C625" s="23" t="s">
        <v>10</v>
      </c>
      <c r="D625" s="23" t="s">
        <v>10</v>
      </c>
      <c r="E625" s="23" t="s">
        <v>10</v>
      </c>
      <c r="F625" s="23" t="s">
        <v>11</v>
      </c>
      <c r="G625" s="18" t="s">
        <v>40</v>
      </c>
      <c r="H625" s="19">
        <v>4.99</v>
      </c>
      <c r="I625" s="19">
        <v>240</v>
      </c>
      <c r="J625" s="19">
        <v>98</v>
      </c>
      <c r="K625" s="21" t="s">
        <v>1217</v>
      </c>
      <c r="L625" s="49" t="s">
        <v>467</v>
      </c>
      <c r="M625" s="21" t="s">
        <v>468</v>
      </c>
      <c r="N625" s="174">
        <v>43388</v>
      </c>
      <c r="O625" s="49" t="s">
        <v>467</v>
      </c>
      <c r="P625" s="23" t="s">
        <v>17</v>
      </c>
      <c r="Q625" s="23" t="s">
        <v>17</v>
      </c>
      <c r="R625" s="150"/>
      <c r="S625" s="20" t="s">
        <v>10</v>
      </c>
      <c r="T625" s="20" t="s">
        <v>11</v>
      </c>
      <c r="U625" s="19">
        <v>2.2400000000000002</v>
      </c>
      <c r="V625" s="19"/>
      <c r="W625" s="19"/>
      <c r="X625" s="19">
        <v>370</v>
      </c>
      <c r="Y625" s="19">
        <v>400</v>
      </c>
      <c r="Z625" s="19">
        <v>480</v>
      </c>
      <c r="AA625" s="40">
        <v>0.5</v>
      </c>
      <c r="AB625" s="40">
        <v>1</v>
      </c>
      <c r="AC625" s="40">
        <v>1.5</v>
      </c>
      <c r="AD625" s="40">
        <v>2.5</v>
      </c>
      <c r="AE625" s="40">
        <v>3.74</v>
      </c>
      <c r="AF625" s="40">
        <v>4.99</v>
      </c>
      <c r="AG625" s="40">
        <v>96.7</v>
      </c>
      <c r="AH625" s="40">
        <v>97.9</v>
      </c>
      <c r="AI625" s="40">
        <v>98.1</v>
      </c>
      <c r="AJ625" s="40">
        <v>98.1</v>
      </c>
      <c r="AK625" s="40">
        <v>98.3</v>
      </c>
      <c r="AL625" s="40">
        <v>98.1</v>
      </c>
      <c r="AM625" s="40">
        <v>98.1</v>
      </c>
      <c r="AN625" s="40">
        <v>96.4</v>
      </c>
      <c r="AO625" s="40">
        <v>97.7</v>
      </c>
      <c r="AP625" s="40">
        <v>98</v>
      </c>
      <c r="AQ625" s="40">
        <v>98</v>
      </c>
      <c r="AR625" s="40">
        <v>98.2</v>
      </c>
      <c r="AS625" s="40">
        <v>98</v>
      </c>
      <c r="AT625" s="40">
        <v>98</v>
      </c>
      <c r="AU625" s="40">
        <v>95.7</v>
      </c>
      <c r="AV625" s="40">
        <v>97.4</v>
      </c>
      <c r="AW625" s="40">
        <v>97.7</v>
      </c>
      <c r="AX625" s="40">
        <v>97.8</v>
      </c>
      <c r="AY625" s="40">
        <v>97.8</v>
      </c>
      <c r="AZ625" s="40">
        <v>97.9</v>
      </c>
      <c r="BA625" s="40">
        <v>97.7</v>
      </c>
      <c r="BB625" s="174">
        <v>42917</v>
      </c>
      <c r="BC625" s="174">
        <v>43388</v>
      </c>
    </row>
    <row r="626" spans="1:55" ht="45">
      <c r="A626" s="18" t="s">
        <v>28</v>
      </c>
      <c r="B626" s="18" t="s">
        <v>1074</v>
      </c>
      <c r="C626" s="23" t="s">
        <v>10</v>
      </c>
      <c r="D626" s="23" t="s">
        <v>10</v>
      </c>
      <c r="E626" s="23" t="s">
        <v>10</v>
      </c>
      <c r="F626" s="23" t="s">
        <v>11</v>
      </c>
      <c r="G626" s="18" t="s">
        <v>641</v>
      </c>
      <c r="H626" s="19">
        <v>5.0540000000000003</v>
      </c>
      <c r="I626" s="37">
        <v>208</v>
      </c>
      <c r="J626" s="19">
        <v>99</v>
      </c>
      <c r="K626" s="21" t="s">
        <v>1217</v>
      </c>
      <c r="L626" s="49" t="s">
        <v>563</v>
      </c>
      <c r="M626" s="38" t="s">
        <v>640</v>
      </c>
      <c r="N626" s="174">
        <v>43388</v>
      </c>
      <c r="O626" s="49" t="s">
        <v>563</v>
      </c>
      <c r="P626" s="23" t="s">
        <v>17</v>
      </c>
      <c r="Q626" s="23" t="s">
        <v>17</v>
      </c>
      <c r="R626" s="151"/>
      <c r="S626" s="39" t="s">
        <v>11</v>
      </c>
      <c r="T626" s="39" t="s">
        <v>11</v>
      </c>
      <c r="U626" s="153">
        <v>4.5199999999999996</v>
      </c>
      <c r="V626" s="153"/>
      <c r="W626" s="153"/>
      <c r="X626" s="153">
        <v>360</v>
      </c>
      <c r="Y626" s="153">
        <v>395</v>
      </c>
      <c r="Z626" s="153">
        <v>480</v>
      </c>
      <c r="AA626" s="40">
        <v>0.50540000000000007</v>
      </c>
      <c r="AB626" s="40">
        <v>1.0108000000000001</v>
      </c>
      <c r="AC626" s="40">
        <v>1.5162</v>
      </c>
      <c r="AD626" s="40">
        <v>2.5270000000000001</v>
      </c>
      <c r="AE626" s="40">
        <v>3.7905000000000002</v>
      </c>
      <c r="AF626" s="40">
        <v>5.0540000000000003</v>
      </c>
      <c r="AG626" s="40">
        <v>96.654559199999994</v>
      </c>
      <c r="AH626" s="40">
        <v>98.420969200000002</v>
      </c>
      <c r="AI626" s="40">
        <v>98.787293800000015</v>
      </c>
      <c r="AJ626" s="40">
        <v>99.000340600000001</v>
      </c>
      <c r="AK626" s="40">
        <v>98.967589000000004</v>
      </c>
      <c r="AL626" s="40">
        <v>99.110835400000013</v>
      </c>
      <c r="AM626" s="40">
        <v>98.840141549999998</v>
      </c>
      <c r="AN626" s="40">
        <v>96.37568619999999</v>
      </c>
      <c r="AO626" s="40">
        <v>98.283448399999997</v>
      </c>
      <c r="AP626" s="40">
        <v>98.700434599999994</v>
      </c>
      <c r="AQ626" s="40">
        <v>98.938382000000004</v>
      </c>
      <c r="AR626" s="40">
        <v>98.920587600000005</v>
      </c>
      <c r="AS626" s="40">
        <v>98.860395799999992</v>
      </c>
      <c r="AT626" s="40">
        <v>98.761243457999996</v>
      </c>
      <c r="AU626" s="40">
        <v>96.028461199999995</v>
      </c>
      <c r="AV626" s="40">
        <v>98.068861199999986</v>
      </c>
      <c r="AW626" s="40">
        <v>98.565832799999995</v>
      </c>
      <c r="AX626" s="40">
        <v>98.868919599999998</v>
      </c>
      <c r="AY626" s="40">
        <v>98.870164399999993</v>
      </c>
      <c r="AZ626" s="40">
        <v>98.805445199999994</v>
      </c>
      <c r="BA626" s="40">
        <v>98.67641395199999</v>
      </c>
      <c r="BB626" s="174">
        <v>43252</v>
      </c>
      <c r="BC626" s="174">
        <v>43388</v>
      </c>
    </row>
    <row r="627" spans="1:55" ht="45">
      <c r="A627" s="18" t="s">
        <v>28</v>
      </c>
      <c r="B627" s="146" t="s">
        <v>1077</v>
      </c>
      <c r="C627" s="141" t="s">
        <v>10</v>
      </c>
      <c r="D627" s="141" t="s">
        <v>10</v>
      </c>
      <c r="E627" s="23" t="s">
        <v>10</v>
      </c>
      <c r="F627" s="23" t="s">
        <v>11</v>
      </c>
      <c r="G627" s="18" t="s">
        <v>646</v>
      </c>
      <c r="H627" s="19">
        <v>6.0460000000000003</v>
      </c>
      <c r="I627" s="19">
        <v>240</v>
      </c>
      <c r="J627" s="19">
        <v>99</v>
      </c>
      <c r="K627" s="21" t="s">
        <v>1217</v>
      </c>
      <c r="L627" s="49" t="s">
        <v>465</v>
      </c>
      <c r="M627" s="21" t="s">
        <v>466</v>
      </c>
      <c r="N627" s="174">
        <v>43388</v>
      </c>
      <c r="O627" s="49" t="s">
        <v>465</v>
      </c>
      <c r="P627" s="23" t="s">
        <v>17</v>
      </c>
      <c r="Q627" s="23" t="s">
        <v>17</v>
      </c>
      <c r="R627" s="150"/>
      <c r="S627" s="20" t="s">
        <v>10</v>
      </c>
      <c r="T627" s="20" t="s">
        <v>11</v>
      </c>
      <c r="U627" s="19">
        <v>4.5199999999999996</v>
      </c>
      <c r="V627" s="19"/>
      <c r="W627" s="19"/>
      <c r="X627" s="19">
        <v>360</v>
      </c>
      <c r="Y627" s="19">
        <v>395</v>
      </c>
      <c r="Z627" s="19">
        <v>480</v>
      </c>
      <c r="AA627" s="40">
        <v>0.5</v>
      </c>
      <c r="AB627" s="40">
        <v>1.3</v>
      </c>
      <c r="AC627" s="40">
        <v>1.9</v>
      </c>
      <c r="AD627" s="40">
        <v>3</v>
      </c>
      <c r="AE627" s="40">
        <v>4.3</v>
      </c>
      <c r="AF627" s="40">
        <v>5.8</v>
      </c>
      <c r="AG627" s="40">
        <v>97.17</v>
      </c>
      <c r="AH627" s="40">
        <v>98.61</v>
      </c>
      <c r="AI627" s="40">
        <v>98.9</v>
      </c>
      <c r="AJ627" s="40">
        <v>98.95</v>
      </c>
      <c r="AK627" s="40">
        <v>98.95</v>
      </c>
      <c r="AL627" s="40">
        <v>98.98</v>
      </c>
      <c r="AM627" s="40">
        <v>98.96</v>
      </c>
      <c r="AN627" s="40">
        <v>96.95</v>
      </c>
      <c r="AO627" s="40">
        <v>98.51</v>
      </c>
      <c r="AP627" s="40">
        <v>98.82</v>
      </c>
      <c r="AQ627" s="40">
        <v>98.89</v>
      </c>
      <c r="AR627" s="40">
        <v>98.9</v>
      </c>
      <c r="AS627" s="40">
        <v>98.95</v>
      </c>
      <c r="AT627" s="40">
        <v>98.79</v>
      </c>
      <c r="AU627" s="40">
        <v>96.65</v>
      </c>
      <c r="AV627" s="40">
        <v>98.32</v>
      </c>
      <c r="AW627" s="40">
        <v>98.7</v>
      </c>
      <c r="AX627" s="40">
        <v>98.83</v>
      </c>
      <c r="AY627" s="40">
        <v>98.85</v>
      </c>
      <c r="AZ627" s="40">
        <v>98.71</v>
      </c>
      <c r="BA627" s="40">
        <v>98.7</v>
      </c>
      <c r="BB627" s="174">
        <v>42917</v>
      </c>
      <c r="BC627" s="174">
        <v>43388</v>
      </c>
    </row>
    <row r="628" spans="1:55" ht="45">
      <c r="A628" s="18" t="s">
        <v>28</v>
      </c>
      <c r="B628" s="18" t="s">
        <v>1075</v>
      </c>
      <c r="C628" s="23" t="s">
        <v>10</v>
      </c>
      <c r="D628" s="23" t="s">
        <v>10</v>
      </c>
      <c r="E628" s="23" t="s">
        <v>10</v>
      </c>
      <c r="F628" s="23" t="s">
        <v>11</v>
      </c>
      <c r="G628" s="18" t="s">
        <v>41</v>
      </c>
      <c r="H628" s="19">
        <v>5.33</v>
      </c>
      <c r="I628" s="19">
        <v>208</v>
      </c>
      <c r="J628" s="19">
        <v>97</v>
      </c>
      <c r="K628" s="21" t="s">
        <v>1217</v>
      </c>
      <c r="L628" s="49" t="s">
        <v>467</v>
      </c>
      <c r="M628" s="21" t="s">
        <v>468</v>
      </c>
      <c r="N628" s="174">
        <v>43388</v>
      </c>
      <c r="O628" s="49" t="s">
        <v>467</v>
      </c>
      <c r="P628" s="23" t="s">
        <v>17</v>
      </c>
      <c r="Q628" s="23" t="s">
        <v>17</v>
      </c>
      <c r="R628" s="150"/>
      <c r="S628" s="20" t="s">
        <v>10</v>
      </c>
      <c r="T628" s="20" t="s">
        <v>11</v>
      </c>
      <c r="U628" s="19">
        <v>5.22</v>
      </c>
      <c r="V628" s="19"/>
      <c r="W628" s="19"/>
      <c r="X628" s="19">
        <v>320</v>
      </c>
      <c r="Y628" s="19">
        <v>410</v>
      </c>
      <c r="Z628" s="19">
        <v>500</v>
      </c>
      <c r="AA628" s="40">
        <v>0.53</v>
      </c>
      <c r="AB628" s="40">
        <v>1.07</v>
      </c>
      <c r="AC628" s="40">
        <v>1.6</v>
      </c>
      <c r="AD628" s="40">
        <v>2.66</v>
      </c>
      <c r="AE628" s="40">
        <v>3.99</v>
      </c>
      <c r="AF628" s="40">
        <v>5.33</v>
      </c>
      <c r="AG628" s="40">
        <v>96.6</v>
      </c>
      <c r="AH628" s="40">
        <v>97.3</v>
      </c>
      <c r="AI628" s="40">
        <v>97.4</v>
      </c>
      <c r="AJ628" s="40">
        <v>97.2</v>
      </c>
      <c r="AK628" s="40">
        <v>97.1</v>
      </c>
      <c r="AL628" s="40">
        <v>96.4</v>
      </c>
      <c r="AM628" s="40">
        <v>97.1</v>
      </c>
      <c r="AN628" s="40">
        <v>95.9</v>
      </c>
      <c r="AO628" s="40">
        <v>97</v>
      </c>
      <c r="AP628" s="40">
        <v>97.2</v>
      </c>
      <c r="AQ628" s="40">
        <v>97</v>
      </c>
      <c r="AR628" s="40">
        <v>97</v>
      </c>
      <c r="AS628" s="40">
        <v>96.4</v>
      </c>
      <c r="AT628" s="40">
        <v>97</v>
      </c>
      <c r="AU628" s="40">
        <v>96.2</v>
      </c>
      <c r="AV628" s="40">
        <v>96.6</v>
      </c>
      <c r="AW628" s="40">
        <v>96.9</v>
      </c>
      <c r="AX628" s="40">
        <v>96.9</v>
      </c>
      <c r="AY628" s="40">
        <v>96.4</v>
      </c>
      <c r="AZ628" s="40">
        <v>96.3</v>
      </c>
      <c r="BA628" s="40">
        <v>96.5</v>
      </c>
      <c r="BB628" s="174">
        <v>42917</v>
      </c>
      <c r="BC628" s="174">
        <v>43388</v>
      </c>
    </row>
    <row r="629" spans="1:55" ht="45">
      <c r="A629" s="18" t="s">
        <v>28</v>
      </c>
      <c r="B629" s="18" t="s">
        <v>1076</v>
      </c>
      <c r="C629" s="23" t="s">
        <v>10</v>
      </c>
      <c r="D629" s="23" t="s">
        <v>10</v>
      </c>
      <c r="E629" s="23" t="s">
        <v>10</v>
      </c>
      <c r="F629" s="23" t="s">
        <v>11</v>
      </c>
      <c r="G629" s="18" t="s">
        <v>42</v>
      </c>
      <c r="H629" s="19">
        <v>5.99</v>
      </c>
      <c r="I629" s="19">
        <v>240</v>
      </c>
      <c r="J629" s="19">
        <v>97.5</v>
      </c>
      <c r="K629" s="21" t="s">
        <v>1217</v>
      </c>
      <c r="L629" s="49" t="s">
        <v>467</v>
      </c>
      <c r="M629" s="21" t="s">
        <v>468</v>
      </c>
      <c r="N629" s="174">
        <v>43388</v>
      </c>
      <c r="O629" s="49" t="s">
        <v>467</v>
      </c>
      <c r="P629" s="23" t="s">
        <v>17</v>
      </c>
      <c r="Q629" s="23" t="s">
        <v>17</v>
      </c>
      <c r="R629" s="150"/>
      <c r="S629" s="20" t="s">
        <v>10</v>
      </c>
      <c r="T629" s="20" t="s">
        <v>11</v>
      </c>
      <c r="U629" s="19">
        <v>3.52</v>
      </c>
      <c r="V629" s="19"/>
      <c r="W629" s="19"/>
      <c r="X629" s="19">
        <v>370</v>
      </c>
      <c r="Y629" s="19">
        <v>435</v>
      </c>
      <c r="Z629" s="19">
        <v>500</v>
      </c>
      <c r="AA629" s="40">
        <v>0.6</v>
      </c>
      <c r="AB629" s="40">
        <v>1.2</v>
      </c>
      <c r="AC629" s="40">
        <v>1.8</v>
      </c>
      <c r="AD629" s="40">
        <v>3</v>
      </c>
      <c r="AE629" s="40">
        <v>4.5</v>
      </c>
      <c r="AF629" s="40">
        <v>5.99</v>
      </c>
      <c r="AG629" s="40">
        <v>96.5</v>
      </c>
      <c r="AH629" s="40">
        <v>97.6</v>
      </c>
      <c r="AI629" s="40">
        <v>97.7</v>
      </c>
      <c r="AJ629" s="40">
        <v>97.5</v>
      </c>
      <c r="AK629" s="40">
        <v>97.3</v>
      </c>
      <c r="AL629" s="40">
        <v>97</v>
      </c>
      <c r="AM629" s="40">
        <v>97.4</v>
      </c>
      <c r="AN629" s="40">
        <v>96</v>
      </c>
      <c r="AO629" s="40">
        <v>97.4</v>
      </c>
      <c r="AP629" s="40">
        <v>97.5</v>
      </c>
      <c r="AQ629" s="40">
        <v>97.3</v>
      </c>
      <c r="AR629" s="40">
        <v>97.3</v>
      </c>
      <c r="AS629" s="40">
        <v>97</v>
      </c>
      <c r="AT629" s="40">
        <v>97.3</v>
      </c>
      <c r="AU629" s="40">
        <v>95.7</v>
      </c>
      <c r="AV629" s="40">
        <v>97.1</v>
      </c>
      <c r="AW629" s="40">
        <v>97.3</v>
      </c>
      <c r="AX629" s="40">
        <v>97.2</v>
      </c>
      <c r="AY629" s="40">
        <v>97.3</v>
      </c>
      <c r="AZ629" s="40">
        <v>96.9</v>
      </c>
      <c r="BA629" s="40">
        <v>97.2</v>
      </c>
      <c r="BB629" s="174">
        <v>42917</v>
      </c>
      <c r="BC629" s="174">
        <v>43388</v>
      </c>
    </row>
    <row r="630" spans="1:55" ht="60">
      <c r="A630" s="140" t="s">
        <v>28</v>
      </c>
      <c r="B630" s="140" t="s">
        <v>1095</v>
      </c>
      <c r="C630" s="26" t="s">
        <v>10</v>
      </c>
      <c r="D630" s="26" t="s">
        <v>10</v>
      </c>
      <c r="E630" s="23" t="s">
        <v>10</v>
      </c>
      <c r="F630" s="23" t="s">
        <v>11</v>
      </c>
      <c r="G630" s="140" t="s">
        <v>481</v>
      </c>
      <c r="H630" s="132">
        <v>33.299999999999997</v>
      </c>
      <c r="I630" s="129">
        <v>480</v>
      </c>
      <c r="J630" s="137">
        <v>98.5</v>
      </c>
      <c r="K630" s="21" t="s">
        <v>1217</v>
      </c>
      <c r="L630" s="130" t="s">
        <v>479</v>
      </c>
      <c r="M630" s="26" t="s">
        <v>470</v>
      </c>
      <c r="N630" s="174">
        <v>43388</v>
      </c>
      <c r="O630" s="130" t="s">
        <v>479</v>
      </c>
      <c r="P630" s="23" t="s">
        <v>17</v>
      </c>
      <c r="Q630" s="23" t="s">
        <v>17</v>
      </c>
      <c r="R630" s="152" t="s">
        <v>480</v>
      </c>
      <c r="S630" s="131" t="s">
        <v>10</v>
      </c>
      <c r="T630" s="131" t="s">
        <v>11</v>
      </c>
      <c r="U630" s="132">
        <v>5.05</v>
      </c>
      <c r="V630" s="133"/>
      <c r="W630" s="133"/>
      <c r="X630" s="133">
        <v>790</v>
      </c>
      <c r="Y630" s="133">
        <v>850</v>
      </c>
      <c r="Z630" s="133">
        <v>950</v>
      </c>
      <c r="AA630" s="134">
        <v>3.34</v>
      </c>
      <c r="AB630" s="134">
        <v>6.68</v>
      </c>
      <c r="AC630" s="134">
        <v>10.02</v>
      </c>
      <c r="AD630" s="134">
        <v>16.7</v>
      </c>
      <c r="AE630" s="134">
        <v>25.049999999999997</v>
      </c>
      <c r="AF630" s="134">
        <v>33.4</v>
      </c>
      <c r="AG630" s="134">
        <v>97.189196467488244</v>
      </c>
      <c r="AH630" s="134">
        <v>98.242947891445439</v>
      </c>
      <c r="AI630" s="134">
        <v>98.888888761904767</v>
      </c>
      <c r="AJ630" s="134">
        <v>98.509803882352941</v>
      </c>
      <c r="AK630" s="134">
        <v>98.67768595041322</v>
      </c>
      <c r="AL630" s="134">
        <v>98.461538461538467</v>
      </c>
      <c r="AM630" s="134">
        <v>98.575691196790416</v>
      </c>
      <c r="AN630" s="134">
        <v>96.664031410256399</v>
      </c>
      <c r="AO630" s="134">
        <v>98.084400284495032</v>
      </c>
      <c r="AP630" s="134">
        <v>98.113207547169807</v>
      </c>
      <c r="AQ630" s="134">
        <v>98.505882352941171</v>
      </c>
      <c r="AR630" s="134">
        <v>98.370370370370367</v>
      </c>
      <c r="AS630" s="134">
        <v>98.159509202453989</v>
      </c>
      <c r="AT630" s="134">
        <v>98.274873226832014</v>
      </c>
      <c r="AU630" s="134">
        <v>96.33825541401275</v>
      </c>
      <c r="AV630" s="134">
        <v>97.84397143659011</v>
      </c>
      <c r="AW630" s="134">
        <v>97.84276716981131</v>
      </c>
      <c r="AX630" s="134">
        <v>98.470588235294116</v>
      </c>
      <c r="AY630" s="134">
        <v>98.312757201646093</v>
      </c>
      <c r="AZ630" s="134">
        <v>98.159509202453989</v>
      </c>
      <c r="BA630" s="134">
        <v>98.179421155174268</v>
      </c>
      <c r="BB630" s="174">
        <v>43132</v>
      </c>
      <c r="BC630" s="174">
        <v>43388</v>
      </c>
    </row>
    <row r="631" spans="1:55" ht="45">
      <c r="A631" s="18" t="s">
        <v>28</v>
      </c>
      <c r="B631" s="18" t="s">
        <v>1078</v>
      </c>
      <c r="C631" s="23" t="s">
        <v>10</v>
      </c>
      <c r="D631" s="23" t="s">
        <v>10</v>
      </c>
      <c r="E631" s="23" t="s">
        <v>10</v>
      </c>
      <c r="F631" s="23" t="s">
        <v>11</v>
      </c>
      <c r="G631" s="18" t="s">
        <v>43</v>
      </c>
      <c r="H631" s="19">
        <v>7.56</v>
      </c>
      <c r="I631" s="19">
        <v>208</v>
      </c>
      <c r="J631" s="19">
        <v>97.5</v>
      </c>
      <c r="K631" s="21" t="s">
        <v>1217</v>
      </c>
      <c r="L631" s="49" t="s">
        <v>467</v>
      </c>
      <c r="M631" s="21" t="s">
        <v>468</v>
      </c>
      <c r="N631" s="174">
        <v>43388</v>
      </c>
      <c r="O631" s="49" t="s">
        <v>467</v>
      </c>
      <c r="P631" s="23" t="s">
        <v>17</v>
      </c>
      <c r="Q631" s="23" t="s">
        <v>17</v>
      </c>
      <c r="R631" s="150"/>
      <c r="S631" s="20" t="s">
        <v>10</v>
      </c>
      <c r="T631" s="20" t="s">
        <v>11</v>
      </c>
      <c r="U631" s="19">
        <v>5.75</v>
      </c>
      <c r="V631" s="19"/>
      <c r="W631" s="19"/>
      <c r="X631" s="19">
        <v>325</v>
      </c>
      <c r="Y631" s="19">
        <v>375</v>
      </c>
      <c r="Z631" s="19">
        <v>480</v>
      </c>
      <c r="AA631" s="40">
        <v>0.75600000000000001</v>
      </c>
      <c r="AB631" s="40">
        <v>1.512</v>
      </c>
      <c r="AC631" s="40">
        <v>2.2679999999999998</v>
      </c>
      <c r="AD631" s="40">
        <v>3.78</v>
      </c>
      <c r="AE631" s="40">
        <v>5.67</v>
      </c>
      <c r="AF631" s="40">
        <v>7.56</v>
      </c>
      <c r="AG631" s="40">
        <v>96.3</v>
      </c>
      <c r="AH631" s="40">
        <v>97.4</v>
      </c>
      <c r="AI631" s="40">
        <v>97.6</v>
      </c>
      <c r="AJ631" s="40">
        <v>97.6</v>
      </c>
      <c r="AK631" s="40">
        <v>97.5</v>
      </c>
      <c r="AL631" s="40">
        <v>97.3</v>
      </c>
      <c r="AM631" s="40">
        <v>97.5</v>
      </c>
      <c r="AN631" s="40">
        <v>96</v>
      </c>
      <c r="AO631" s="40">
        <v>97.2</v>
      </c>
      <c r="AP631" s="40">
        <v>97.5</v>
      </c>
      <c r="AQ631" s="40">
        <v>97.5</v>
      </c>
      <c r="AR631" s="40">
        <v>97.4</v>
      </c>
      <c r="AS631" s="40">
        <v>97.2</v>
      </c>
      <c r="AT631" s="40">
        <v>97.3</v>
      </c>
      <c r="AU631" s="40">
        <v>95.2</v>
      </c>
      <c r="AV631" s="40">
        <v>96.8</v>
      </c>
      <c r="AW631" s="40">
        <v>97.1</v>
      </c>
      <c r="AX631" s="40">
        <v>97.2</v>
      </c>
      <c r="AY631" s="40">
        <v>97.1</v>
      </c>
      <c r="AZ631" s="40">
        <v>96.8</v>
      </c>
      <c r="BA631" s="40">
        <v>97</v>
      </c>
      <c r="BB631" s="174">
        <v>42917</v>
      </c>
      <c r="BC631" s="174">
        <v>43388</v>
      </c>
    </row>
    <row r="632" spans="1:55" ht="45">
      <c r="A632" s="18" t="s">
        <v>28</v>
      </c>
      <c r="B632" s="18" t="s">
        <v>1080</v>
      </c>
      <c r="C632" s="23" t="s">
        <v>10</v>
      </c>
      <c r="D632" s="23" t="s">
        <v>10</v>
      </c>
      <c r="E632" s="23" t="s">
        <v>10</v>
      </c>
      <c r="F632" s="23" t="s">
        <v>11</v>
      </c>
      <c r="G632" s="18" t="s">
        <v>44</v>
      </c>
      <c r="H632" s="19">
        <v>7.625</v>
      </c>
      <c r="I632" s="19">
        <v>240</v>
      </c>
      <c r="J632" s="19">
        <v>97.5</v>
      </c>
      <c r="K632" s="21" t="s">
        <v>1217</v>
      </c>
      <c r="L632" s="49" t="s">
        <v>467</v>
      </c>
      <c r="M632" s="21" t="s">
        <v>468</v>
      </c>
      <c r="N632" s="174">
        <v>43388</v>
      </c>
      <c r="O632" s="49" t="s">
        <v>467</v>
      </c>
      <c r="P632" s="23" t="s">
        <v>17</v>
      </c>
      <c r="Q632" s="23" t="s">
        <v>17</v>
      </c>
      <c r="R632" s="150"/>
      <c r="S632" s="20" t="s">
        <v>10</v>
      </c>
      <c r="T632" s="20" t="s">
        <v>11</v>
      </c>
      <c r="U632" s="19">
        <v>2.16</v>
      </c>
      <c r="V632" s="19"/>
      <c r="W632" s="19"/>
      <c r="X632" s="19">
        <v>360</v>
      </c>
      <c r="Y632" s="19">
        <v>400</v>
      </c>
      <c r="Z632" s="19">
        <v>480</v>
      </c>
      <c r="AA632" s="40">
        <v>0.76249999999999996</v>
      </c>
      <c r="AB632" s="40">
        <v>1.5249999999999999</v>
      </c>
      <c r="AC632" s="40">
        <v>2.2879999999999998</v>
      </c>
      <c r="AD632" s="40">
        <v>3.8130000000000002</v>
      </c>
      <c r="AE632" s="40">
        <v>5.7190000000000003</v>
      </c>
      <c r="AF632" s="40">
        <v>7.625</v>
      </c>
      <c r="AG632" s="40">
        <v>97</v>
      </c>
      <c r="AH632" s="40">
        <v>97.9</v>
      </c>
      <c r="AI632" s="40">
        <v>98</v>
      </c>
      <c r="AJ632" s="40">
        <v>97.9</v>
      </c>
      <c r="AK632" s="40">
        <v>97.7</v>
      </c>
      <c r="AL632" s="40">
        <v>97.3</v>
      </c>
      <c r="AM632" s="40">
        <v>97.7</v>
      </c>
      <c r="AN632" s="40">
        <v>96.6</v>
      </c>
      <c r="AO632" s="40">
        <v>97.8</v>
      </c>
      <c r="AP632" s="40">
        <v>97.9</v>
      </c>
      <c r="AQ632" s="40">
        <v>97.9</v>
      </c>
      <c r="AR632" s="40">
        <v>97.6</v>
      </c>
      <c r="AS632" s="40">
        <v>97.3</v>
      </c>
      <c r="AT632" s="40">
        <v>97.7</v>
      </c>
      <c r="AU632" s="40">
        <v>95.7</v>
      </c>
      <c r="AV632" s="40">
        <v>97.4</v>
      </c>
      <c r="AW632" s="40">
        <v>97.6</v>
      </c>
      <c r="AX632" s="40">
        <v>97.6</v>
      </c>
      <c r="AY632" s="40">
        <v>97.5</v>
      </c>
      <c r="AZ632" s="40">
        <v>97.1</v>
      </c>
      <c r="BA632" s="40">
        <v>97.5</v>
      </c>
      <c r="BB632" s="174">
        <v>42917</v>
      </c>
      <c r="BC632" s="174">
        <v>43388</v>
      </c>
    </row>
    <row r="633" spans="1:55" ht="45">
      <c r="A633" s="18" t="s">
        <v>28</v>
      </c>
      <c r="B633" s="146" t="s">
        <v>1079</v>
      </c>
      <c r="C633" s="141" t="s">
        <v>10</v>
      </c>
      <c r="D633" s="141" t="s">
        <v>10</v>
      </c>
      <c r="E633" s="23" t="s">
        <v>10</v>
      </c>
      <c r="F633" s="23" t="s">
        <v>11</v>
      </c>
      <c r="G633" s="18" t="s">
        <v>44</v>
      </c>
      <c r="H633" s="19">
        <v>7.6159999999999997</v>
      </c>
      <c r="I633" s="19">
        <v>240</v>
      </c>
      <c r="J633" s="19">
        <v>99</v>
      </c>
      <c r="K633" s="21" t="s">
        <v>1217</v>
      </c>
      <c r="L633" s="49" t="s">
        <v>465</v>
      </c>
      <c r="M633" s="21" t="s">
        <v>466</v>
      </c>
      <c r="N633" s="174">
        <v>43388</v>
      </c>
      <c r="O633" s="49" t="s">
        <v>465</v>
      </c>
      <c r="P633" s="23" t="s">
        <v>17</v>
      </c>
      <c r="Q633" s="23" t="s">
        <v>17</v>
      </c>
      <c r="R633" s="150"/>
      <c r="S633" s="20" t="s">
        <v>10</v>
      </c>
      <c r="T633" s="20" t="s">
        <v>11</v>
      </c>
      <c r="U633" s="19">
        <v>4.5199999999999996</v>
      </c>
      <c r="V633" s="19"/>
      <c r="W633" s="19"/>
      <c r="X633" s="19">
        <v>360</v>
      </c>
      <c r="Y633" s="19">
        <v>395</v>
      </c>
      <c r="Z633" s="19">
        <v>480</v>
      </c>
      <c r="AA633" s="40">
        <v>0.7</v>
      </c>
      <c r="AB633" s="40">
        <v>1.6</v>
      </c>
      <c r="AC633" s="40">
        <v>2.4</v>
      </c>
      <c r="AD633" s="40">
        <v>3.6</v>
      </c>
      <c r="AE633" s="40">
        <v>5.5</v>
      </c>
      <c r="AF633" s="40">
        <v>7.3</v>
      </c>
      <c r="AG633" s="40">
        <v>97.72</v>
      </c>
      <c r="AH633" s="40">
        <v>98.8</v>
      </c>
      <c r="AI633" s="40">
        <v>98.97</v>
      </c>
      <c r="AJ633" s="40">
        <v>98.97</v>
      </c>
      <c r="AK633" s="40">
        <v>99.04</v>
      </c>
      <c r="AL633" s="40">
        <v>98.73</v>
      </c>
      <c r="AM633" s="40">
        <v>98.94</v>
      </c>
      <c r="AN633" s="40">
        <v>97.52</v>
      </c>
      <c r="AO633" s="40">
        <v>98.7</v>
      </c>
      <c r="AP633" s="40">
        <v>98.91</v>
      </c>
      <c r="AQ633" s="40">
        <v>98.93</v>
      </c>
      <c r="AR633" s="40">
        <v>99.02</v>
      </c>
      <c r="AS633" s="40">
        <v>98.69</v>
      </c>
      <c r="AT633" s="40">
        <v>98.89</v>
      </c>
      <c r="AU633" s="40">
        <v>97.24</v>
      </c>
      <c r="AV633" s="40">
        <v>98.57</v>
      </c>
      <c r="AW633" s="40">
        <v>98.83</v>
      </c>
      <c r="AX633" s="40">
        <v>98.87</v>
      </c>
      <c r="AY633" s="40">
        <v>98.75</v>
      </c>
      <c r="AZ633" s="40">
        <v>98.71</v>
      </c>
      <c r="BA633" s="40">
        <v>98.71</v>
      </c>
      <c r="BB633" s="174">
        <v>42917</v>
      </c>
      <c r="BC633" s="174">
        <v>43388</v>
      </c>
    </row>
    <row r="634" spans="1:55" ht="45">
      <c r="A634" s="18" t="s">
        <v>28</v>
      </c>
      <c r="B634" s="18" t="s">
        <v>1081</v>
      </c>
      <c r="C634" s="23" t="s">
        <v>10</v>
      </c>
      <c r="D634" s="23" t="s">
        <v>10</v>
      </c>
      <c r="E634" s="23" t="s">
        <v>10</v>
      </c>
      <c r="F634" s="23" t="s">
        <v>11</v>
      </c>
      <c r="G634" s="18" t="s">
        <v>50</v>
      </c>
      <c r="H634" s="19">
        <v>8.9629999999999992</v>
      </c>
      <c r="I634" s="19">
        <v>208</v>
      </c>
      <c r="J634" s="19">
        <v>96.5</v>
      </c>
      <c r="K634" s="21" t="s">
        <v>1217</v>
      </c>
      <c r="L634" s="49" t="s">
        <v>469</v>
      </c>
      <c r="M634" s="21" t="s">
        <v>470</v>
      </c>
      <c r="N634" s="174">
        <v>43388</v>
      </c>
      <c r="O634" s="49" t="s">
        <v>469</v>
      </c>
      <c r="P634" s="23" t="s">
        <v>17</v>
      </c>
      <c r="Q634" s="23" t="s">
        <v>17</v>
      </c>
      <c r="R634" s="150"/>
      <c r="S634" s="20" t="s">
        <v>10</v>
      </c>
      <c r="T634" s="20" t="s">
        <v>11</v>
      </c>
      <c r="U634" s="19">
        <v>3.08</v>
      </c>
      <c r="V634" s="19"/>
      <c r="W634" s="19"/>
      <c r="X634" s="19">
        <v>384</v>
      </c>
      <c r="Y634" s="19">
        <v>424</v>
      </c>
      <c r="Z634" s="19">
        <v>504</v>
      </c>
      <c r="AA634" s="40">
        <v>0.9</v>
      </c>
      <c r="AB634" s="40">
        <v>1.79</v>
      </c>
      <c r="AC634" s="40">
        <v>2.69</v>
      </c>
      <c r="AD634" s="40">
        <v>4.4800000000000004</v>
      </c>
      <c r="AE634" s="40">
        <v>6.72</v>
      </c>
      <c r="AF634" s="40">
        <v>8.9600000000000009</v>
      </c>
      <c r="AG634" s="40">
        <v>95.2</v>
      </c>
      <c r="AH634" s="40">
        <v>96.5</v>
      </c>
      <c r="AI634" s="40">
        <v>96.8</v>
      </c>
      <c r="AJ634" s="40">
        <v>96.6</v>
      </c>
      <c r="AK634" s="40">
        <v>96.3</v>
      </c>
      <c r="AL634" s="40">
        <v>96.1</v>
      </c>
      <c r="AM634" s="40">
        <v>96.4</v>
      </c>
      <c r="AN634" s="40">
        <v>94.9</v>
      </c>
      <c r="AO634" s="40">
        <v>96.3</v>
      </c>
      <c r="AP634" s="40">
        <v>96.7</v>
      </c>
      <c r="AQ634" s="40">
        <v>96.5</v>
      </c>
      <c r="AR634" s="40">
        <v>96.3</v>
      </c>
      <c r="AS634" s="40">
        <v>96</v>
      </c>
      <c r="AT634" s="40">
        <v>96.3</v>
      </c>
      <c r="AU634" s="40">
        <v>94.3</v>
      </c>
      <c r="AV634" s="40">
        <v>96</v>
      </c>
      <c r="AW634" s="40">
        <v>96.4</v>
      </c>
      <c r="AX634" s="40">
        <v>96.4</v>
      </c>
      <c r="AY634" s="40">
        <v>96.1</v>
      </c>
      <c r="AZ634" s="40">
        <v>95.8</v>
      </c>
      <c r="BA634" s="40">
        <v>96.1</v>
      </c>
      <c r="BB634" s="174">
        <v>42917</v>
      </c>
      <c r="BC634" s="174">
        <v>43388</v>
      </c>
    </row>
    <row r="635" spans="1:55" ht="45">
      <c r="A635" s="18" t="s">
        <v>653</v>
      </c>
      <c r="B635" s="18" t="s">
        <v>1096</v>
      </c>
      <c r="C635" s="23" t="s">
        <v>10</v>
      </c>
      <c r="D635" s="23" t="s">
        <v>10</v>
      </c>
      <c r="E635" s="23" t="s">
        <v>10</v>
      </c>
      <c r="F635" s="23" t="s">
        <v>11</v>
      </c>
      <c r="G635" s="18" t="s">
        <v>1528</v>
      </c>
      <c r="H635" s="19">
        <v>0.28999999999999998</v>
      </c>
      <c r="I635" s="37">
        <v>240</v>
      </c>
      <c r="J635" s="19">
        <v>97</v>
      </c>
      <c r="K635" s="21" t="s">
        <v>1215</v>
      </c>
      <c r="L635" s="49" t="s">
        <v>749</v>
      </c>
      <c r="M635" s="38" t="s">
        <v>750</v>
      </c>
      <c r="N635" s="174">
        <v>43388</v>
      </c>
      <c r="O635" s="49" t="s">
        <v>749</v>
      </c>
      <c r="P635" s="23" t="s">
        <v>17</v>
      </c>
      <c r="Q635" s="23" t="s">
        <v>17</v>
      </c>
      <c r="R635" s="151" t="s">
        <v>27</v>
      </c>
      <c r="S635" s="39" t="s">
        <v>11</v>
      </c>
      <c r="T635" s="39" t="s">
        <v>10</v>
      </c>
      <c r="U635" s="153">
        <v>2.5000000000000001E-2</v>
      </c>
      <c r="V635" s="153"/>
      <c r="W635" s="153"/>
      <c r="X635" s="153">
        <v>27</v>
      </c>
      <c r="Y635" s="153">
        <v>36</v>
      </c>
      <c r="Z635" s="153">
        <v>45</v>
      </c>
      <c r="AA635" s="40">
        <v>0.03</v>
      </c>
      <c r="AB635" s="40">
        <v>0.06</v>
      </c>
      <c r="AC635" s="40">
        <v>0.09</v>
      </c>
      <c r="AD635" s="40">
        <v>0.15</v>
      </c>
      <c r="AE635" s="40">
        <v>0.22</v>
      </c>
      <c r="AF635" s="40">
        <v>0.28999999999999998</v>
      </c>
      <c r="AG635" s="40">
        <v>95</v>
      </c>
      <c r="AH635" s="40">
        <v>96.2</v>
      </c>
      <c r="AI635" s="40">
        <v>97.1</v>
      </c>
      <c r="AJ635" s="40">
        <v>97.4</v>
      </c>
      <c r="AK635" s="40">
        <v>97.2</v>
      </c>
      <c r="AL635" s="40">
        <v>96.6</v>
      </c>
      <c r="AM635" s="40">
        <v>97.1</v>
      </c>
      <c r="AN635" s="40">
        <v>94.2</v>
      </c>
      <c r="AO635" s="40">
        <v>95.6</v>
      </c>
      <c r="AP635" s="40">
        <v>96.8</v>
      </c>
      <c r="AQ635" s="40">
        <v>97.5</v>
      </c>
      <c r="AR635" s="40">
        <v>97.4</v>
      </c>
      <c r="AS635" s="40">
        <v>97.2</v>
      </c>
      <c r="AT635" s="40">
        <v>97.1</v>
      </c>
      <c r="AU635" s="40">
        <v>93.3</v>
      </c>
      <c r="AV635" s="40">
        <v>94.8</v>
      </c>
      <c r="AW635" s="40">
        <v>96.4</v>
      </c>
      <c r="AX635" s="40">
        <v>97.3</v>
      </c>
      <c r="AY635" s="40">
        <v>97.3</v>
      </c>
      <c r="AZ635" s="40">
        <v>97.1</v>
      </c>
      <c r="BA635" s="40">
        <v>96.9</v>
      </c>
      <c r="BB635" s="174">
        <v>43252</v>
      </c>
      <c r="BC635" s="174">
        <v>43586</v>
      </c>
    </row>
    <row r="636" spans="1:55" ht="45">
      <c r="A636" s="18" t="s">
        <v>653</v>
      </c>
      <c r="B636" s="18" t="s">
        <v>1097</v>
      </c>
      <c r="C636" s="23" t="s">
        <v>10</v>
      </c>
      <c r="D636" s="23" t="s">
        <v>10</v>
      </c>
      <c r="E636" s="23" t="s">
        <v>10</v>
      </c>
      <c r="F636" s="23" t="s">
        <v>11</v>
      </c>
      <c r="G636" s="18" t="s">
        <v>1529</v>
      </c>
      <c r="H636" s="19">
        <v>0.28999999999999998</v>
      </c>
      <c r="I636" s="37">
        <v>240</v>
      </c>
      <c r="J636" s="19">
        <v>97</v>
      </c>
      <c r="K636" s="21" t="s">
        <v>1215</v>
      </c>
      <c r="L636" s="49" t="s">
        <v>749</v>
      </c>
      <c r="M636" s="38" t="s">
        <v>750</v>
      </c>
      <c r="N636" s="174">
        <v>43388</v>
      </c>
      <c r="O636" s="49" t="s">
        <v>749</v>
      </c>
      <c r="P636" s="23" t="s">
        <v>17</v>
      </c>
      <c r="Q636" s="23" t="s">
        <v>17</v>
      </c>
      <c r="R636" s="151" t="s">
        <v>27</v>
      </c>
      <c r="S636" s="39" t="s">
        <v>11</v>
      </c>
      <c r="T636" s="39" t="s">
        <v>10</v>
      </c>
      <c r="U636" s="153">
        <v>2.5000000000000001E-2</v>
      </c>
      <c r="V636" s="153"/>
      <c r="W636" s="153"/>
      <c r="X636" s="153">
        <v>27</v>
      </c>
      <c r="Y636" s="153">
        <v>36</v>
      </c>
      <c r="Z636" s="153">
        <v>45</v>
      </c>
      <c r="AA636" s="40">
        <v>0.03</v>
      </c>
      <c r="AB636" s="40">
        <v>0.06</v>
      </c>
      <c r="AC636" s="40">
        <v>0.09</v>
      </c>
      <c r="AD636" s="40">
        <v>0.15</v>
      </c>
      <c r="AE636" s="40">
        <v>0.22</v>
      </c>
      <c r="AF636" s="40">
        <v>0.28999999999999998</v>
      </c>
      <c r="AG636" s="40">
        <v>95</v>
      </c>
      <c r="AH636" s="40">
        <v>96.2</v>
      </c>
      <c r="AI636" s="40">
        <v>97.1</v>
      </c>
      <c r="AJ636" s="40">
        <v>97.4</v>
      </c>
      <c r="AK636" s="40">
        <v>97.2</v>
      </c>
      <c r="AL636" s="40">
        <v>96.6</v>
      </c>
      <c r="AM636" s="40">
        <v>97.1</v>
      </c>
      <c r="AN636" s="40">
        <v>94.2</v>
      </c>
      <c r="AO636" s="40">
        <v>95.6</v>
      </c>
      <c r="AP636" s="40">
        <v>96.8</v>
      </c>
      <c r="AQ636" s="40">
        <v>97.5</v>
      </c>
      <c r="AR636" s="40">
        <v>97.4</v>
      </c>
      <c r="AS636" s="40">
        <v>97.2</v>
      </c>
      <c r="AT636" s="40">
        <v>97.1</v>
      </c>
      <c r="AU636" s="40">
        <v>93.3</v>
      </c>
      <c r="AV636" s="40">
        <v>94.8</v>
      </c>
      <c r="AW636" s="40">
        <v>96.4</v>
      </c>
      <c r="AX636" s="40">
        <v>97.3</v>
      </c>
      <c r="AY636" s="40">
        <v>97.3</v>
      </c>
      <c r="AZ636" s="40">
        <v>97.1</v>
      </c>
      <c r="BA636" s="40">
        <v>96.9</v>
      </c>
      <c r="BB636" s="174">
        <v>43252</v>
      </c>
      <c r="BC636" s="174">
        <v>43586</v>
      </c>
    </row>
    <row r="637" spans="1:55" ht="45">
      <c r="A637" s="18" t="s">
        <v>653</v>
      </c>
      <c r="B637" s="18" t="s">
        <v>1098</v>
      </c>
      <c r="C637" s="23" t="s">
        <v>10</v>
      </c>
      <c r="D637" s="23" t="s">
        <v>10</v>
      </c>
      <c r="E637" s="23" t="s">
        <v>10</v>
      </c>
      <c r="F637" s="23" t="s">
        <v>11</v>
      </c>
      <c r="G637" s="18" t="s">
        <v>1530</v>
      </c>
      <c r="H637" s="19">
        <v>0.28999999999999998</v>
      </c>
      <c r="I637" s="37">
        <v>240</v>
      </c>
      <c r="J637" s="19">
        <v>97</v>
      </c>
      <c r="K637" s="21" t="s">
        <v>1215</v>
      </c>
      <c r="L637" s="49" t="s">
        <v>749</v>
      </c>
      <c r="M637" s="38" t="s">
        <v>750</v>
      </c>
      <c r="N637" s="174">
        <v>43388</v>
      </c>
      <c r="O637" s="49" t="s">
        <v>749</v>
      </c>
      <c r="P637" s="23" t="s">
        <v>17</v>
      </c>
      <c r="Q637" s="23" t="s">
        <v>17</v>
      </c>
      <c r="R637" s="151" t="s">
        <v>27</v>
      </c>
      <c r="S637" s="39" t="s">
        <v>11</v>
      </c>
      <c r="T637" s="39" t="s">
        <v>10</v>
      </c>
      <c r="U637" s="153">
        <v>2.5000000000000001E-2</v>
      </c>
      <c r="V637" s="153"/>
      <c r="W637" s="153"/>
      <c r="X637" s="153">
        <v>27</v>
      </c>
      <c r="Y637" s="153">
        <v>36</v>
      </c>
      <c r="Z637" s="153">
        <v>45</v>
      </c>
      <c r="AA637" s="40">
        <v>0.03</v>
      </c>
      <c r="AB637" s="40">
        <v>0.06</v>
      </c>
      <c r="AC637" s="40">
        <v>0.09</v>
      </c>
      <c r="AD637" s="40">
        <v>0.15</v>
      </c>
      <c r="AE637" s="40">
        <v>0.22</v>
      </c>
      <c r="AF637" s="40">
        <v>0.28999999999999998</v>
      </c>
      <c r="AG637" s="40">
        <v>95</v>
      </c>
      <c r="AH637" s="40">
        <v>96.2</v>
      </c>
      <c r="AI637" s="40">
        <v>97.1</v>
      </c>
      <c r="AJ637" s="40">
        <v>97.4</v>
      </c>
      <c r="AK637" s="40">
        <v>97.2</v>
      </c>
      <c r="AL637" s="40">
        <v>96.6</v>
      </c>
      <c r="AM637" s="40">
        <v>97.1</v>
      </c>
      <c r="AN637" s="40">
        <v>94.2</v>
      </c>
      <c r="AO637" s="40">
        <v>95.6</v>
      </c>
      <c r="AP637" s="40">
        <v>96.8</v>
      </c>
      <c r="AQ637" s="40">
        <v>97.5</v>
      </c>
      <c r="AR637" s="40">
        <v>97.4</v>
      </c>
      <c r="AS637" s="40">
        <v>97.2</v>
      </c>
      <c r="AT637" s="40">
        <v>97.1</v>
      </c>
      <c r="AU637" s="40">
        <v>93.3</v>
      </c>
      <c r="AV637" s="40">
        <v>94.8</v>
      </c>
      <c r="AW637" s="40">
        <v>96.4</v>
      </c>
      <c r="AX637" s="40">
        <v>97.3</v>
      </c>
      <c r="AY637" s="40">
        <v>97.3</v>
      </c>
      <c r="AZ637" s="40">
        <v>97.1</v>
      </c>
      <c r="BA637" s="40">
        <v>96.9</v>
      </c>
      <c r="BB637" s="174">
        <v>43252</v>
      </c>
      <c r="BC637" s="174">
        <v>43586</v>
      </c>
    </row>
    <row r="638" spans="1:55" ht="60">
      <c r="A638" s="18" t="s">
        <v>653</v>
      </c>
      <c r="B638" s="18" t="s">
        <v>1099</v>
      </c>
      <c r="C638" s="23" t="s">
        <v>10</v>
      </c>
      <c r="D638" s="23" t="s">
        <v>10</v>
      </c>
      <c r="E638" s="23" t="s">
        <v>10</v>
      </c>
      <c r="F638" s="23" t="s">
        <v>11</v>
      </c>
      <c r="G638" s="18" t="s">
        <v>1531</v>
      </c>
      <c r="H638" s="19">
        <v>0.28999999999999998</v>
      </c>
      <c r="I638" s="37">
        <v>240</v>
      </c>
      <c r="J638" s="19">
        <v>97</v>
      </c>
      <c r="K638" s="21" t="s">
        <v>1215</v>
      </c>
      <c r="L638" s="49" t="s">
        <v>749</v>
      </c>
      <c r="M638" s="38" t="s">
        <v>750</v>
      </c>
      <c r="N638" s="174">
        <v>43388</v>
      </c>
      <c r="O638" s="49" t="s">
        <v>749</v>
      </c>
      <c r="P638" s="23" t="s">
        <v>17</v>
      </c>
      <c r="Q638" s="23" t="s">
        <v>17</v>
      </c>
      <c r="R638" s="151" t="s">
        <v>27</v>
      </c>
      <c r="S638" s="39" t="s">
        <v>11</v>
      </c>
      <c r="T638" s="39" t="s">
        <v>10</v>
      </c>
      <c r="U638" s="153">
        <v>2.5000000000000001E-2</v>
      </c>
      <c r="V638" s="153"/>
      <c r="W638" s="153"/>
      <c r="X638" s="153">
        <v>27</v>
      </c>
      <c r="Y638" s="153">
        <v>36</v>
      </c>
      <c r="Z638" s="153">
        <v>45</v>
      </c>
      <c r="AA638" s="40">
        <v>0.03</v>
      </c>
      <c r="AB638" s="40">
        <v>0.06</v>
      </c>
      <c r="AC638" s="40">
        <v>0.09</v>
      </c>
      <c r="AD638" s="40">
        <v>0.15</v>
      </c>
      <c r="AE638" s="40">
        <v>0.22</v>
      </c>
      <c r="AF638" s="40">
        <v>0.28999999999999998</v>
      </c>
      <c r="AG638" s="40">
        <v>95</v>
      </c>
      <c r="AH638" s="40">
        <v>96.2</v>
      </c>
      <c r="AI638" s="40">
        <v>97.1</v>
      </c>
      <c r="AJ638" s="40">
        <v>97.4</v>
      </c>
      <c r="AK638" s="40">
        <v>97.2</v>
      </c>
      <c r="AL638" s="40">
        <v>96.6</v>
      </c>
      <c r="AM638" s="40">
        <v>97.1</v>
      </c>
      <c r="AN638" s="40">
        <v>94.2</v>
      </c>
      <c r="AO638" s="40">
        <v>95.6</v>
      </c>
      <c r="AP638" s="40">
        <v>96.8</v>
      </c>
      <c r="AQ638" s="40">
        <v>97.5</v>
      </c>
      <c r="AR638" s="40">
        <v>97.4</v>
      </c>
      <c r="AS638" s="40">
        <v>97.2</v>
      </c>
      <c r="AT638" s="40">
        <v>97.1</v>
      </c>
      <c r="AU638" s="40">
        <v>93.3</v>
      </c>
      <c r="AV638" s="40">
        <v>94.8</v>
      </c>
      <c r="AW638" s="40">
        <v>96.4</v>
      </c>
      <c r="AX638" s="40">
        <v>97.3</v>
      </c>
      <c r="AY638" s="40">
        <v>97.3</v>
      </c>
      <c r="AZ638" s="40">
        <v>97.1</v>
      </c>
      <c r="BA638" s="40">
        <v>96.9</v>
      </c>
      <c r="BB638" s="174">
        <v>43252</v>
      </c>
      <c r="BC638" s="174">
        <v>43586</v>
      </c>
    </row>
    <row r="639" spans="1:55" ht="45">
      <c r="A639" s="18" t="s">
        <v>653</v>
      </c>
      <c r="B639" s="18" t="s">
        <v>1600</v>
      </c>
      <c r="C639" s="23" t="s">
        <v>10</v>
      </c>
      <c r="D639" s="23" t="s">
        <v>10</v>
      </c>
      <c r="E639" s="23" t="s">
        <v>10</v>
      </c>
      <c r="F639" s="23" t="s">
        <v>11</v>
      </c>
      <c r="G639" s="18" t="s">
        <v>1527</v>
      </c>
      <c r="H639" s="19">
        <v>0.28999999999999998</v>
      </c>
      <c r="I639" s="37">
        <v>240</v>
      </c>
      <c r="J639" s="19">
        <v>97</v>
      </c>
      <c r="K639" s="20" t="s">
        <v>1215</v>
      </c>
      <c r="L639" s="49" t="s">
        <v>749</v>
      </c>
      <c r="M639" s="38" t="s">
        <v>750</v>
      </c>
      <c r="N639" s="174">
        <v>43586</v>
      </c>
      <c r="O639" s="38" t="s">
        <v>749</v>
      </c>
      <c r="P639" s="38" t="s">
        <v>17</v>
      </c>
      <c r="Q639" s="38" t="s">
        <v>17</v>
      </c>
      <c r="R639" s="151" t="s">
        <v>27</v>
      </c>
      <c r="S639" s="39" t="s">
        <v>11</v>
      </c>
      <c r="T639" s="39" t="s">
        <v>10</v>
      </c>
      <c r="U639" s="173">
        <v>2.5000000000000001E-2</v>
      </c>
      <c r="V639" s="153"/>
      <c r="W639" s="153"/>
      <c r="X639" s="153">
        <v>27</v>
      </c>
      <c r="Y639" s="153">
        <v>36</v>
      </c>
      <c r="Z639" s="153">
        <v>45</v>
      </c>
      <c r="AA639" s="40">
        <v>2.8999999999999998E-2</v>
      </c>
      <c r="AB639" s="40">
        <v>5.7999999999999996E-2</v>
      </c>
      <c r="AC639" s="40">
        <v>8.6999999999999994E-2</v>
      </c>
      <c r="AD639" s="40">
        <v>0.14499999999999999</v>
      </c>
      <c r="AE639" s="40">
        <v>0.21749999999999997</v>
      </c>
      <c r="AF639" s="40">
        <v>0.28999999999999998</v>
      </c>
      <c r="AG639" s="40">
        <v>95.003640000000004</v>
      </c>
      <c r="AH639" s="40">
        <v>96.245670000000004</v>
      </c>
      <c r="AI639" s="40">
        <v>97.147700000000015</v>
      </c>
      <c r="AJ639" s="40">
        <v>97.42907000000001</v>
      </c>
      <c r="AK639" s="40">
        <v>97.164060000000006</v>
      </c>
      <c r="AL639" s="40">
        <v>96.603870000000001</v>
      </c>
      <c r="AM639" s="40">
        <v>97.057403100000016</v>
      </c>
      <c r="AN639" s="40">
        <v>94.161959999999993</v>
      </c>
      <c r="AO639" s="40">
        <v>95.57517</v>
      </c>
      <c r="AP639" s="40">
        <v>96.780239999999992</v>
      </c>
      <c r="AQ639" s="40">
        <v>97.495289999999983</v>
      </c>
      <c r="AR639" s="40">
        <v>97.442819999999998</v>
      </c>
      <c r="AS639" s="40">
        <v>97.156899999999993</v>
      </c>
      <c r="AT639" s="40">
        <v>97.135416199999995</v>
      </c>
      <c r="AU639" s="40">
        <v>93.321410000000014</v>
      </c>
      <c r="AV639" s="40">
        <v>94.805890000000005</v>
      </c>
      <c r="AW639" s="40">
        <v>96.394019999999983</v>
      </c>
      <c r="AX639" s="40">
        <v>97.27315999999999</v>
      </c>
      <c r="AY639" s="40">
        <v>97.309510000000003</v>
      </c>
      <c r="AZ639" s="40">
        <v>97.07574000000001</v>
      </c>
      <c r="BA639" s="40">
        <v>96.8956242</v>
      </c>
      <c r="BB639" s="178">
        <v>43586</v>
      </c>
      <c r="BC639" s="178"/>
    </row>
    <row r="640" spans="1:55" ht="45">
      <c r="A640" s="18" t="s">
        <v>1737</v>
      </c>
      <c r="B640" s="18" t="s">
        <v>1748</v>
      </c>
      <c r="C640" s="23" t="s">
        <v>10</v>
      </c>
      <c r="D640" s="23" t="s">
        <v>10</v>
      </c>
      <c r="E640" s="23" t="s">
        <v>10</v>
      </c>
      <c r="F640" s="23" t="s">
        <v>11</v>
      </c>
      <c r="G640" s="18" t="s">
        <v>1738</v>
      </c>
      <c r="H640" s="19">
        <v>7.8390000000000004</v>
      </c>
      <c r="I640" s="37">
        <v>208</v>
      </c>
      <c r="J640" s="19">
        <v>96.5</v>
      </c>
      <c r="K640" s="20" t="s">
        <v>1386</v>
      </c>
      <c r="L640" s="49" t="s">
        <v>1739</v>
      </c>
      <c r="M640" s="38" t="s">
        <v>1388</v>
      </c>
      <c r="N640" s="124">
        <v>43678</v>
      </c>
      <c r="O640" s="38" t="s">
        <v>1739</v>
      </c>
      <c r="P640" s="38" t="s">
        <v>17</v>
      </c>
      <c r="Q640" s="38" t="s">
        <v>17</v>
      </c>
      <c r="R640" s="151"/>
      <c r="S640" s="39" t="s">
        <v>11</v>
      </c>
      <c r="T640" s="39" t="s">
        <v>11</v>
      </c>
      <c r="U640" s="162">
        <v>13.4</v>
      </c>
      <c r="V640" s="153"/>
      <c r="W640" s="153"/>
      <c r="X640" s="153">
        <v>240</v>
      </c>
      <c r="Y640" s="153">
        <v>370</v>
      </c>
      <c r="Z640" s="153">
        <v>425</v>
      </c>
      <c r="AA640" s="40">
        <v>0.78392807600000003</v>
      </c>
      <c r="AB640" s="40">
        <v>1.5678561520000001</v>
      </c>
      <c r="AC640" s="40">
        <v>2.3517842279999996</v>
      </c>
      <c r="AD640" s="40">
        <v>3.9196403799999997</v>
      </c>
      <c r="AE640" s="40">
        <v>5.8794605699999991</v>
      </c>
      <c r="AF640" s="40">
        <v>7.8392807599999994</v>
      </c>
      <c r="AG640" s="40">
        <v>91.486264550039337</v>
      </c>
      <c r="AH640" s="40">
        <v>94.760248969262392</v>
      </c>
      <c r="AI640" s="40">
        <v>95.352663162123591</v>
      </c>
      <c r="AJ640" s="40">
        <v>97.296267712149941</v>
      </c>
      <c r="AK640" s="40">
        <v>97.185123619139432</v>
      </c>
      <c r="AL640" s="40">
        <v>96.859870192303077</v>
      </c>
      <c r="AM640" s="40">
        <v>96.623107857230082</v>
      </c>
      <c r="AN640" s="40">
        <v>91.699965357816623</v>
      </c>
      <c r="AO640" s="40">
        <v>94.963850615122325</v>
      </c>
      <c r="AP640" s="40">
        <v>95.495711668085661</v>
      </c>
      <c r="AQ640" s="40">
        <v>97.428829723597843</v>
      </c>
      <c r="AR640" s="40">
        <v>97.231635305996946</v>
      </c>
      <c r="AS640" s="40">
        <v>96.929680695919046</v>
      </c>
      <c r="AT640" s="40">
        <v>96.714981534168942</v>
      </c>
      <c r="AU640" s="40">
        <v>91.907256517136105</v>
      </c>
      <c r="AV640" s="40">
        <v>94.928995056460167</v>
      </c>
      <c r="AW640" s="40">
        <v>95.369819427808693</v>
      </c>
      <c r="AX640" s="40">
        <v>97.318654328391062</v>
      </c>
      <c r="AY640" s="40">
        <v>96.925617369279323</v>
      </c>
      <c r="AZ640" s="40">
        <v>97.063119550059341</v>
      </c>
      <c r="BA640" s="40">
        <v>96.527768937028625</v>
      </c>
      <c r="BB640" s="180">
        <v>43678</v>
      </c>
      <c r="BC640" s="180"/>
    </row>
    <row r="641" spans="1:55" ht="45">
      <c r="A641" s="18" t="s">
        <v>1737</v>
      </c>
      <c r="B641" s="18" t="s">
        <v>1749</v>
      </c>
      <c r="C641" s="23" t="s">
        <v>10</v>
      </c>
      <c r="D641" s="23" t="s">
        <v>10</v>
      </c>
      <c r="E641" s="23" t="s">
        <v>10</v>
      </c>
      <c r="F641" s="23" t="s">
        <v>11</v>
      </c>
      <c r="G641" s="18" t="s">
        <v>1740</v>
      </c>
      <c r="H641" s="19">
        <v>7.976</v>
      </c>
      <c r="I641" s="37">
        <v>240</v>
      </c>
      <c r="J641" s="19">
        <v>96.5</v>
      </c>
      <c r="K641" s="20" t="s">
        <v>1386</v>
      </c>
      <c r="L641" s="49" t="s">
        <v>1739</v>
      </c>
      <c r="M641" s="38" t="s">
        <v>1388</v>
      </c>
      <c r="N641" s="124">
        <v>43678</v>
      </c>
      <c r="O641" s="38" t="s">
        <v>1739</v>
      </c>
      <c r="P641" s="38" t="s">
        <v>17</v>
      </c>
      <c r="Q641" s="38" t="s">
        <v>17</v>
      </c>
      <c r="R641" s="151"/>
      <c r="S641" s="39" t="s">
        <v>11</v>
      </c>
      <c r="T641" s="39" t="s">
        <v>11</v>
      </c>
      <c r="U641" s="162">
        <v>13.4</v>
      </c>
      <c r="V641" s="153"/>
      <c r="W641" s="153"/>
      <c r="X641" s="153">
        <v>240</v>
      </c>
      <c r="Y641" s="153">
        <v>370</v>
      </c>
      <c r="Z641" s="153">
        <v>425</v>
      </c>
      <c r="AA641" s="40">
        <v>0.79761655200000003</v>
      </c>
      <c r="AB641" s="40">
        <v>1.5952331040000001</v>
      </c>
      <c r="AC641" s="40">
        <v>2.3928496559999997</v>
      </c>
      <c r="AD641" s="40">
        <v>3.9880827599999997</v>
      </c>
      <c r="AE641" s="40">
        <v>5.9821241399999998</v>
      </c>
      <c r="AF641" s="40">
        <v>7.9761655199999995</v>
      </c>
      <c r="AG641" s="40">
        <v>91.819615795312856</v>
      </c>
      <c r="AH641" s="40">
        <v>94.910997776364283</v>
      </c>
      <c r="AI641" s="40">
        <v>95.520513772204296</v>
      </c>
      <c r="AJ641" s="40">
        <v>97.079550873826477</v>
      </c>
      <c r="AK641" s="40">
        <v>96.988012087484861</v>
      </c>
      <c r="AL641" s="40">
        <v>97.130498991107089</v>
      </c>
      <c r="AM641" s="40">
        <v>96.527673212721126</v>
      </c>
      <c r="AN641" s="40">
        <v>91.670908997205146</v>
      </c>
      <c r="AO641" s="40">
        <v>95.000841359179049</v>
      </c>
      <c r="AP641" s="40">
        <v>95.707732171504404</v>
      </c>
      <c r="AQ641" s="40">
        <v>97.546548492774008</v>
      </c>
      <c r="AR641" s="40">
        <v>97.445862228404309</v>
      </c>
      <c r="AS641" s="40">
        <v>97.08346102095264</v>
      </c>
      <c r="AT641" s="40">
        <v>96.887061504012152</v>
      </c>
      <c r="AU641" s="40">
        <v>91.551333333333318</v>
      </c>
      <c r="AV641" s="40">
        <v>95.071706716631525</v>
      </c>
      <c r="AW641" s="40">
        <v>95.858438563503356</v>
      </c>
      <c r="AX641" s="40">
        <v>97.600636400067273</v>
      </c>
      <c r="AY641" s="40">
        <v>97.273962762904389</v>
      </c>
      <c r="AZ641" s="40">
        <v>97.086789328574284</v>
      </c>
      <c r="BA641" s="40">
        <v>96.824324671567467</v>
      </c>
      <c r="BB641" s="180">
        <v>43678</v>
      </c>
      <c r="BC641" s="180"/>
    </row>
    <row r="642" spans="1:55" ht="45">
      <c r="A642" s="168" t="s">
        <v>1620</v>
      </c>
      <c r="B642" s="168" t="s">
        <v>1674</v>
      </c>
      <c r="C642" s="158" t="s">
        <v>10</v>
      </c>
      <c r="D642" s="158" t="s">
        <v>10</v>
      </c>
      <c r="E642" s="158" t="s">
        <v>10</v>
      </c>
      <c r="F642" s="158" t="s">
        <v>11</v>
      </c>
      <c r="G642" s="168" t="s">
        <v>1636</v>
      </c>
      <c r="H642" s="169">
        <v>7.8319999999999999</v>
      </c>
      <c r="I642" s="159">
        <v>240</v>
      </c>
      <c r="J642" s="164">
        <v>95.5</v>
      </c>
      <c r="K642" s="160" t="s">
        <v>1216</v>
      </c>
      <c r="L642" s="124" t="s">
        <v>1621</v>
      </c>
      <c r="M642" s="38" t="s">
        <v>1622</v>
      </c>
      <c r="N642" s="174">
        <v>43617</v>
      </c>
      <c r="O642" s="124" t="s">
        <v>1621</v>
      </c>
      <c r="P642" s="38" t="s">
        <v>17</v>
      </c>
      <c r="Q642" s="38" t="s">
        <v>17</v>
      </c>
      <c r="R642" s="170"/>
      <c r="S642" s="161" t="s">
        <v>11</v>
      </c>
      <c r="T642" s="161" t="s">
        <v>11</v>
      </c>
      <c r="U642" s="162">
        <v>49.5</v>
      </c>
      <c r="V642" s="163"/>
      <c r="W642" s="163"/>
      <c r="X642" s="163">
        <v>320</v>
      </c>
      <c r="Y642" s="163">
        <v>375</v>
      </c>
      <c r="Z642" s="163">
        <v>430</v>
      </c>
      <c r="AA642" s="162">
        <v>0.78320560000000006</v>
      </c>
      <c r="AB642" s="162">
        <v>1.5664112000000001</v>
      </c>
      <c r="AC642" s="162">
        <v>2.3496167999999997</v>
      </c>
      <c r="AD642" s="162">
        <v>3.9160279999999998</v>
      </c>
      <c r="AE642" s="162">
        <v>5.8740419999999993</v>
      </c>
      <c r="AF642" s="162">
        <v>7.8320559999999997</v>
      </c>
      <c r="AG642" s="164">
        <v>91.431173544170591</v>
      </c>
      <c r="AH642" s="164">
        <v>94.962219303103637</v>
      </c>
      <c r="AI642" s="164">
        <v>95.624199158360184</v>
      </c>
      <c r="AJ642" s="164">
        <v>95.75096782329237</v>
      </c>
      <c r="AK642" s="164">
        <v>95.440095960384738</v>
      </c>
      <c r="AL642" s="164">
        <v>94.975882487212104</v>
      </c>
      <c r="AM642" s="164">
        <v>95.320010032181145</v>
      </c>
      <c r="AN642" s="164">
        <v>92.295163238555702</v>
      </c>
      <c r="AO642" s="164">
        <v>94.869357976832788</v>
      </c>
      <c r="AP642" s="164">
        <v>95.609461165370504</v>
      </c>
      <c r="AQ642" s="164">
        <v>95.935786658817605</v>
      </c>
      <c r="AR642" s="164">
        <v>95.741421969872519</v>
      </c>
      <c r="AS642" s="164">
        <v>95.332046361434294</v>
      </c>
      <c r="AT642" s="164">
        <v>95.564480928684176</v>
      </c>
      <c r="AU642" s="164">
        <v>92.761799110093776</v>
      </c>
      <c r="AV642" s="164">
        <v>95.061640260152643</v>
      </c>
      <c r="AW642" s="164">
        <v>95.714885238474494</v>
      </c>
      <c r="AX642" s="164">
        <v>95.902818050237826</v>
      </c>
      <c r="AY642" s="164">
        <v>95.763217781087064</v>
      </c>
      <c r="AZ642" s="164">
        <v>95.436868928337617</v>
      </c>
      <c r="BA642" s="164">
        <v>95.61528086697129</v>
      </c>
      <c r="BB642" s="178">
        <v>43619</v>
      </c>
      <c r="BC642" s="178"/>
    </row>
    <row r="643" spans="1:55" ht="45">
      <c r="A643" s="168" t="s">
        <v>1620</v>
      </c>
      <c r="B643" s="168" t="s">
        <v>1676</v>
      </c>
      <c r="C643" s="158" t="s">
        <v>10</v>
      </c>
      <c r="D643" s="158" t="s">
        <v>10</v>
      </c>
      <c r="E643" s="158" t="s">
        <v>10</v>
      </c>
      <c r="F643" s="158" t="s">
        <v>11</v>
      </c>
      <c r="G643" s="168" t="s">
        <v>1635</v>
      </c>
      <c r="H643" s="169">
        <v>8.6129999999999995</v>
      </c>
      <c r="I643" s="159">
        <v>240</v>
      </c>
      <c r="J643" s="164">
        <v>95.5</v>
      </c>
      <c r="K643" s="160" t="s">
        <v>1216</v>
      </c>
      <c r="L643" s="124" t="s">
        <v>1621</v>
      </c>
      <c r="M643" s="38" t="s">
        <v>1622</v>
      </c>
      <c r="N643" s="174">
        <v>43617</v>
      </c>
      <c r="O643" s="124" t="s">
        <v>1621</v>
      </c>
      <c r="P643" s="38" t="s">
        <v>17</v>
      </c>
      <c r="Q643" s="38" t="s">
        <v>17</v>
      </c>
      <c r="R643" s="170"/>
      <c r="S643" s="161" t="s">
        <v>11</v>
      </c>
      <c r="T643" s="161" t="s">
        <v>11</v>
      </c>
      <c r="U643" s="162">
        <v>42</v>
      </c>
      <c r="V643" s="163"/>
      <c r="W643" s="163"/>
      <c r="X643" s="163">
        <v>363</v>
      </c>
      <c r="Y643" s="163">
        <v>396.5</v>
      </c>
      <c r="Z643" s="163">
        <v>430</v>
      </c>
      <c r="AA643" s="162">
        <v>0.86129999999999995</v>
      </c>
      <c r="AB643" s="162">
        <v>1.7225999999999999</v>
      </c>
      <c r="AC643" s="162">
        <v>2.5838999999999999</v>
      </c>
      <c r="AD643" s="162">
        <v>4.3064999999999998</v>
      </c>
      <c r="AE643" s="162">
        <v>6.4597499999999997</v>
      </c>
      <c r="AF643" s="162">
        <v>8.6129999999999995</v>
      </c>
      <c r="AG643" s="164">
        <v>93.013508600881977</v>
      </c>
      <c r="AH643" s="164">
        <v>95.280549182880833</v>
      </c>
      <c r="AI643" s="164">
        <v>95.808820184682801</v>
      </c>
      <c r="AJ643" s="164">
        <v>95.929597652810443</v>
      </c>
      <c r="AK643" s="164">
        <v>95.631206739051237</v>
      </c>
      <c r="AL643" s="164">
        <v>95.189392810224234</v>
      </c>
      <c r="AM643" s="164">
        <v>95.57085094463983</v>
      </c>
      <c r="AN643" s="164">
        <v>92.858426013211542</v>
      </c>
      <c r="AO643" s="164">
        <v>95.24742892388474</v>
      </c>
      <c r="AP643" s="164">
        <v>95.806799660978314</v>
      </c>
      <c r="AQ643" s="164">
        <v>95.998886513281505</v>
      </c>
      <c r="AR643" s="164">
        <v>95.747373582335698</v>
      </c>
      <c r="AS643" s="164">
        <v>95.322727925739699</v>
      </c>
      <c r="AT643" s="164">
        <v>95.645535008754109</v>
      </c>
      <c r="AU643" s="164">
        <v>92.575709670533442</v>
      </c>
      <c r="AV643" s="164">
        <v>95.119762364187309</v>
      </c>
      <c r="AW643" s="164">
        <v>95.72335138420506</v>
      </c>
      <c r="AX643" s="164">
        <v>95.988280372552211</v>
      </c>
      <c r="AY643" s="164">
        <v>95.834603768861626</v>
      </c>
      <c r="AZ643" s="164">
        <v>95.452411361897447</v>
      </c>
      <c r="BA643" s="164">
        <v>95.668318114962801</v>
      </c>
      <c r="BB643" s="178">
        <v>43619</v>
      </c>
      <c r="BC643" s="178"/>
    </row>
    <row r="644" spans="1:55" ht="60">
      <c r="A644" s="168" t="s">
        <v>1620</v>
      </c>
      <c r="B644" s="168" t="s">
        <v>1673</v>
      </c>
      <c r="C644" s="158" t="s">
        <v>10</v>
      </c>
      <c r="D644" s="158" t="s">
        <v>10</v>
      </c>
      <c r="E644" s="158" t="s">
        <v>10</v>
      </c>
      <c r="F644" s="158" t="s">
        <v>11</v>
      </c>
      <c r="G644" s="168" t="s">
        <v>1634</v>
      </c>
      <c r="H644" s="169">
        <v>7.6420000000000003</v>
      </c>
      <c r="I644" s="159">
        <v>240</v>
      </c>
      <c r="J644" s="164">
        <v>95.5</v>
      </c>
      <c r="K644" s="160" t="s">
        <v>1216</v>
      </c>
      <c r="L644" s="124" t="s">
        <v>1621</v>
      </c>
      <c r="M644" s="38" t="s">
        <v>1622</v>
      </c>
      <c r="N644" s="174">
        <v>43617</v>
      </c>
      <c r="O644" s="124" t="s">
        <v>1621</v>
      </c>
      <c r="P644" s="38" t="s">
        <v>17</v>
      </c>
      <c r="Q644" s="38" t="s">
        <v>17</v>
      </c>
      <c r="R644" s="170"/>
      <c r="S644" s="161" t="s">
        <v>11</v>
      </c>
      <c r="T644" s="161" t="s">
        <v>11</v>
      </c>
      <c r="U644" s="162">
        <v>44</v>
      </c>
      <c r="V644" s="163"/>
      <c r="W644" s="163"/>
      <c r="X644" s="163">
        <v>304</v>
      </c>
      <c r="Y644" s="163">
        <v>402</v>
      </c>
      <c r="Z644" s="163">
        <v>500</v>
      </c>
      <c r="AA644" s="162">
        <v>0.76415320000000009</v>
      </c>
      <c r="AB644" s="162">
        <v>1.5283064000000002</v>
      </c>
      <c r="AC644" s="162">
        <v>2.2924595999999999</v>
      </c>
      <c r="AD644" s="162">
        <v>3.8207660000000003</v>
      </c>
      <c r="AE644" s="162">
        <v>5.7311490000000003</v>
      </c>
      <c r="AF644" s="162">
        <v>7.6415320000000007</v>
      </c>
      <c r="AG644" s="164">
        <v>91.707418177902383</v>
      </c>
      <c r="AH644" s="164">
        <v>94.572943893510569</v>
      </c>
      <c r="AI644" s="164">
        <v>95.343208396678733</v>
      </c>
      <c r="AJ644" s="164">
        <v>95.732834528334209</v>
      </c>
      <c r="AK644" s="164">
        <v>95.650063634275952</v>
      </c>
      <c r="AL644" s="164">
        <v>95.385614239539109</v>
      </c>
      <c r="AM644" s="164">
        <v>95.40583861848647</v>
      </c>
      <c r="AN644" s="164">
        <v>90.557349146015056</v>
      </c>
      <c r="AO644" s="164">
        <v>94.483695582739486</v>
      </c>
      <c r="AP644" s="164">
        <v>95.237254457268747</v>
      </c>
      <c r="AQ644" s="164">
        <v>95.752187855671906</v>
      </c>
      <c r="AR644" s="164">
        <v>95.755162516040727</v>
      </c>
      <c r="AS644" s="164">
        <v>95.573013398331213</v>
      </c>
      <c r="AT644" s="164">
        <v>95.411795532959076</v>
      </c>
      <c r="AU644" s="164">
        <v>93.454639453611506</v>
      </c>
      <c r="AV644" s="164">
        <v>95.564299299611108</v>
      </c>
      <c r="AW644" s="164">
        <v>96.165924657149233</v>
      </c>
      <c r="AX644" s="164">
        <v>96.488739138122966</v>
      </c>
      <c r="AY644" s="164">
        <v>96.365110394539414</v>
      </c>
      <c r="AZ644" s="164">
        <v>96.144925249431296</v>
      </c>
      <c r="BA644" s="164">
        <v>96.199701492566206</v>
      </c>
      <c r="BB644" s="178">
        <v>43619</v>
      </c>
      <c r="BC644" s="178"/>
    </row>
    <row r="645" spans="1:55" ht="60">
      <c r="A645" s="168" t="s">
        <v>1620</v>
      </c>
      <c r="B645" s="168" t="s">
        <v>1675</v>
      </c>
      <c r="C645" s="158" t="s">
        <v>10</v>
      </c>
      <c r="D645" s="158" t="s">
        <v>10</v>
      </c>
      <c r="E645" s="158" t="s">
        <v>10</v>
      </c>
      <c r="F645" s="158" t="s">
        <v>11</v>
      </c>
      <c r="G645" s="168" t="s">
        <v>1633</v>
      </c>
      <c r="H645" s="169">
        <v>8.6039999999999992</v>
      </c>
      <c r="I645" s="159">
        <v>240</v>
      </c>
      <c r="J645" s="164">
        <v>96</v>
      </c>
      <c r="K645" s="160" t="s">
        <v>1216</v>
      </c>
      <c r="L645" s="124" t="s">
        <v>1621</v>
      </c>
      <c r="M645" s="38" t="s">
        <v>1622</v>
      </c>
      <c r="N645" s="174">
        <v>43617</v>
      </c>
      <c r="O645" s="124" t="s">
        <v>1621</v>
      </c>
      <c r="P645" s="38" t="s">
        <v>17</v>
      </c>
      <c r="Q645" s="38" t="s">
        <v>17</v>
      </c>
      <c r="R645" s="170"/>
      <c r="S645" s="161" t="s">
        <v>11</v>
      </c>
      <c r="T645" s="161" t="s">
        <v>11</v>
      </c>
      <c r="U645" s="162">
        <v>40</v>
      </c>
      <c r="V645" s="163"/>
      <c r="W645" s="163"/>
      <c r="X645" s="163">
        <v>258</v>
      </c>
      <c r="Y645" s="163">
        <v>379</v>
      </c>
      <c r="Z645" s="163">
        <v>500</v>
      </c>
      <c r="AA645" s="162">
        <v>0.8604440000000001</v>
      </c>
      <c r="AB645" s="162">
        <v>1.7208880000000002</v>
      </c>
      <c r="AC645" s="162">
        <v>2.5813320000000002</v>
      </c>
      <c r="AD645" s="162">
        <v>4.3022200000000002</v>
      </c>
      <c r="AE645" s="162">
        <v>6.4533300000000002</v>
      </c>
      <c r="AF645" s="162">
        <v>8.6044400000000003</v>
      </c>
      <c r="AG645" s="164">
        <v>92.699334355597514</v>
      </c>
      <c r="AH645" s="164">
        <v>94.539928618718363</v>
      </c>
      <c r="AI645" s="164">
        <v>95.297824749048559</v>
      </c>
      <c r="AJ645" s="164">
        <v>95.613611296666747</v>
      </c>
      <c r="AK645" s="164">
        <v>95.424147601271741</v>
      </c>
      <c r="AL645" s="164">
        <v>94.940413722572345</v>
      </c>
      <c r="AM645" s="164">
        <v>95.271386062148309</v>
      </c>
      <c r="AN645" s="164">
        <v>92.844051102514101</v>
      </c>
      <c r="AO645" s="164">
        <v>95.289415785898782</v>
      </c>
      <c r="AP645" s="164">
        <v>95.970144903059008</v>
      </c>
      <c r="AQ645" s="164">
        <v>96.182450712551415</v>
      </c>
      <c r="AR645" s="164">
        <v>95.871598553910871</v>
      </c>
      <c r="AS645" s="164">
        <v>95.529337174346537</v>
      </c>
      <c r="AT645" s="164">
        <v>95.781378963688468</v>
      </c>
      <c r="AU645" s="164">
        <v>93.694083911121623</v>
      </c>
      <c r="AV645" s="164">
        <v>95.776806518196878</v>
      </c>
      <c r="AW645" s="164">
        <v>96.274499321609412</v>
      </c>
      <c r="AX645" s="164">
        <v>96.519408732377741</v>
      </c>
      <c r="AY645" s="164">
        <v>96.296844266964186</v>
      </c>
      <c r="AZ645" s="164">
        <v>95.892164355116009</v>
      </c>
      <c r="BA645" s="164">
        <v>96.19055511399398</v>
      </c>
      <c r="BB645" s="178">
        <v>43619</v>
      </c>
      <c r="BC645" s="178"/>
    </row>
    <row r="646" spans="1:55" ht="45">
      <c r="A646" s="18" t="s">
        <v>7</v>
      </c>
      <c r="B646" s="18" t="s">
        <v>1100</v>
      </c>
      <c r="C646" s="23" t="s">
        <v>10</v>
      </c>
      <c r="D646" s="23" t="s">
        <v>10</v>
      </c>
      <c r="E646" s="23" t="s">
        <v>10</v>
      </c>
      <c r="F646" s="23" t="s">
        <v>11</v>
      </c>
      <c r="G646" s="18" t="s">
        <v>675</v>
      </c>
      <c r="H646" s="19">
        <v>1.165</v>
      </c>
      <c r="I646" s="37">
        <v>240</v>
      </c>
      <c r="J646" s="19">
        <v>96.5</v>
      </c>
      <c r="K646" s="21" t="s">
        <v>1217</v>
      </c>
      <c r="L646" s="49" t="s">
        <v>676</v>
      </c>
      <c r="M646" s="38" t="s">
        <v>677</v>
      </c>
      <c r="N646" s="174">
        <v>43388</v>
      </c>
      <c r="O646" s="49" t="s">
        <v>676</v>
      </c>
      <c r="P646" s="23" t="s">
        <v>17</v>
      </c>
      <c r="Q646" s="23" t="s">
        <v>17</v>
      </c>
      <c r="R646" s="151"/>
      <c r="S646" s="39" t="s">
        <v>11</v>
      </c>
      <c r="T646" s="39" t="s">
        <v>10</v>
      </c>
      <c r="U646" s="153">
        <v>0.04</v>
      </c>
      <c r="V646" s="153"/>
      <c r="W646" s="153"/>
      <c r="X646" s="153">
        <v>28</v>
      </c>
      <c r="Y646" s="153">
        <v>29</v>
      </c>
      <c r="Z646" s="153">
        <v>31</v>
      </c>
      <c r="AA646" s="40">
        <v>0.12</v>
      </c>
      <c r="AB646" s="40">
        <v>0.24</v>
      </c>
      <c r="AC646" s="40">
        <v>0.36</v>
      </c>
      <c r="AD646" s="40">
        <v>0.6</v>
      </c>
      <c r="AE646" s="40">
        <v>0.89999999999999991</v>
      </c>
      <c r="AF646" s="40">
        <v>1.2</v>
      </c>
      <c r="AG646" s="40">
        <v>91.269300000000015</v>
      </c>
      <c r="AH646" s="40">
        <v>95.441199999999995</v>
      </c>
      <c r="AI646" s="40">
        <v>96.573599999999999</v>
      </c>
      <c r="AJ646" s="40">
        <v>97.136399999999995</v>
      </c>
      <c r="AK646" s="40">
        <v>97.054799999999986</v>
      </c>
      <c r="AL646" s="40">
        <v>96.799900000000008</v>
      </c>
      <c r="AM646" s="40">
        <v>96.689346999999998</v>
      </c>
      <c r="AN646" s="40">
        <v>90.98299999999999</v>
      </c>
      <c r="AO646" s="40">
        <v>95.51400000000001</v>
      </c>
      <c r="AP646" s="40">
        <v>96.582300000000004</v>
      </c>
      <c r="AQ646" s="40">
        <v>97.041900000000012</v>
      </c>
      <c r="AR646" s="40">
        <v>96.980500000000006</v>
      </c>
      <c r="AS646" s="40">
        <v>96.757300000000001</v>
      </c>
      <c r="AT646" s="40">
        <v>96.62122500000001</v>
      </c>
      <c r="AU646" s="40">
        <v>89.75</v>
      </c>
      <c r="AV646" s="40">
        <v>95.235099999999989</v>
      </c>
      <c r="AW646" s="40">
        <v>96.421300000000016</v>
      </c>
      <c r="AX646" s="40">
        <v>97.011700000000019</v>
      </c>
      <c r="AY646" s="40">
        <v>96.993900000000011</v>
      </c>
      <c r="AZ646" s="40">
        <v>96.816299999999998</v>
      </c>
      <c r="BA646" s="40">
        <v>96.542350000000013</v>
      </c>
      <c r="BB646" s="174">
        <v>43313</v>
      </c>
      <c r="BC646" s="174">
        <v>43388</v>
      </c>
    </row>
    <row r="647" spans="1:55" ht="45">
      <c r="A647" s="18" t="s">
        <v>7</v>
      </c>
      <c r="B647" s="18" t="s">
        <v>1275</v>
      </c>
      <c r="C647" s="23" t="s">
        <v>10</v>
      </c>
      <c r="D647" s="23" t="s">
        <v>10</v>
      </c>
      <c r="E647" s="23" t="s">
        <v>10</v>
      </c>
      <c r="F647" s="23" t="s">
        <v>11</v>
      </c>
      <c r="G647" s="18" t="s">
        <v>1263</v>
      </c>
      <c r="H647" s="19">
        <v>1.2030000000000001</v>
      </c>
      <c r="I647" s="37">
        <v>240</v>
      </c>
      <c r="J647" s="19">
        <v>96.5</v>
      </c>
      <c r="K647" s="21" t="s">
        <v>1217</v>
      </c>
      <c r="L647" s="49" t="s">
        <v>1254</v>
      </c>
      <c r="M647" s="38" t="s">
        <v>677</v>
      </c>
      <c r="N647" s="174">
        <v>43497</v>
      </c>
      <c r="O647" s="38" t="s">
        <v>1254</v>
      </c>
      <c r="P647" s="38" t="s">
        <v>17</v>
      </c>
      <c r="Q647" s="38" t="s">
        <v>17</v>
      </c>
      <c r="R647" s="151"/>
      <c r="S647" s="39" t="s">
        <v>11</v>
      </c>
      <c r="T647" s="39" t="s">
        <v>10</v>
      </c>
      <c r="U647" s="171">
        <v>0.04</v>
      </c>
      <c r="V647" s="153"/>
      <c r="W647" s="153"/>
      <c r="X647" s="153">
        <v>36</v>
      </c>
      <c r="Y647" s="153">
        <v>37</v>
      </c>
      <c r="Z647" s="153">
        <v>38</v>
      </c>
      <c r="AA647" s="40">
        <v>0.12032000000000001</v>
      </c>
      <c r="AB647" s="40">
        <v>0.24064000000000002</v>
      </c>
      <c r="AC647" s="40">
        <v>0.36096</v>
      </c>
      <c r="AD647" s="40">
        <v>0.60160000000000002</v>
      </c>
      <c r="AE647" s="40">
        <v>0.90240000000000009</v>
      </c>
      <c r="AF647" s="40">
        <v>1.2032</v>
      </c>
      <c r="AG647" s="40">
        <v>88.21</v>
      </c>
      <c r="AH647" s="40">
        <v>94.580000000000013</v>
      </c>
      <c r="AI647" s="40">
        <v>96.049999999999983</v>
      </c>
      <c r="AJ647" s="40">
        <v>97.188000000000017</v>
      </c>
      <c r="AK647" s="40">
        <v>97.440000000000012</v>
      </c>
      <c r="AL647" s="40">
        <v>97.345000000000027</v>
      </c>
      <c r="AM647" s="40">
        <v>96.703330000000008</v>
      </c>
      <c r="AN647" s="40">
        <v>87.276299999999992</v>
      </c>
      <c r="AO647" s="40">
        <v>94.771999999999991</v>
      </c>
      <c r="AP647" s="40">
        <v>96.190000000000012</v>
      </c>
      <c r="AQ647" s="40">
        <v>97.210000000000008</v>
      </c>
      <c r="AR647" s="40">
        <v>97.36</v>
      </c>
      <c r="AS647" s="40">
        <v>97.235000000000014</v>
      </c>
      <c r="AT647" s="40">
        <v>96.649101999999999</v>
      </c>
      <c r="AU647" s="40">
        <v>87.138299999999987</v>
      </c>
      <c r="AV647" s="40">
        <v>95.036999999999992</v>
      </c>
      <c r="AW647" s="40">
        <v>96.348000000000013</v>
      </c>
      <c r="AX647" s="40">
        <v>97.160999999999973</v>
      </c>
      <c r="AY647" s="40">
        <v>97.327000000000012</v>
      </c>
      <c r="AZ647" s="40">
        <v>97.225000000000009</v>
      </c>
      <c r="BA647" s="40">
        <v>96.647512000000006</v>
      </c>
      <c r="BB647" s="178">
        <v>43497</v>
      </c>
      <c r="BC647" s="178"/>
    </row>
    <row r="648" spans="1:55" ht="90">
      <c r="A648" s="18" t="s">
        <v>304</v>
      </c>
      <c r="B648" s="18" t="s">
        <v>1277</v>
      </c>
      <c r="C648" s="23" t="s">
        <v>10</v>
      </c>
      <c r="D648" s="23" t="s">
        <v>10</v>
      </c>
      <c r="E648" s="23" t="s">
        <v>11</v>
      </c>
      <c r="F648" s="23" t="s">
        <v>11</v>
      </c>
      <c r="G648" s="18" t="s">
        <v>1264</v>
      </c>
      <c r="H648" s="19">
        <v>1001.306</v>
      </c>
      <c r="I648" s="37">
        <v>540</v>
      </c>
      <c r="J648" s="19">
        <v>96.5</v>
      </c>
      <c r="K648" s="21" t="s">
        <v>1216</v>
      </c>
      <c r="L648" s="49" t="s">
        <v>1265</v>
      </c>
      <c r="M648" s="38" t="s">
        <v>1266</v>
      </c>
      <c r="N648" s="174">
        <v>43497</v>
      </c>
      <c r="O648" s="38" t="s">
        <v>17</v>
      </c>
      <c r="P648" s="38" t="s">
        <v>17</v>
      </c>
      <c r="Q648" s="38" t="s">
        <v>17</v>
      </c>
      <c r="R648" s="151" t="s">
        <v>1267</v>
      </c>
      <c r="S648" s="39" t="s">
        <v>11</v>
      </c>
      <c r="T648" s="39" t="s">
        <v>11</v>
      </c>
      <c r="U648" s="171">
        <v>83.764600000000002</v>
      </c>
      <c r="V648" s="153"/>
      <c r="W648" s="153"/>
      <c r="X648" s="153">
        <v>810</v>
      </c>
      <c r="Y648" s="153">
        <v>1005</v>
      </c>
      <c r="Z648" s="153">
        <v>1200</v>
      </c>
      <c r="AA648" s="40">
        <v>100.13060000000002</v>
      </c>
      <c r="AB648" s="40">
        <v>200.26120000000003</v>
      </c>
      <c r="AC648" s="40">
        <v>300.39179999999999</v>
      </c>
      <c r="AD648" s="40">
        <v>500.65300000000002</v>
      </c>
      <c r="AE648" s="40">
        <v>750.97950000000003</v>
      </c>
      <c r="AF648" s="40">
        <v>1001.306</v>
      </c>
      <c r="AG648" s="40">
        <v>94.9956293648696</v>
      </c>
      <c r="AH648" s="40">
        <v>96.814367115577753</v>
      </c>
      <c r="AI648" s="40">
        <v>97.243680299436662</v>
      </c>
      <c r="AJ648" s="40">
        <v>97.315507163897323</v>
      </c>
      <c r="AK648" s="40">
        <v>97.02864130176718</v>
      </c>
      <c r="AL648" s="40">
        <v>96.663267169452439</v>
      </c>
      <c r="AM648" s="40">
        <v>97.004384919133727</v>
      </c>
      <c r="AN648" s="40">
        <v>94.281076304463951</v>
      </c>
      <c r="AO648" s="40">
        <v>96.34437633335655</v>
      </c>
      <c r="AP648" s="40">
        <v>96.904741277777674</v>
      </c>
      <c r="AQ648" s="40">
        <v>97.04790286747415</v>
      </c>
      <c r="AR648" s="40">
        <v>96.801692495979225</v>
      </c>
      <c r="AS648" s="40">
        <v>96.438994201912251</v>
      </c>
      <c r="AT648" s="40">
        <v>96.72393715731387</v>
      </c>
      <c r="AU648" s="40">
        <v>93.689401171763706</v>
      </c>
      <c r="AV648" s="40">
        <v>95.927478731094439</v>
      </c>
      <c r="AW648" s="40">
        <v>96.5802450520018</v>
      </c>
      <c r="AX648" s="40">
        <v>96.832373527564641</v>
      </c>
      <c r="AY648" s="40">
        <v>96.597834177749448</v>
      </c>
      <c r="AZ648" s="40">
        <v>96.188205595675555</v>
      </c>
      <c r="BA648" s="40">
        <v>96.474640224445039</v>
      </c>
      <c r="BB648" s="178">
        <v>43497</v>
      </c>
      <c r="BC648" s="178"/>
    </row>
    <row r="649" spans="1:55" ht="60">
      <c r="A649" s="18" t="s">
        <v>304</v>
      </c>
      <c r="B649" s="18" t="s">
        <v>1276</v>
      </c>
      <c r="C649" s="23" t="s">
        <v>10</v>
      </c>
      <c r="D649" s="23" t="s">
        <v>10</v>
      </c>
      <c r="E649" s="23" t="s">
        <v>10</v>
      </c>
      <c r="F649" s="23" t="s">
        <v>11</v>
      </c>
      <c r="G649" s="18" t="s">
        <v>1272</v>
      </c>
      <c r="H649" s="19">
        <v>250</v>
      </c>
      <c r="I649" s="37">
        <v>480</v>
      </c>
      <c r="J649" s="19">
        <v>96</v>
      </c>
      <c r="K649" s="21" t="s">
        <v>1216</v>
      </c>
      <c r="L649" s="49" t="s">
        <v>1789</v>
      </c>
      <c r="M649" s="38" t="s">
        <v>1790</v>
      </c>
      <c r="N649" s="174">
        <v>43497</v>
      </c>
      <c r="O649" s="38" t="s">
        <v>1791</v>
      </c>
      <c r="P649" s="38" t="s">
        <v>17</v>
      </c>
      <c r="Q649" s="38" t="s">
        <v>17</v>
      </c>
      <c r="R649" s="151"/>
      <c r="S649" s="39" t="s">
        <v>11</v>
      </c>
      <c r="T649" s="39" t="s">
        <v>11</v>
      </c>
      <c r="U649" s="171">
        <v>93.64</v>
      </c>
      <c r="V649" s="153"/>
      <c r="W649" s="153"/>
      <c r="X649" s="153">
        <v>500</v>
      </c>
      <c r="Y649" s="153">
        <v>675</v>
      </c>
      <c r="Z649" s="153">
        <v>850</v>
      </c>
      <c r="AA649" s="40">
        <v>25.329040000000003</v>
      </c>
      <c r="AB649" s="40">
        <v>50.658080000000005</v>
      </c>
      <c r="AC649" s="40">
        <v>75.987120000000004</v>
      </c>
      <c r="AD649" s="40">
        <v>126.6452</v>
      </c>
      <c r="AE649" s="40">
        <v>189.96780000000001</v>
      </c>
      <c r="AF649" s="40">
        <v>253.29040000000001</v>
      </c>
      <c r="AG649" s="40">
        <v>95.00187387100128</v>
      </c>
      <c r="AH649" s="40">
        <v>96.556118328410463</v>
      </c>
      <c r="AI649" s="40">
        <v>96.92214212788042</v>
      </c>
      <c r="AJ649" s="40">
        <v>96.741893611038066</v>
      </c>
      <c r="AK649" s="40">
        <v>96.300772781652114</v>
      </c>
      <c r="AL649" s="40">
        <v>95.805386905261415</v>
      </c>
      <c r="AM649" s="40">
        <v>96.404014504462907</v>
      </c>
      <c r="AN649" s="40">
        <v>94.020920157396432</v>
      </c>
      <c r="AO649" s="40">
        <v>96.306372978730423</v>
      </c>
      <c r="AP649" s="40">
        <v>96.51625739034175</v>
      </c>
      <c r="AQ649" s="40">
        <v>96.345368144348029</v>
      </c>
      <c r="AR649" s="40">
        <v>96.190161533672537</v>
      </c>
      <c r="AS649" s="40">
        <v>95.769098856476674</v>
      </c>
      <c r="AT649" s="40">
        <v>96.159874208056749</v>
      </c>
      <c r="AU649" s="40">
        <v>92.857142857142861</v>
      </c>
      <c r="AV649" s="40">
        <v>94.897475395503236</v>
      </c>
      <c r="AW649" s="40">
        <v>96.09990424669283</v>
      </c>
      <c r="AX649" s="40">
        <v>96.022243149960559</v>
      </c>
      <c r="AY649" s="40">
        <v>95.953360762054828</v>
      </c>
      <c r="AZ649" s="40">
        <v>95.574083993670925</v>
      </c>
      <c r="BA649" s="40">
        <v>95.789804458728341</v>
      </c>
      <c r="BB649" s="178">
        <v>43497</v>
      </c>
      <c r="BC649" s="178">
        <v>43739</v>
      </c>
    </row>
    <row r="650" spans="1:55" ht="45">
      <c r="A650" s="18" t="s">
        <v>304</v>
      </c>
      <c r="B650" s="18" t="s">
        <v>1750</v>
      </c>
      <c r="C650" s="23" t="s">
        <v>10</v>
      </c>
      <c r="D650" s="23" t="s">
        <v>10</v>
      </c>
      <c r="E650" s="23" t="s">
        <v>10</v>
      </c>
      <c r="F650" s="23" t="s">
        <v>11</v>
      </c>
      <c r="G650" s="18" t="s">
        <v>1733</v>
      </c>
      <c r="H650" s="19">
        <v>66</v>
      </c>
      <c r="I650" s="37">
        <v>480</v>
      </c>
      <c r="J650" s="19">
        <v>98</v>
      </c>
      <c r="K650" s="20" t="s">
        <v>1216</v>
      </c>
      <c r="L650" s="49" t="s">
        <v>1734</v>
      </c>
      <c r="M650" s="38" t="s">
        <v>1735</v>
      </c>
      <c r="N650" s="124">
        <v>43678</v>
      </c>
      <c r="O650" s="38" t="s">
        <v>1734</v>
      </c>
      <c r="P650" s="38" t="s">
        <v>17</v>
      </c>
      <c r="Q650" s="38" t="s">
        <v>17</v>
      </c>
      <c r="R650" s="151"/>
      <c r="S650" s="39" t="s">
        <v>11</v>
      </c>
      <c r="T650" s="39" t="s">
        <v>11</v>
      </c>
      <c r="U650" s="162">
        <v>0.26</v>
      </c>
      <c r="V650" s="153"/>
      <c r="W650" s="153"/>
      <c r="X650" s="153">
        <v>700</v>
      </c>
      <c r="Y650" s="153">
        <v>850</v>
      </c>
      <c r="Z650" s="153">
        <v>1300</v>
      </c>
      <c r="AA650" s="40">
        <v>6.6280720000000004</v>
      </c>
      <c r="AB650" s="40">
        <v>13.256144000000001</v>
      </c>
      <c r="AC650" s="40">
        <v>19.884215999999999</v>
      </c>
      <c r="AD650" s="40">
        <v>33.140360000000001</v>
      </c>
      <c r="AE650" s="40">
        <v>49.710540000000002</v>
      </c>
      <c r="AF650" s="40">
        <v>66.280720000000002</v>
      </c>
      <c r="AG650" s="40">
        <v>97.363848547225487</v>
      </c>
      <c r="AH650" s="40">
        <v>98.298882122318815</v>
      </c>
      <c r="AI650" s="40">
        <v>98.571240208591959</v>
      </c>
      <c r="AJ650" s="40">
        <v>98.528086504675755</v>
      </c>
      <c r="AK650" s="40">
        <v>98.328628608808017</v>
      </c>
      <c r="AL650" s="40">
        <v>98.169143704807567</v>
      </c>
      <c r="AM650" s="40">
        <v>98.351575386926541</v>
      </c>
      <c r="AN650" s="40">
        <v>96.721534430627571</v>
      </c>
      <c r="AO650" s="40">
        <v>97.824971274231629</v>
      </c>
      <c r="AP650" s="40">
        <v>98.134240941349461</v>
      </c>
      <c r="AQ650" s="40">
        <v>98.145794142211201</v>
      </c>
      <c r="AR650" s="40">
        <v>98.038299898475287</v>
      </c>
      <c r="AS650" s="40">
        <v>97.835902752491947</v>
      </c>
      <c r="AT650" s="40">
        <v>97.998929707579464</v>
      </c>
      <c r="AU650" s="40">
        <v>94.537855684545477</v>
      </c>
      <c r="AV650" s="40">
        <v>96.537923870828806</v>
      </c>
      <c r="AW650" s="40">
        <v>97.200870332317592</v>
      </c>
      <c r="AX650" s="40">
        <v>97.502078735504739</v>
      </c>
      <c r="AY650" s="40">
        <v>97.464807753349049</v>
      </c>
      <c r="AZ650" s="40">
        <v>97.304281675166564</v>
      </c>
      <c r="BA650" s="40">
        <v>97.269513588290692</v>
      </c>
      <c r="BB650" s="180">
        <v>43678</v>
      </c>
      <c r="BC650" s="180"/>
    </row>
    <row r="651" spans="1:55" ht="45">
      <c r="A651" s="18" t="s">
        <v>304</v>
      </c>
      <c r="B651" s="18" t="s">
        <v>1751</v>
      </c>
      <c r="C651" s="23" t="s">
        <v>10</v>
      </c>
      <c r="D651" s="23" t="s">
        <v>10</v>
      </c>
      <c r="E651" s="23" t="s">
        <v>10</v>
      </c>
      <c r="F651" s="23" t="s">
        <v>11</v>
      </c>
      <c r="G651" s="18" t="s">
        <v>1736</v>
      </c>
      <c r="H651" s="19">
        <v>82.5</v>
      </c>
      <c r="I651" s="37">
        <v>600</v>
      </c>
      <c r="J651" s="19">
        <v>98</v>
      </c>
      <c r="K651" s="20" t="s">
        <v>1216</v>
      </c>
      <c r="L651" s="49" t="s">
        <v>1734</v>
      </c>
      <c r="M651" s="38" t="s">
        <v>1735</v>
      </c>
      <c r="N651" s="124">
        <v>43678</v>
      </c>
      <c r="O651" s="38" t="s">
        <v>1734</v>
      </c>
      <c r="P651" s="38" t="s">
        <v>17</v>
      </c>
      <c r="Q651" s="38" t="s">
        <v>17</v>
      </c>
      <c r="R651" s="151"/>
      <c r="S651" s="39" t="s">
        <v>11</v>
      </c>
      <c r="T651" s="39" t="s">
        <v>11</v>
      </c>
      <c r="U651" s="162">
        <v>5.35</v>
      </c>
      <c r="V651" s="153"/>
      <c r="W651" s="153"/>
      <c r="X651" s="153">
        <v>870</v>
      </c>
      <c r="Y651" s="153">
        <v>1000</v>
      </c>
      <c r="Z651" s="153">
        <v>1300</v>
      </c>
      <c r="AA651" s="40">
        <v>8.2568440000000027</v>
      </c>
      <c r="AB651" s="40">
        <v>16.513688000000005</v>
      </c>
      <c r="AC651" s="40">
        <v>24.770532000000006</v>
      </c>
      <c r="AD651" s="40">
        <v>41.284220000000012</v>
      </c>
      <c r="AE651" s="40">
        <v>61.926330000000021</v>
      </c>
      <c r="AF651" s="40">
        <v>82.568440000000024</v>
      </c>
      <c r="AG651" s="40">
        <v>97.528931780448531</v>
      </c>
      <c r="AH651" s="40">
        <v>98.335585860853868</v>
      </c>
      <c r="AI651" s="40">
        <v>98.533250952566817</v>
      </c>
      <c r="AJ651" s="40">
        <v>98.593104194141901</v>
      </c>
      <c r="AK651" s="40">
        <v>98.428093147095026</v>
      </c>
      <c r="AL651" s="40">
        <v>98.268910658042543</v>
      </c>
      <c r="AM651" s="40">
        <v>98.426813460200947</v>
      </c>
      <c r="AN651" s="40">
        <v>96.874189377638785</v>
      </c>
      <c r="AO651" s="40">
        <v>97.980369395618098</v>
      </c>
      <c r="AP651" s="40">
        <v>98.207699296851942</v>
      </c>
      <c r="AQ651" s="40">
        <v>98.26668766633621</v>
      </c>
      <c r="AR651" s="40">
        <v>98.135135081080833</v>
      </c>
      <c r="AS651" s="40">
        <v>97.922821045186694</v>
      </c>
      <c r="AT651" s="40">
        <v>98.102677015671475</v>
      </c>
      <c r="AU651" s="40">
        <v>94.773183057743793</v>
      </c>
      <c r="AV651" s="40">
        <v>97.14997558995681</v>
      </c>
      <c r="AW651" s="40">
        <v>97.604866732722471</v>
      </c>
      <c r="AX651" s="40">
        <v>97.839247116464691</v>
      </c>
      <c r="AY651" s="40">
        <v>97.77586042125526</v>
      </c>
      <c r="AZ651" s="40">
        <v>97.57378687037567</v>
      </c>
      <c r="BA651" s="40">
        <v>97.607147370975952</v>
      </c>
      <c r="BB651" s="180">
        <v>43678</v>
      </c>
      <c r="BC651" s="180"/>
    </row>
    <row r="652" spans="1:55" ht="45">
      <c r="A652" s="168" t="s">
        <v>304</v>
      </c>
      <c r="B652" s="168" t="s">
        <v>1638</v>
      </c>
      <c r="C652" s="158" t="s">
        <v>10</v>
      </c>
      <c r="D652" s="158" t="s">
        <v>10</v>
      </c>
      <c r="E652" s="158" t="s">
        <v>10</v>
      </c>
      <c r="F652" s="158" t="s">
        <v>11</v>
      </c>
      <c r="G652" s="168" t="s">
        <v>1639</v>
      </c>
      <c r="H652" s="169">
        <v>125</v>
      </c>
      <c r="I652" s="159">
        <v>600</v>
      </c>
      <c r="J652" s="164">
        <v>98.5</v>
      </c>
      <c r="K652" s="160" t="s">
        <v>1216</v>
      </c>
      <c r="L652" s="38" t="s">
        <v>1644</v>
      </c>
      <c r="M652" s="38" t="s">
        <v>1640</v>
      </c>
      <c r="N652" s="124">
        <v>43388</v>
      </c>
      <c r="O652" s="38" t="s">
        <v>1625</v>
      </c>
      <c r="P652" s="38" t="s">
        <v>17</v>
      </c>
      <c r="Q652" s="160" t="s">
        <v>17</v>
      </c>
      <c r="R652" s="170"/>
      <c r="S652" s="161" t="s">
        <v>11</v>
      </c>
      <c r="T652" s="161" t="s">
        <v>11</v>
      </c>
      <c r="U652" s="162">
        <v>5.59</v>
      </c>
      <c r="V652" s="163"/>
      <c r="W652" s="163"/>
      <c r="X652" s="163">
        <v>860</v>
      </c>
      <c r="Y652" s="163">
        <v>945</v>
      </c>
      <c r="Z652" s="163">
        <v>1200</v>
      </c>
      <c r="AA652" s="162">
        <v>12.5</v>
      </c>
      <c r="AB652" s="162">
        <v>25</v>
      </c>
      <c r="AC652" s="162">
        <v>37.5</v>
      </c>
      <c r="AD652" s="162">
        <v>62.5</v>
      </c>
      <c r="AE652" s="162">
        <v>93.75</v>
      </c>
      <c r="AF652" s="162">
        <v>125</v>
      </c>
      <c r="AG652" s="164">
        <v>98.58616564175307</v>
      </c>
      <c r="AH652" s="164">
        <v>98.826538452883796</v>
      </c>
      <c r="AI652" s="164">
        <v>98.882920668787548</v>
      </c>
      <c r="AJ652" s="164">
        <v>98.682111571152404</v>
      </c>
      <c r="AK652" s="164">
        <v>98.446188385118617</v>
      </c>
      <c r="AL652" s="164">
        <v>98.255485255906706</v>
      </c>
      <c r="AM652" s="164">
        <v>98.563221565419028</v>
      </c>
      <c r="AN652" s="164">
        <v>98.289599609219081</v>
      </c>
      <c r="AO652" s="164">
        <v>98.583945292274365</v>
      </c>
      <c r="AP652" s="164">
        <v>98.588970137552224</v>
      </c>
      <c r="AQ652" s="164">
        <v>98.493674639210937</v>
      </c>
      <c r="AR652" s="164">
        <v>98.359556350960816</v>
      </c>
      <c r="AS652" s="164">
        <v>98.10571225553511</v>
      </c>
      <c r="AT652" s="164">
        <v>98.410979818509034</v>
      </c>
      <c r="AU652" s="164">
        <v>98.084763214122049</v>
      </c>
      <c r="AV652" s="164">
        <v>98.42607546143779</v>
      </c>
      <c r="AW652" s="164">
        <v>98.477766582060369</v>
      </c>
      <c r="AX652" s="164">
        <v>98.383879856604054</v>
      </c>
      <c r="AY652" s="164">
        <v>98.097144355565277</v>
      </c>
      <c r="AZ652" s="164">
        <v>97.626852759517618</v>
      </c>
      <c r="BA652" s="164">
        <v>98.195470207796347</v>
      </c>
      <c r="BB652" s="174">
        <v>43040</v>
      </c>
      <c r="BC652" s="174">
        <v>43619</v>
      </c>
    </row>
    <row r="653" spans="1:55" ht="60">
      <c r="A653" s="140" t="s">
        <v>304</v>
      </c>
      <c r="B653" s="140" t="s">
        <v>1101</v>
      </c>
      <c r="C653" s="26" t="s">
        <v>10</v>
      </c>
      <c r="D653" s="26" t="s">
        <v>10</v>
      </c>
      <c r="E653" s="23" t="s">
        <v>11</v>
      </c>
      <c r="F653" s="23" t="s">
        <v>11</v>
      </c>
      <c r="G653" s="140" t="s">
        <v>482</v>
      </c>
      <c r="H653" s="132">
        <v>2500</v>
      </c>
      <c r="I653" s="129">
        <v>550</v>
      </c>
      <c r="J653" s="137">
        <v>98</v>
      </c>
      <c r="K653" s="21" t="s">
        <v>1216</v>
      </c>
      <c r="L653" s="130" t="s">
        <v>483</v>
      </c>
      <c r="M653" s="26" t="s">
        <v>484</v>
      </c>
      <c r="N653" s="174">
        <v>43388</v>
      </c>
      <c r="O653" s="23" t="s">
        <v>17</v>
      </c>
      <c r="P653" s="23" t="s">
        <v>17</v>
      </c>
      <c r="Q653" s="23" t="s">
        <v>17</v>
      </c>
      <c r="R653" s="152" t="s">
        <v>281</v>
      </c>
      <c r="S653" s="131" t="s">
        <v>11</v>
      </c>
      <c r="T653" s="131" t="s">
        <v>11</v>
      </c>
      <c r="U653" s="132">
        <v>651.36</v>
      </c>
      <c r="V653" s="133"/>
      <c r="W653" s="133"/>
      <c r="X653" s="133">
        <v>800</v>
      </c>
      <c r="Y653" s="133">
        <v>900</v>
      </c>
      <c r="Z653" s="133">
        <v>1200</v>
      </c>
      <c r="AA653" s="134">
        <v>250</v>
      </c>
      <c r="AB653" s="134">
        <v>500</v>
      </c>
      <c r="AC653" s="134">
        <v>750</v>
      </c>
      <c r="AD653" s="134">
        <v>1250</v>
      </c>
      <c r="AE653" s="134">
        <v>1875</v>
      </c>
      <c r="AF653" s="134">
        <v>2500</v>
      </c>
      <c r="AG653" s="134">
        <v>98</v>
      </c>
      <c r="AH653" s="134">
        <v>98.6</v>
      </c>
      <c r="AI653" s="134">
        <v>98.8</v>
      </c>
      <c r="AJ653" s="134">
        <v>98.8</v>
      </c>
      <c r="AK653" s="134">
        <v>98.6</v>
      </c>
      <c r="AL653" s="134">
        <v>98.4</v>
      </c>
      <c r="AM653" s="134">
        <v>97.9</v>
      </c>
      <c r="AN653" s="134">
        <v>97.8</v>
      </c>
      <c r="AO653" s="134">
        <v>98.5</v>
      </c>
      <c r="AP653" s="134">
        <v>98.6</v>
      </c>
      <c r="AQ653" s="134">
        <v>98.6</v>
      </c>
      <c r="AR653" s="134">
        <v>98.5</v>
      </c>
      <c r="AS653" s="134">
        <v>98.3</v>
      </c>
      <c r="AT653" s="134">
        <v>97.7</v>
      </c>
      <c r="AU653" s="134">
        <v>97.4</v>
      </c>
      <c r="AV653" s="134">
        <v>98.2</v>
      </c>
      <c r="AW653" s="134">
        <v>98.4</v>
      </c>
      <c r="AX653" s="134">
        <v>98.5</v>
      </c>
      <c r="AY653" s="134">
        <v>98.3</v>
      </c>
      <c r="AZ653" s="134">
        <v>98.2</v>
      </c>
      <c r="BA653" s="134">
        <v>97.7</v>
      </c>
      <c r="BB653" s="174">
        <v>43132</v>
      </c>
      <c r="BC653" s="174">
        <v>43388</v>
      </c>
    </row>
    <row r="654" spans="1:55" ht="45">
      <c r="A654" s="168" t="s">
        <v>304</v>
      </c>
      <c r="B654" s="168" t="s">
        <v>1641</v>
      </c>
      <c r="C654" s="158" t="s">
        <v>10</v>
      </c>
      <c r="D654" s="158" t="s">
        <v>10</v>
      </c>
      <c r="E654" s="158" t="s">
        <v>10</v>
      </c>
      <c r="F654" s="158" t="s">
        <v>11</v>
      </c>
      <c r="G654" s="168" t="s">
        <v>1642</v>
      </c>
      <c r="H654" s="169">
        <v>60</v>
      </c>
      <c r="I654" s="159">
        <v>480</v>
      </c>
      <c r="J654" s="164">
        <v>98.5</v>
      </c>
      <c r="K654" s="160" t="s">
        <v>1216</v>
      </c>
      <c r="L654" s="38" t="s">
        <v>1644</v>
      </c>
      <c r="M654" s="38" t="s">
        <v>1643</v>
      </c>
      <c r="N654" s="124">
        <v>43388</v>
      </c>
      <c r="O654" s="38" t="s">
        <v>1625</v>
      </c>
      <c r="P654" s="38" t="s">
        <v>17</v>
      </c>
      <c r="Q654" s="160" t="s">
        <v>17</v>
      </c>
      <c r="R654" s="170"/>
      <c r="S654" s="161" t="s">
        <v>11</v>
      </c>
      <c r="T654" s="161" t="s">
        <v>11</v>
      </c>
      <c r="U654" s="162">
        <v>0.88</v>
      </c>
      <c r="V654" s="163"/>
      <c r="W654" s="163"/>
      <c r="X654" s="163">
        <v>550</v>
      </c>
      <c r="Y654" s="163">
        <v>700</v>
      </c>
      <c r="Z654" s="163">
        <v>850</v>
      </c>
      <c r="AA654" s="162">
        <v>6</v>
      </c>
      <c r="AB654" s="162">
        <v>12</v>
      </c>
      <c r="AC654" s="162">
        <v>18</v>
      </c>
      <c r="AD654" s="162">
        <v>30</v>
      </c>
      <c r="AE654" s="162">
        <v>45</v>
      </c>
      <c r="AF654" s="162">
        <v>60</v>
      </c>
      <c r="AG654" s="164">
        <v>97.8</v>
      </c>
      <c r="AH654" s="164">
        <v>98.2</v>
      </c>
      <c r="AI654" s="164">
        <v>98.2</v>
      </c>
      <c r="AJ654" s="164">
        <v>98.4</v>
      </c>
      <c r="AK654" s="164">
        <v>98.4</v>
      </c>
      <c r="AL654" s="164">
        <v>98</v>
      </c>
      <c r="AM654" s="164">
        <v>98.3</v>
      </c>
      <c r="AN654" s="164">
        <v>97.8</v>
      </c>
      <c r="AO654" s="164">
        <v>98.6</v>
      </c>
      <c r="AP654" s="164">
        <v>98.8</v>
      </c>
      <c r="AQ654" s="164">
        <v>98.9</v>
      </c>
      <c r="AR654" s="164">
        <v>98.7</v>
      </c>
      <c r="AS654" s="164">
        <v>98.5</v>
      </c>
      <c r="AT654" s="164">
        <v>98.7</v>
      </c>
      <c r="AU654" s="164">
        <v>97.5</v>
      </c>
      <c r="AV654" s="164">
        <v>98.6</v>
      </c>
      <c r="AW654" s="164">
        <v>98.5</v>
      </c>
      <c r="AX654" s="164">
        <v>98.8</v>
      </c>
      <c r="AY654" s="164">
        <v>98.5</v>
      </c>
      <c r="AZ654" s="164">
        <v>98.4</v>
      </c>
      <c r="BA654" s="164">
        <v>98.5</v>
      </c>
      <c r="BB654" s="165">
        <v>43054</v>
      </c>
      <c r="BC654" s="174">
        <v>43619</v>
      </c>
    </row>
    <row r="655" spans="1:55" ht="75">
      <c r="A655" s="18" t="s">
        <v>8</v>
      </c>
      <c r="B655" s="18" t="s">
        <v>1126</v>
      </c>
      <c r="C655" s="23" t="s">
        <v>10</v>
      </c>
      <c r="D655" s="23" t="s">
        <v>10</v>
      </c>
      <c r="E655" s="23" t="s">
        <v>10</v>
      </c>
      <c r="F655" s="23" t="s">
        <v>11</v>
      </c>
      <c r="G655" s="147" t="s">
        <v>194</v>
      </c>
      <c r="H655" s="19">
        <v>0.32</v>
      </c>
      <c r="I655" s="19">
        <v>208</v>
      </c>
      <c r="J655" s="19">
        <v>95.5</v>
      </c>
      <c r="K655" s="21" t="s">
        <v>1219</v>
      </c>
      <c r="L655" s="49" t="s">
        <v>1288</v>
      </c>
      <c r="M655" s="21" t="s">
        <v>1289</v>
      </c>
      <c r="N655" s="174">
        <v>43388</v>
      </c>
      <c r="O655" s="23" t="s">
        <v>1290</v>
      </c>
      <c r="P655" s="23" t="s">
        <v>17</v>
      </c>
      <c r="Q655" s="23" t="s">
        <v>17</v>
      </c>
      <c r="R655" s="150" t="s">
        <v>1128</v>
      </c>
      <c r="S655" s="20" t="s">
        <v>10</v>
      </c>
      <c r="T655" s="20" t="s">
        <v>10</v>
      </c>
      <c r="U655" s="19">
        <v>0.02</v>
      </c>
      <c r="V655" s="19"/>
      <c r="W655" s="19"/>
      <c r="X655" s="19">
        <v>53</v>
      </c>
      <c r="Y655" s="19">
        <v>60</v>
      </c>
      <c r="Z655" s="19">
        <v>64</v>
      </c>
      <c r="AA655" s="40">
        <v>0.03</v>
      </c>
      <c r="AB655" s="40">
        <v>0.06</v>
      </c>
      <c r="AC655" s="40">
        <v>0.1</v>
      </c>
      <c r="AD655" s="40">
        <v>0.16</v>
      </c>
      <c r="AE655" s="40">
        <v>0.24</v>
      </c>
      <c r="AF655" s="40">
        <v>0.32</v>
      </c>
      <c r="AG655" s="40">
        <v>90.8</v>
      </c>
      <c r="AH655" s="40">
        <v>94.5</v>
      </c>
      <c r="AI655" s="40">
        <v>95.5</v>
      </c>
      <c r="AJ655" s="40">
        <v>96.2</v>
      </c>
      <c r="AK655" s="40">
        <v>96.1</v>
      </c>
      <c r="AL655" s="40">
        <v>95.9</v>
      </c>
      <c r="AM655" s="40">
        <v>95.7</v>
      </c>
      <c r="AN655" s="40">
        <v>90.2</v>
      </c>
      <c r="AO655" s="40">
        <v>94.5</v>
      </c>
      <c r="AP655" s="40">
        <v>95.5</v>
      </c>
      <c r="AQ655" s="40">
        <v>96.2</v>
      </c>
      <c r="AR655" s="40">
        <v>96.1</v>
      </c>
      <c r="AS655" s="40">
        <v>95.9</v>
      </c>
      <c r="AT655" s="40">
        <v>95.7</v>
      </c>
      <c r="AU655" s="40">
        <v>89.4</v>
      </c>
      <c r="AV655" s="40">
        <v>94.1</v>
      </c>
      <c r="AW655" s="40">
        <v>95.3</v>
      </c>
      <c r="AX655" s="40">
        <v>96.2</v>
      </c>
      <c r="AY655" s="40">
        <v>96.2</v>
      </c>
      <c r="AZ655" s="40">
        <v>95.9</v>
      </c>
      <c r="BA655" s="40">
        <v>95.7</v>
      </c>
      <c r="BB655" s="174">
        <v>42917</v>
      </c>
      <c r="BC655" s="174">
        <v>43511</v>
      </c>
    </row>
    <row r="656" spans="1:55" ht="75">
      <c r="A656" s="18" t="s">
        <v>8</v>
      </c>
      <c r="B656" s="18" t="s">
        <v>1127</v>
      </c>
      <c r="C656" s="23" t="s">
        <v>10</v>
      </c>
      <c r="D656" s="23" t="s">
        <v>10</v>
      </c>
      <c r="E656" s="23" t="s">
        <v>10</v>
      </c>
      <c r="F656" s="23" t="s">
        <v>11</v>
      </c>
      <c r="G656" s="147" t="s">
        <v>195</v>
      </c>
      <c r="H656" s="19">
        <v>0.32</v>
      </c>
      <c r="I656" s="19">
        <v>240</v>
      </c>
      <c r="J656" s="19">
        <v>96</v>
      </c>
      <c r="K656" s="21" t="s">
        <v>1219</v>
      </c>
      <c r="L656" s="49" t="s">
        <v>1288</v>
      </c>
      <c r="M656" s="21" t="s">
        <v>1289</v>
      </c>
      <c r="N656" s="174">
        <v>43388</v>
      </c>
      <c r="O656" s="23" t="s">
        <v>1290</v>
      </c>
      <c r="P656" s="23" t="s">
        <v>17</v>
      </c>
      <c r="Q656" s="23" t="s">
        <v>17</v>
      </c>
      <c r="R656" s="150" t="s">
        <v>1129</v>
      </c>
      <c r="S656" s="20" t="s">
        <v>10</v>
      </c>
      <c r="T656" s="20" t="s">
        <v>10</v>
      </c>
      <c r="U656" s="19">
        <v>0.1</v>
      </c>
      <c r="V656" s="19"/>
      <c r="W656" s="19"/>
      <c r="X656" s="19">
        <v>53</v>
      </c>
      <c r="Y656" s="19">
        <v>60</v>
      </c>
      <c r="Z656" s="19">
        <v>64</v>
      </c>
      <c r="AA656" s="40">
        <v>0.03</v>
      </c>
      <c r="AB656" s="40">
        <v>0.06</v>
      </c>
      <c r="AC656" s="40">
        <v>0.1</v>
      </c>
      <c r="AD656" s="40">
        <v>0.16</v>
      </c>
      <c r="AE656" s="40">
        <v>0.24</v>
      </c>
      <c r="AF656" s="40">
        <v>0.32</v>
      </c>
      <c r="AG656" s="40">
        <v>89.7</v>
      </c>
      <c r="AH656" s="40">
        <v>94.1</v>
      </c>
      <c r="AI656" s="40">
        <v>95.3</v>
      </c>
      <c r="AJ656" s="40">
        <v>96.2</v>
      </c>
      <c r="AK656" s="40">
        <v>96.1</v>
      </c>
      <c r="AL656" s="40">
        <v>95.9</v>
      </c>
      <c r="AM656" s="40">
        <v>95.7</v>
      </c>
      <c r="AN656" s="40">
        <v>90</v>
      </c>
      <c r="AO656" s="40">
        <v>94.3</v>
      </c>
      <c r="AP656" s="40">
        <v>95.4</v>
      </c>
      <c r="AQ656" s="40">
        <v>96.3</v>
      </c>
      <c r="AR656" s="40">
        <v>96.3</v>
      </c>
      <c r="AS656" s="40">
        <v>96.2</v>
      </c>
      <c r="AT656" s="40">
        <v>95.8</v>
      </c>
      <c r="AU656" s="40">
        <v>89.6</v>
      </c>
      <c r="AV656" s="40">
        <v>94</v>
      </c>
      <c r="AW656" s="40">
        <v>95.2</v>
      </c>
      <c r="AX656" s="40">
        <v>96.3</v>
      </c>
      <c r="AY656" s="40">
        <v>96.4</v>
      </c>
      <c r="AZ656" s="40">
        <v>96.2</v>
      </c>
      <c r="BA656" s="40">
        <v>95.8</v>
      </c>
      <c r="BB656" s="174">
        <v>42917</v>
      </c>
      <c r="BC656" s="174">
        <v>43511</v>
      </c>
    </row>
    <row r="657" spans="1:55" ht="45">
      <c r="A657" s="18" t="s">
        <v>8</v>
      </c>
      <c r="B657" s="18" t="s">
        <v>1106</v>
      </c>
      <c r="C657" s="23" t="s">
        <v>10</v>
      </c>
      <c r="D657" s="23" t="s">
        <v>10</v>
      </c>
      <c r="E657" s="23" t="s">
        <v>10</v>
      </c>
      <c r="F657" s="23" t="s">
        <v>11</v>
      </c>
      <c r="G657" s="147" t="s">
        <v>198</v>
      </c>
      <c r="H657" s="19">
        <v>12</v>
      </c>
      <c r="I657" s="19">
        <v>480</v>
      </c>
      <c r="J657" s="19">
        <v>97.5</v>
      </c>
      <c r="K657" s="21" t="s">
        <v>1219</v>
      </c>
      <c r="L657" s="49" t="s">
        <v>462</v>
      </c>
      <c r="M657" s="21" t="s">
        <v>463</v>
      </c>
      <c r="N657" s="174">
        <v>43388</v>
      </c>
      <c r="O657" s="49" t="s">
        <v>462</v>
      </c>
      <c r="P657" s="23" t="s">
        <v>17</v>
      </c>
      <c r="Q657" s="23" t="s">
        <v>17</v>
      </c>
      <c r="R657" s="150" t="s">
        <v>203</v>
      </c>
      <c r="S657" s="21" t="s">
        <v>10</v>
      </c>
      <c r="T657" s="20" t="s">
        <v>11</v>
      </c>
      <c r="U657" s="19">
        <v>1.79</v>
      </c>
      <c r="V657" s="19"/>
      <c r="W657" s="19"/>
      <c r="X657" s="19">
        <v>300</v>
      </c>
      <c r="Y657" s="19">
        <v>675</v>
      </c>
      <c r="Z657" s="19">
        <v>800</v>
      </c>
      <c r="AA657" s="40">
        <v>1.2000000000000002</v>
      </c>
      <c r="AB657" s="40">
        <v>2.4000000000000004</v>
      </c>
      <c r="AC657" s="40">
        <v>3.5999999999999996</v>
      </c>
      <c r="AD657" s="40">
        <v>6</v>
      </c>
      <c r="AE657" s="40">
        <v>9</v>
      </c>
      <c r="AF657" s="40">
        <v>12</v>
      </c>
      <c r="AG657" s="40">
        <v>92.894674644817883</v>
      </c>
      <c r="AH657" s="40">
        <v>95.825371847114951</v>
      </c>
      <c r="AI657" s="40">
        <v>96.49457533743761</v>
      </c>
      <c r="AJ657" s="40">
        <v>96.690700406340042</v>
      </c>
      <c r="AK657" s="40">
        <v>96.627312947730815</v>
      </c>
      <c r="AL657" s="40">
        <v>96.507013910909436</v>
      </c>
      <c r="AM657" s="40">
        <v>96.429278261815185</v>
      </c>
      <c r="AN657" s="40">
        <v>94.885736215076193</v>
      </c>
      <c r="AO657" s="40">
        <v>96.883040483522223</v>
      </c>
      <c r="AP657" s="40">
        <v>97.494372087983805</v>
      </c>
      <c r="AQ657" s="40">
        <v>97.777000604401067</v>
      </c>
      <c r="AR657" s="40">
        <v>97.832115333209018</v>
      </c>
      <c r="AS657" s="40">
        <v>97.811357024005105</v>
      </c>
      <c r="AT657" s="40">
        <v>97.613665228062487</v>
      </c>
      <c r="AU657" s="40">
        <v>94.154840052277819</v>
      </c>
      <c r="AV657" s="40">
        <v>97.204030409030267</v>
      </c>
      <c r="AW657" s="40">
        <v>97.700750214004856</v>
      </c>
      <c r="AX657" s="40">
        <v>98.014008962786292</v>
      </c>
      <c r="AY657" s="40">
        <v>98.183788377033963</v>
      </c>
      <c r="AZ657" s="40">
        <v>98.189784411397596</v>
      </c>
      <c r="BA657" s="40">
        <v>97.880324090806212</v>
      </c>
      <c r="BB657" s="174">
        <v>42979</v>
      </c>
      <c r="BC657" s="174">
        <v>43388</v>
      </c>
    </row>
    <row r="658" spans="1:55" ht="45">
      <c r="A658" s="18" t="s">
        <v>8</v>
      </c>
      <c r="B658" s="18" t="s">
        <v>1107</v>
      </c>
      <c r="C658" s="23" t="s">
        <v>10</v>
      </c>
      <c r="D658" s="23" t="s">
        <v>10</v>
      </c>
      <c r="E658" s="23" t="s">
        <v>10</v>
      </c>
      <c r="F658" s="23" t="s">
        <v>11</v>
      </c>
      <c r="G658" s="147" t="s">
        <v>202</v>
      </c>
      <c r="H658" s="19">
        <v>12</v>
      </c>
      <c r="I658" s="19">
        <v>480</v>
      </c>
      <c r="J658" s="19">
        <v>97.5</v>
      </c>
      <c r="K658" s="21" t="s">
        <v>1219</v>
      </c>
      <c r="L658" s="49" t="s">
        <v>462</v>
      </c>
      <c r="M658" s="21" t="s">
        <v>463</v>
      </c>
      <c r="N658" s="174">
        <v>43388</v>
      </c>
      <c r="O658" s="49" t="s">
        <v>462</v>
      </c>
      <c r="P658" s="23" t="s">
        <v>17</v>
      </c>
      <c r="Q658" s="23" t="s">
        <v>17</v>
      </c>
      <c r="R658" s="150" t="s">
        <v>203</v>
      </c>
      <c r="S658" s="21" t="s">
        <v>10</v>
      </c>
      <c r="T658" s="20" t="s">
        <v>11</v>
      </c>
      <c r="U658" s="19">
        <v>1.79</v>
      </c>
      <c r="V658" s="19"/>
      <c r="W658" s="19"/>
      <c r="X658" s="19">
        <v>300</v>
      </c>
      <c r="Y658" s="19">
        <v>675</v>
      </c>
      <c r="Z658" s="19">
        <v>800</v>
      </c>
      <c r="AA658" s="40">
        <v>1.2000000000000002</v>
      </c>
      <c r="AB658" s="40">
        <v>2.4000000000000004</v>
      </c>
      <c r="AC658" s="40">
        <v>3.5999999999999996</v>
      </c>
      <c r="AD658" s="40">
        <v>6</v>
      </c>
      <c r="AE658" s="40">
        <v>9</v>
      </c>
      <c r="AF658" s="40">
        <v>12</v>
      </c>
      <c r="AG658" s="40">
        <v>92.894674644817883</v>
      </c>
      <c r="AH658" s="40">
        <v>95.825371847114951</v>
      </c>
      <c r="AI658" s="40">
        <v>96.49457533743761</v>
      </c>
      <c r="AJ658" s="40">
        <v>96.690700406340042</v>
      </c>
      <c r="AK658" s="40">
        <v>96.627312947730815</v>
      </c>
      <c r="AL658" s="40">
        <v>96.507013910909436</v>
      </c>
      <c r="AM658" s="40">
        <v>96.429278261815185</v>
      </c>
      <c r="AN658" s="40">
        <v>94.885736215076193</v>
      </c>
      <c r="AO658" s="40">
        <v>96.883040483522223</v>
      </c>
      <c r="AP658" s="40">
        <v>97.494372087983805</v>
      </c>
      <c r="AQ658" s="40">
        <v>97.777000604401067</v>
      </c>
      <c r="AR658" s="40">
        <v>97.832115333209018</v>
      </c>
      <c r="AS658" s="40">
        <v>97.811357024005105</v>
      </c>
      <c r="AT658" s="40">
        <v>97.613665228062487</v>
      </c>
      <c r="AU658" s="40">
        <v>94.154840052277819</v>
      </c>
      <c r="AV658" s="40">
        <v>97.204030409030267</v>
      </c>
      <c r="AW658" s="40">
        <v>97.700750214004856</v>
      </c>
      <c r="AX658" s="40">
        <v>98.014008962786292</v>
      </c>
      <c r="AY658" s="40">
        <v>98.183788377033963</v>
      </c>
      <c r="AZ658" s="40">
        <v>98.189784411397596</v>
      </c>
      <c r="BA658" s="40">
        <v>97.880324090806212</v>
      </c>
      <c r="BB658" s="174">
        <v>42979</v>
      </c>
      <c r="BC658" s="174">
        <v>43388</v>
      </c>
    </row>
    <row r="659" spans="1:55" ht="45">
      <c r="A659" s="18" t="s">
        <v>8</v>
      </c>
      <c r="B659" s="18" t="s">
        <v>1108</v>
      </c>
      <c r="C659" s="23" t="s">
        <v>10</v>
      </c>
      <c r="D659" s="23" t="s">
        <v>10</v>
      </c>
      <c r="E659" s="23" t="s">
        <v>10</v>
      </c>
      <c r="F659" s="23" t="s">
        <v>11</v>
      </c>
      <c r="G659" s="147" t="s">
        <v>199</v>
      </c>
      <c r="H659" s="19">
        <v>15</v>
      </c>
      <c r="I659" s="19">
        <v>480</v>
      </c>
      <c r="J659" s="19">
        <v>97.5</v>
      </c>
      <c r="K659" s="21" t="s">
        <v>1219</v>
      </c>
      <c r="L659" s="49" t="s">
        <v>462</v>
      </c>
      <c r="M659" s="21" t="s">
        <v>463</v>
      </c>
      <c r="N659" s="174">
        <v>43388</v>
      </c>
      <c r="O659" s="49" t="s">
        <v>462</v>
      </c>
      <c r="P659" s="23" t="s">
        <v>17</v>
      </c>
      <c r="Q659" s="23" t="s">
        <v>17</v>
      </c>
      <c r="R659" s="150" t="s">
        <v>203</v>
      </c>
      <c r="S659" s="21" t="s">
        <v>10</v>
      </c>
      <c r="T659" s="20" t="s">
        <v>11</v>
      </c>
      <c r="U659" s="19">
        <v>1.79</v>
      </c>
      <c r="V659" s="19"/>
      <c r="W659" s="19"/>
      <c r="X659" s="19">
        <v>300</v>
      </c>
      <c r="Y659" s="19">
        <v>675</v>
      </c>
      <c r="Z659" s="19">
        <v>800</v>
      </c>
      <c r="AA659" s="40">
        <v>1.5</v>
      </c>
      <c r="AB659" s="40">
        <v>3</v>
      </c>
      <c r="AC659" s="40">
        <v>4.5</v>
      </c>
      <c r="AD659" s="40">
        <v>7.5</v>
      </c>
      <c r="AE659" s="40">
        <v>11.25</v>
      </c>
      <c r="AF659" s="40">
        <v>15</v>
      </c>
      <c r="AG659" s="40">
        <v>93.855655768325036</v>
      </c>
      <c r="AH659" s="40">
        <v>96.220132968022185</v>
      </c>
      <c r="AI659" s="40">
        <v>96.731415475995405</v>
      </c>
      <c r="AJ659" s="40">
        <v>96.662686184447367</v>
      </c>
      <c r="AK659" s="40">
        <v>96.525350018358225</v>
      </c>
      <c r="AL659" s="40">
        <v>96.347074199043405</v>
      </c>
      <c r="AM659" s="40">
        <v>96.447956054669547</v>
      </c>
      <c r="AN659" s="40">
        <v>95.495928692020158</v>
      </c>
      <c r="AO659" s="40">
        <v>97.192892755040859</v>
      </c>
      <c r="AP659" s="40">
        <v>97.796289926240703</v>
      </c>
      <c r="AQ659" s="40">
        <v>97.802899005800356</v>
      </c>
      <c r="AR659" s="40">
        <v>97.832975895750408</v>
      </c>
      <c r="AS659" s="40">
        <v>97.777428409336565</v>
      </c>
      <c r="AT659" s="40">
        <v>97.693994013014347</v>
      </c>
      <c r="AU659" s="40">
        <v>95.552946082935037</v>
      </c>
      <c r="AV659" s="40">
        <v>97.515080368134008</v>
      </c>
      <c r="AW659" s="40">
        <v>97.923591757588014</v>
      </c>
      <c r="AX659" s="40">
        <v>98.172996722782088</v>
      </c>
      <c r="AY659" s="40">
        <v>98.214818639191321</v>
      </c>
      <c r="AZ659" s="40">
        <v>98.157219501191648</v>
      </c>
      <c r="BA659" s="40">
        <v>98.02674703824988</v>
      </c>
      <c r="BB659" s="174">
        <v>42979</v>
      </c>
      <c r="BC659" s="174">
        <v>43388</v>
      </c>
    </row>
    <row r="660" spans="1:55" ht="45">
      <c r="A660" s="18" t="s">
        <v>8</v>
      </c>
      <c r="B660" s="18" t="s">
        <v>1109</v>
      </c>
      <c r="C660" s="23" t="s">
        <v>10</v>
      </c>
      <c r="D660" s="23" t="s">
        <v>10</v>
      </c>
      <c r="E660" s="23" t="s">
        <v>10</v>
      </c>
      <c r="F660" s="23" t="s">
        <v>11</v>
      </c>
      <c r="G660" s="147" t="s">
        <v>199</v>
      </c>
      <c r="H660" s="19">
        <v>15</v>
      </c>
      <c r="I660" s="19">
        <v>480</v>
      </c>
      <c r="J660" s="19">
        <v>97.5</v>
      </c>
      <c r="K660" s="21" t="s">
        <v>1219</v>
      </c>
      <c r="L660" s="49" t="s">
        <v>462</v>
      </c>
      <c r="M660" s="21" t="s">
        <v>463</v>
      </c>
      <c r="N660" s="174">
        <v>43388</v>
      </c>
      <c r="O660" s="49" t="s">
        <v>462</v>
      </c>
      <c r="P660" s="23" t="s">
        <v>17</v>
      </c>
      <c r="Q660" s="23" t="s">
        <v>17</v>
      </c>
      <c r="R660" s="150" t="s">
        <v>203</v>
      </c>
      <c r="S660" s="21" t="s">
        <v>10</v>
      </c>
      <c r="T660" s="20" t="s">
        <v>11</v>
      </c>
      <c r="U660" s="19">
        <v>1.79</v>
      </c>
      <c r="V660" s="19"/>
      <c r="W660" s="19"/>
      <c r="X660" s="19">
        <v>300</v>
      </c>
      <c r="Y660" s="19">
        <v>675</v>
      </c>
      <c r="Z660" s="19">
        <v>800</v>
      </c>
      <c r="AA660" s="40">
        <v>1.5</v>
      </c>
      <c r="AB660" s="40">
        <v>3</v>
      </c>
      <c r="AC660" s="40">
        <v>4.5</v>
      </c>
      <c r="AD660" s="40">
        <v>7.5</v>
      </c>
      <c r="AE660" s="40">
        <v>11.25</v>
      </c>
      <c r="AF660" s="40">
        <v>15</v>
      </c>
      <c r="AG660" s="40">
        <v>93.855655768325036</v>
      </c>
      <c r="AH660" s="40">
        <v>96.220132968022185</v>
      </c>
      <c r="AI660" s="40">
        <v>96.731415475995405</v>
      </c>
      <c r="AJ660" s="40">
        <v>96.662686184447367</v>
      </c>
      <c r="AK660" s="40">
        <v>96.525350018358225</v>
      </c>
      <c r="AL660" s="40">
        <v>96.347074199043405</v>
      </c>
      <c r="AM660" s="40">
        <v>96.447956054669547</v>
      </c>
      <c r="AN660" s="40">
        <v>95.495928692020158</v>
      </c>
      <c r="AO660" s="40">
        <v>97.192892755040859</v>
      </c>
      <c r="AP660" s="40">
        <v>97.796289926240703</v>
      </c>
      <c r="AQ660" s="40">
        <v>97.802899005800356</v>
      </c>
      <c r="AR660" s="40">
        <v>97.832975895750408</v>
      </c>
      <c r="AS660" s="40">
        <v>97.777428409336565</v>
      </c>
      <c r="AT660" s="40">
        <v>97.693994013014347</v>
      </c>
      <c r="AU660" s="40">
        <v>95.552946082935037</v>
      </c>
      <c r="AV660" s="40">
        <v>97.515080368134008</v>
      </c>
      <c r="AW660" s="40">
        <v>97.923591757588014</v>
      </c>
      <c r="AX660" s="40">
        <v>98.172996722782088</v>
      </c>
      <c r="AY660" s="40">
        <v>98.214818639191321</v>
      </c>
      <c r="AZ660" s="40">
        <v>98.157219501191648</v>
      </c>
      <c r="BA660" s="40">
        <v>98.02674703824988</v>
      </c>
      <c r="BB660" s="174">
        <v>42979</v>
      </c>
      <c r="BC660" s="174">
        <v>43388</v>
      </c>
    </row>
    <row r="661" spans="1:55" ht="45">
      <c r="A661" s="18" t="s">
        <v>8</v>
      </c>
      <c r="B661" s="18" t="s">
        <v>1110</v>
      </c>
      <c r="C661" s="23" t="s">
        <v>10</v>
      </c>
      <c r="D661" s="23" t="s">
        <v>10</v>
      </c>
      <c r="E661" s="23" t="s">
        <v>10</v>
      </c>
      <c r="F661" s="23" t="s">
        <v>11</v>
      </c>
      <c r="G661" s="147" t="s">
        <v>200</v>
      </c>
      <c r="H661" s="19">
        <v>20</v>
      </c>
      <c r="I661" s="19">
        <v>480</v>
      </c>
      <c r="J661" s="19">
        <v>97.5</v>
      </c>
      <c r="K661" s="21" t="s">
        <v>1219</v>
      </c>
      <c r="L661" s="49" t="s">
        <v>462</v>
      </c>
      <c r="M661" s="21" t="s">
        <v>463</v>
      </c>
      <c r="N661" s="174">
        <v>43388</v>
      </c>
      <c r="O661" s="49" t="s">
        <v>462</v>
      </c>
      <c r="P661" s="23" t="s">
        <v>17</v>
      </c>
      <c r="Q661" s="23" t="s">
        <v>17</v>
      </c>
      <c r="R661" s="150" t="s">
        <v>203</v>
      </c>
      <c r="S661" s="21" t="s">
        <v>10</v>
      </c>
      <c r="T661" s="20" t="s">
        <v>11</v>
      </c>
      <c r="U661" s="19">
        <v>1.79</v>
      </c>
      <c r="V661" s="19"/>
      <c r="W661" s="19"/>
      <c r="X661" s="19">
        <v>380</v>
      </c>
      <c r="Y661" s="19">
        <v>695</v>
      </c>
      <c r="Z661" s="19">
        <v>800</v>
      </c>
      <c r="AA661" s="40">
        <v>2</v>
      </c>
      <c r="AB661" s="40">
        <v>4</v>
      </c>
      <c r="AC661" s="40">
        <v>6</v>
      </c>
      <c r="AD661" s="40">
        <v>10</v>
      </c>
      <c r="AE661" s="40">
        <v>15</v>
      </c>
      <c r="AF661" s="40">
        <v>20</v>
      </c>
      <c r="AG661" s="40">
        <v>95.166002573680657</v>
      </c>
      <c r="AH661" s="40">
        <v>96.960461207919593</v>
      </c>
      <c r="AI661" s="40">
        <v>97.206210307973649</v>
      </c>
      <c r="AJ661" s="40">
        <v>97.083526385263212</v>
      </c>
      <c r="AK661" s="40">
        <v>96.934118174722499</v>
      </c>
      <c r="AL661" s="40">
        <v>96.705141513761617</v>
      </c>
      <c r="AM661" s="40">
        <v>96.917288649496328</v>
      </c>
      <c r="AN661" s="40">
        <v>97.228849010193727</v>
      </c>
      <c r="AO661" s="40">
        <v>98.289481853362432</v>
      </c>
      <c r="AP661" s="40">
        <v>98.509907734190421</v>
      </c>
      <c r="AQ661" s="40">
        <v>98.548489172388329</v>
      </c>
      <c r="AR661" s="40">
        <v>97.836810327646688</v>
      </c>
      <c r="AS661" s="40">
        <v>97.705085096687185</v>
      </c>
      <c r="AT661" s="40">
        <v>98.058763435867391</v>
      </c>
      <c r="AU661" s="40">
        <v>96.492868266958425</v>
      </c>
      <c r="AV661" s="40">
        <v>97.86877684687623</v>
      </c>
      <c r="AW661" s="40">
        <v>98.130627177880115</v>
      </c>
      <c r="AX661" s="40">
        <v>98.219804322689427</v>
      </c>
      <c r="AY661" s="40">
        <v>98.174642673551418</v>
      </c>
      <c r="AZ661" s="40">
        <v>98.04215458277919</v>
      </c>
      <c r="BA661" s="40">
        <v>98.089656088253761</v>
      </c>
      <c r="BB661" s="174">
        <v>42979</v>
      </c>
      <c r="BC661" s="174">
        <v>43388</v>
      </c>
    </row>
    <row r="662" spans="1:55" ht="45">
      <c r="A662" s="18" t="s">
        <v>8</v>
      </c>
      <c r="B662" s="18" t="s">
        <v>1111</v>
      </c>
      <c r="C662" s="23" t="s">
        <v>10</v>
      </c>
      <c r="D662" s="23" t="s">
        <v>10</v>
      </c>
      <c r="E662" s="23" t="s">
        <v>10</v>
      </c>
      <c r="F662" s="23" t="s">
        <v>11</v>
      </c>
      <c r="G662" s="147" t="s">
        <v>200</v>
      </c>
      <c r="H662" s="19">
        <v>20</v>
      </c>
      <c r="I662" s="19">
        <v>480</v>
      </c>
      <c r="J662" s="19">
        <v>97.5</v>
      </c>
      <c r="K662" s="21" t="s">
        <v>1219</v>
      </c>
      <c r="L662" s="49" t="s">
        <v>462</v>
      </c>
      <c r="M662" s="21" t="s">
        <v>463</v>
      </c>
      <c r="N662" s="174">
        <v>43388</v>
      </c>
      <c r="O662" s="49" t="s">
        <v>462</v>
      </c>
      <c r="P662" s="23" t="s">
        <v>17</v>
      </c>
      <c r="Q662" s="23" t="s">
        <v>17</v>
      </c>
      <c r="R662" s="150" t="s">
        <v>203</v>
      </c>
      <c r="S662" s="21" t="s">
        <v>10</v>
      </c>
      <c r="T662" s="20" t="s">
        <v>11</v>
      </c>
      <c r="U662" s="19">
        <v>1.79</v>
      </c>
      <c r="V662" s="19"/>
      <c r="W662" s="19"/>
      <c r="X662" s="19">
        <v>380</v>
      </c>
      <c r="Y662" s="19">
        <v>695</v>
      </c>
      <c r="Z662" s="19">
        <v>800</v>
      </c>
      <c r="AA662" s="40">
        <v>2</v>
      </c>
      <c r="AB662" s="40">
        <v>4</v>
      </c>
      <c r="AC662" s="40">
        <v>6</v>
      </c>
      <c r="AD662" s="40">
        <v>10</v>
      </c>
      <c r="AE662" s="40">
        <v>15</v>
      </c>
      <c r="AF662" s="40">
        <v>20</v>
      </c>
      <c r="AG662" s="40">
        <v>95.166002573680657</v>
      </c>
      <c r="AH662" s="40">
        <v>96.960461207919593</v>
      </c>
      <c r="AI662" s="40">
        <v>97.206210307973649</v>
      </c>
      <c r="AJ662" s="40">
        <v>97.083526385263212</v>
      </c>
      <c r="AK662" s="40">
        <v>96.934118174722499</v>
      </c>
      <c r="AL662" s="40">
        <v>96.705141513761617</v>
      </c>
      <c r="AM662" s="40">
        <v>96.917288649496328</v>
      </c>
      <c r="AN662" s="40">
        <v>97.228849010193727</v>
      </c>
      <c r="AO662" s="40">
        <v>98.289481853362432</v>
      </c>
      <c r="AP662" s="40">
        <v>98.509907734190421</v>
      </c>
      <c r="AQ662" s="40">
        <v>98.548489172388329</v>
      </c>
      <c r="AR662" s="40">
        <v>97.836810327646688</v>
      </c>
      <c r="AS662" s="40">
        <v>97.705085096687185</v>
      </c>
      <c r="AT662" s="40">
        <v>98.058763435867391</v>
      </c>
      <c r="AU662" s="40">
        <v>96.492868266958425</v>
      </c>
      <c r="AV662" s="40">
        <v>97.86877684687623</v>
      </c>
      <c r="AW662" s="40">
        <v>98.130627177880115</v>
      </c>
      <c r="AX662" s="40">
        <v>98.219804322689427</v>
      </c>
      <c r="AY662" s="40">
        <v>98.174642673551418</v>
      </c>
      <c r="AZ662" s="40">
        <v>98.04215458277919</v>
      </c>
      <c r="BA662" s="40">
        <v>98.089656088253761</v>
      </c>
      <c r="BB662" s="174">
        <v>42979</v>
      </c>
      <c r="BC662" s="174">
        <v>43388</v>
      </c>
    </row>
    <row r="663" spans="1:55" ht="45">
      <c r="A663" s="18" t="s">
        <v>8</v>
      </c>
      <c r="B663" s="18" t="s">
        <v>410</v>
      </c>
      <c r="C663" s="23" t="s">
        <v>10</v>
      </c>
      <c r="D663" s="23" t="s">
        <v>10</v>
      </c>
      <c r="E663" s="23" t="s">
        <v>10</v>
      </c>
      <c r="F663" s="23" t="s">
        <v>11</v>
      </c>
      <c r="G663" s="147" t="s">
        <v>201</v>
      </c>
      <c r="H663" s="19">
        <v>24.06</v>
      </c>
      <c r="I663" s="19">
        <v>480</v>
      </c>
      <c r="J663" s="19">
        <v>98</v>
      </c>
      <c r="K663" s="21" t="s">
        <v>1219</v>
      </c>
      <c r="L663" s="49" t="s">
        <v>462</v>
      </c>
      <c r="M663" s="21" t="s">
        <v>463</v>
      </c>
      <c r="N663" s="174">
        <v>43388</v>
      </c>
      <c r="O663" s="49" t="s">
        <v>462</v>
      </c>
      <c r="P663" s="23" t="s">
        <v>17</v>
      </c>
      <c r="Q663" s="23" t="s">
        <v>17</v>
      </c>
      <c r="R663" s="150" t="s">
        <v>203</v>
      </c>
      <c r="S663" s="21" t="s">
        <v>10</v>
      </c>
      <c r="T663" s="20" t="s">
        <v>11</v>
      </c>
      <c r="U663" s="19">
        <v>1.79</v>
      </c>
      <c r="V663" s="19"/>
      <c r="W663" s="19"/>
      <c r="X663" s="19">
        <v>450</v>
      </c>
      <c r="Y663" s="19">
        <v>712</v>
      </c>
      <c r="Z663" s="19">
        <v>800</v>
      </c>
      <c r="AA663" s="40">
        <v>2.4060000000000001</v>
      </c>
      <c r="AB663" s="40">
        <v>4.8120000000000003</v>
      </c>
      <c r="AC663" s="40">
        <v>7.2179999999999991</v>
      </c>
      <c r="AD663" s="40">
        <v>12.03</v>
      </c>
      <c r="AE663" s="40">
        <v>18.044999999999998</v>
      </c>
      <c r="AF663" s="40">
        <v>24.06</v>
      </c>
      <c r="AG663" s="40">
        <v>96.082505616067209</v>
      </c>
      <c r="AH663" s="40">
        <v>97.424181190564596</v>
      </c>
      <c r="AI663" s="40">
        <v>97.444656931781154</v>
      </c>
      <c r="AJ663" s="40">
        <v>97.315063669223932</v>
      </c>
      <c r="AK663" s="40">
        <v>97.122156907959265</v>
      </c>
      <c r="AL663" s="40">
        <v>96.865885453167053</v>
      </c>
      <c r="AM663" s="40">
        <v>97.162068920398454</v>
      </c>
      <c r="AN663" s="40">
        <v>97.45990452259629</v>
      </c>
      <c r="AO663" s="40">
        <v>98.348028973855392</v>
      </c>
      <c r="AP663" s="40">
        <v>98.503124414275888</v>
      </c>
      <c r="AQ663" s="40">
        <v>98.531362070230031</v>
      </c>
      <c r="AR663" s="40">
        <v>98.435119435359169</v>
      </c>
      <c r="AS663" s="40">
        <v>98.266514886637623</v>
      </c>
      <c r="AT663" s="40">
        <v>98.411697639130281</v>
      </c>
      <c r="AU663" s="40">
        <v>96.909942056488973</v>
      </c>
      <c r="AV663" s="40">
        <v>98.004925627161398</v>
      </c>
      <c r="AW663" s="40">
        <v>98.188558637442924</v>
      </c>
      <c r="AX663" s="40">
        <v>98.204070345596193</v>
      </c>
      <c r="AY663" s="40">
        <v>98.076628570877034</v>
      </c>
      <c r="AZ663" s="40">
        <v>97.882251177120239</v>
      </c>
      <c r="BA663" s="40">
        <v>98.056851474106807</v>
      </c>
      <c r="BB663" s="174">
        <v>42979</v>
      </c>
      <c r="BC663" s="174">
        <v>43388</v>
      </c>
    </row>
    <row r="664" spans="1:55" ht="45">
      <c r="A664" s="18" t="s">
        <v>8</v>
      </c>
      <c r="B664" s="18" t="s">
        <v>411</v>
      </c>
      <c r="C664" s="23" t="s">
        <v>10</v>
      </c>
      <c r="D664" s="23" t="s">
        <v>10</v>
      </c>
      <c r="E664" s="23" t="s">
        <v>10</v>
      </c>
      <c r="F664" s="23" t="s">
        <v>11</v>
      </c>
      <c r="G664" s="147" t="s">
        <v>201</v>
      </c>
      <c r="H664" s="19">
        <v>24.06</v>
      </c>
      <c r="I664" s="19">
        <v>480</v>
      </c>
      <c r="J664" s="19">
        <v>98</v>
      </c>
      <c r="K664" s="21" t="s">
        <v>1219</v>
      </c>
      <c r="L664" s="49" t="s">
        <v>462</v>
      </c>
      <c r="M664" s="21" t="s">
        <v>463</v>
      </c>
      <c r="N664" s="174">
        <v>43388</v>
      </c>
      <c r="O664" s="49" t="s">
        <v>462</v>
      </c>
      <c r="P664" s="23" t="s">
        <v>17</v>
      </c>
      <c r="Q664" s="23" t="s">
        <v>17</v>
      </c>
      <c r="R664" s="150" t="s">
        <v>203</v>
      </c>
      <c r="S664" s="21" t="s">
        <v>10</v>
      </c>
      <c r="T664" s="20" t="s">
        <v>11</v>
      </c>
      <c r="U664" s="19">
        <v>1.79</v>
      </c>
      <c r="V664" s="19"/>
      <c r="W664" s="19"/>
      <c r="X664" s="19">
        <v>450</v>
      </c>
      <c r="Y664" s="19">
        <v>712</v>
      </c>
      <c r="Z664" s="19">
        <v>800</v>
      </c>
      <c r="AA664" s="40">
        <v>2.4060000000000001</v>
      </c>
      <c r="AB664" s="40">
        <v>4.8120000000000003</v>
      </c>
      <c r="AC664" s="40">
        <v>7.2179999999999991</v>
      </c>
      <c r="AD664" s="40">
        <v>12.03</v>
      </c>
      <c r="AE664" s="40">
        <v>18.044999999999998</v>
      </c>
      <c r="AF664" s="40">
        <v>24.06</v>
      </c>
      <c r="AG664" s="40">
        <v>96.082505616067209</v>
      </c>
      <c r="AH664" s="40">
        <v>97.424181190564596</v>
      </c>
      <c r="AI664" s="40">
        <v>97.444656931781154</v>
      </c>
      <c r="AJ664" s="40">
        <v>97.315063669223932</v>
      </c>
      <c r="AK664" s="40">
        <v>97.122156907959265</v>
      </c>
      <c r="AL664" s="40">
        <v>96.865885453167053</v>
      </c>
      <c r="AM664" s="40">
        <v>97.162068920398454</v>
      </c>
      <c r="AN664" s="40">
        <v>97.45990452259629</v>
      </c>
      <c r="AO664" s="40">
        <v>98.348028973855392</v>
      </c>
      <c r="AP664" s="40">
        <v>98.503124414275888</v>
      </c>
      <c r="AQ664" s="40">
        <v>98.531362070230031</v>
      </c>
      <c r="AR664" s="40">
        <v>98.435119435359169</v>
      </c>
      <c r="AS664" s="40">
        <v>98.266514886637623</v>
      </c>
      <c r="AT664" s="40">
        <v>98.411697639130281</v>
      </c>
      <c r="AU664" s="40">
        <v>96.909942056488973</v>
      </c>
      <c r="AV664" s="40">
        <v>98.004925627161398</v>
      </c>
      <c r="AW664" s="40">
        <v>98.188558637442924</v>
      </c>
      <c r="AX664" s="40">
        <v>98.204070345596193</v>
      </c>
      <c r="AY664" s="40">
        <v>98.076628570877034</v>
      </c>
      <c r="AZ664" s="40">
        <v>97.882251177120239</v>
      </c>
      <c r="BA664" s="40">
        <v>98.056851474106807</v>
      </c>
      <c r="BB664" s="174">
        <v>42979</v>
      </c>
      <c r="BC664" s="174">
        <v>43388</v>
      </c>
    </row>
    <row r="665" spans="1:55" ht="45">
      <c r="A665" s="18" t="s">
        <v>8</v>
      </c>
      <c r="B665" s="18" t="s">
        <v>1112</v>
      </c>
      <c r="C665" s="23" t="s">
        <v>10</v>
      </c>
      <c r="D665" s="23" t="s">
        <v>10</v>
      </c>
      <c r="E665" s="23" t="s">
        <v>10</v>
      </c>
      <c r="F665" s="23" t="s">
        <v>11</v>
      </c>
      <c r="G665" s="147" t="s">
        <v>197</v>
      </c>
      <c r="H665" s="19">
        <v>30.01</v>
      </c>
      <c r="I665" s="19">
        <v>480</v>
      </c>
      <c r="J665" s="19">
        <v>98</v>
      </c>
      <c r="K665" s="21" t="s">
        <v>1219</v>
      </c>
      <c r="L665" s="49" t="s">
        <v>424</v>
      </c>
      <c r="M665" s="21" t="s">
        <v>463</v>
      </c>
      <c r="N665" s="174">
        <v>43388</v>
      </c>
      <c r="O665" s="49" t="s">
        <v>424</v>
      </c>
      <c r="P665" s="23" t="s">
        <v>17</v>
      </c>
      <c r="Q665" s="23" t="s">
        <v>17</v>
      </c>
      <c r="R665" s="150" t="s">
        <v>203</v>
      </c>
      <c r="S665" s="21" t="s">
        <v>10</v>
      </c>
      <c r="T665" s="20" t="s">
        <v>11</v>
      </c>
      <c r="U665" s="19">
        <v>1.22</v>
      </c>
      <c r="V665" s="19"/>
      <c r="W665" s="19"/>
      <c r="X665" s="19">
        <v>500</v>
      </c>
      <c r="Y665" s="19">
        <v>720</v>
      </c>
      <c r="Z665" s="19">
        <v>800</v>
      </c>
      <c r="AA665" s="40">
        <v>3.0010000000000003</v>
      </c>
      <c r="AB665" s="40">
        <v>6.0020000000000007</v>
      </c>
      <c r="AC665" s="40">
        <v>9.0030000000000001</v>
      </c>
      <c r="AD665" s="40">
        <v>15.005000000000001</v>
      </c>
      <c r="AE665" s="40">
        <v>22.5075</v>
      </c>
      <c r="AF665" s="40">
        <v>30.01</v>
      </c>
      <c r="AG665" s="40">
        <v>96.587999999999994</v>
      </c>
      <c r="AH665" s="40">
        <v>97.715999999999994</v>
      </c>
      <c r="AI665" s="40">
        <v>97.926000000000016</v>
      </c>
      <c r="AJ665" s="40">
        <v>97.97999999999999</v>
      </c>
      <c r="AK665" s="40">
        <v>97.838000000000008</v>
      </c>
      <c r="AL665" s="40">
        <v>97.622</v>
      </c>
      <c r="AM665" s="40">
        <v>97.811480000000017</v>
      </c>
      <c r="AN665" s="40">
        <v>97.588000000000008</v>
      </c>
      <c r="AO665" s="40">
        <v>98.448000000000008</v>
      </c>
      <c r="AP665" s="40">
        <v>98.690000000000012</v>
      </c>
      <c r="AQ665" s="40">
        <v>98.602000000000004</v>
      </c>
      <c r="AR665" s="40">
        <v>98.537999999999982</v>
      </c>
      <c r="AS665" s="40">
        <v>98.328000000000003</v>
      </c>
      <c r="AT665" s="40">
        <v>98.516679999999994</v>
      </c>
      <c r="AU665" s="40">
        <v>97.025999999999996</v>
      </c>
      <c r="AV665" s="40">
        <v>98.059999999999988</v>
      </c>
      <c r="AW665" s="40">
        <v>98.451999999999998</v>
      </c>
      <c r="AX665" s="40">
        <v>98.385999999999996</v>
      </c>
      <c r="AY665" s="40">
        <v>98.281999999999996</v>
      </c>
      <c r="AZ665" s="40">
        <v>98.08</v>
      </c>
      <c r="BA665" s="40">
        <v>98.252799999999993</v>
      </c>
      <c r="BB665" s="174">
        <v>42979</v>
      </c>
      <c r="BC665" s="174">
        <v>43388</v>
      </c>
    </row>
    <row r="666" spans="1:55" ht="60">
      <c r="A666" s="18" t="s">
        <v>8</v>
      </c>
      <c r="B666" s="18" t="s">
        <v>1727</v>
      </c>
      <c r="C666" s="23" t="s">
        <v>10</v>
      </c>
      <c r="D666" s="23" t="s">
        <v>10</v>
      </c>
      <c r="E666" s="23" t="s">
        <v>10</v>
      </c>
      <c r="F666" s="23" t="s">
        <v>11</v>
      </c>
      <c r="G666" s="18" t="s">
        <v>1702</v>
      </c>
      <c r="H666" s="19">
        <v>0.34899999999999998</v>
      </c>
      <c r="I666" s="37">
        <v>240</v>
      </c>
      <c r="J666" s="19">
        <v>97</v>
      </c>
      <c r="K666" s="20" t="s">
        <v>1219</v>
      </c>
      <c r="L666" s="49" t="s">
        <v>1430</v>
      </c>
      <c r="M666" s="38" t="s">
        <v>1392</v>
      </c>
      <c r="N666" s="124">
        <v>43661</v>
      </c>
      <c r="O666" s="38" t="s">
        <v>1430</v>
      </c>
      <c r="P666" s="38" t="s">
        <v>17</v>
      </c>
      <c r="Q666" s="38" t="s">
        <v>17</v>
      </c>
      <c r="R666" s="151" t="s">
        <v>27</v>
      </c>
      <c r="S666" s="39" t="s">
        <v>11</v>
      </c>
      <c r="T666" s="39" t="s">
        <v>10</v>
      </c>
      <c r="U666" s="153">
        <v>0.34899999999999998</v>
      </c>
      <c r="V666" s="153"/>
      <c r="W666" s="153"/>
      <c r="X666" s="153">
        <v>38</v>
      </c>
      <c r="Y666" s="153">
        <v>40.5</v>
      </c>
      <c r="Z666" s="153">
        <v>43</v>
      </c>
      <c r="AA666" s="40">
        <v>3.4869799999999999E-2</v>
      </c>
      <c r="AB666" s="40">
        <v>6.9739599999999999E-2</v>
      </c>
      <c r="AC666" s="40">
        <v>0.10460939999999998</v>
      </c>
      <c r="AD666" s="40">
        <v>0.17434899999999998</v>
      </c>
      <c r="AE666" s="40">
        <v>0.26152349999999996</v>
      </c>
      <c r="AF666" s="40">
        <v>0.34869799999999995</v>
      </c>
      <c r="AG666" s="40">
        <v>95.154590000000013</v>
      </c>
      <c r="AH666" s="40">
        <v>95.805639999999997</v>
      </c>
      <c r="AI666" s="40">
        <v>96.649199999999993</v>
      </c>
      <c r="AJ666" s="40">
        <v>97.148089999999996</v>
      </c>
      <c r="AK666" s="40">
        <v>96.970150000000004</v>
      </c>
      <c r="AL666" s="40">
        <v>96.471029999999999</v>
      </c>
      <c r="AM666" s="40">
        <v>96.813199499999996</v>
      </c>
      <c r="AN666" s="40">
        <v>95.067849999999993</v>
      </c>
      <c r="AO666" s="40">
        <v>95.709399999999988</v>
      </c>
      <c r="AP666" s="40">
        <v>96.570779999999999</v>
      </c>
      <c r="AQ666" s="40">
        <v>97.112740000000002</v>
      </c>
      <c r="AR666" s="40">
        <v>96.976959999999991</v>
      </c>
      <c r="AS666" s="40">
        <v>96.463949999999983</v>
      </c>
      <c r="AT666" s="40">
        <v>96.791339300000004</v>
      </c>
      <c r="AU666" s="40">
        <v>95.001209999999986</v>
      </c>
      <c r="AV666" s="40">
        <v>95.632999999999996</v>
      </c>
      <c r="AW666" s="40">
        <v>96.469070000000016</v>
      </c>
      <c r="AX666" s="40">
        <v>97.071960000000004</v>
      </c>
      <c r="AY666" s="40">
        <v>96.959520000000012</v>
      </c>
      <c r="AZ666" s="40">
        <v>96.460439999999991</v>
      </c>
      <c r="BA666" s="40">
        <v>96.754666</v>
      </c>
      <c r="BB666" s="180">
        <v>43661</v>
      </c>
      <c r="BC666" s="180"/>
    </row>
    <row r="667" spans="1:55" ht="60">
      <c r="A667" s="18" t="s">
        <v>8</v>
      </c>
      <c r="B667" s="18" t="s">
        <v>1461</v>
      </c>
      <c r="C667" s="23" t="s">
        <v>10</v>
      </c>
      <c r="D667" s="23" t="s">
        <v>10</v>
      </c>
      <c r="E667" s="23" t="s">
        <v>10</v>
      </c>
      <c r="F667" s="23" t="s">
        <v>11</v>
      </c>
      <c r="G667" s="18" t="s">
        <v>1429</v>
      </c>
      <c r="H667" s="19">
        <v>0.34899999999999998</v>
      </c>
      <c r="I667" s="37">
        <v>240</v>
      </c>
      <c r="J667" s="19">
        <v>97</v>
      </c>
      <c r="K667" s="21" t="s">
        <v>1219</v>
      </c>
      <c r="L667" s="49" t="s">
        <v>1430</v>
      </c>
      <c r="M667" s="38" t="s">
        <v>1392</v>
      </c>
      <c r="N667" s="174">
        <v>43557</v>
      </c>
      <c r="O667" s="38" t="s">
        <v>1430</v>
      </c>
      <c r="P667" s="38" t="s">
        <v>17</v>
      </c>
      <c r="Q667" s="38" t="s">
        <v>17</v>
      </c>
      <c r="R667" s="151" t="s">
        <v>27</v>
      </c>
      <c r="S667" s="39" t="s">
        <v>11</v>
      </c>
      <c r="T667" s="39" t="s">
        <v>10</v>
      </c>
      <c r="U667" s="171">
        <v>1.9E-2</v>
      </c>
      <c r="V667" s="153"/>
      <c r="W667" s="153"/>
      <c r="X667" s="153">
        <v>38</v>
      </c>
      <c r="Y667" s="153">
        <v>40.5</v>
      </c>
      <c r="Z667" s="153">
        <v>43</v>
      </c>
      <c r="AA667" s="40">
        <v>3.4869799999999999E-2</v>
      </c>
      <c r="AB667" s="40">
        <v>6.9739599999999999E-2</v>
      </c>
      <c r="AC667" s="40">
        <v>0.10460939999999998</v>
      </c>
      <c r="AD667" s="40">
        <v>0.17434899999999998</v>
      </c>
      <c r="AE667" s="40">
        <v>0.26152349999999996</v>
      </c>
      <c r="AF667" s="40">
        <v>0.34869799999999995</v>
      </c>
      <c r="AG667" s="40">
        <v>95.154590000000013</v>
      </c>
      <c r="AH667" s="40">
        <v>95.805639999999997</v>
      </c>
      <c r="AI667" s="40">
        <v>96.649199999999993</v>
      </c>
      <c r="AJ667" s="40">
        <v>97.148089999999996</v>
      </c>
      <c r="AK667" s="40">
        <v>96.970150000000004</v>
      </c>
      <c r="AL667" s="40">
        <v>96.471029999999999</v>
      </c>
      <c r="AM667" s="40">
        <v>96.813199499999996</v>
      </c>
      <c r="AN667" s="40">
        <v>95.067849999999993</v>
      </c>
      <c r="AO667" s="40">
        <v>95.709399999999988</v>
      </c>
      <c r="AP667" s="40">
        <v>96.570779999999999</v>
      </c>
      <c r="AQ667" s="40">
        <v>97.112740000000002</v>
      </c>
      <c r="AR667" s="40">
        <v>96.976959999999991</v>
      </c>
      <c r="AS667" s="40">
        <v>96.463949999999983</v>
      </c>
      <c r="AT667" s="40">
        <v>96.791339300000004</v>
      </c>
      <c r="AU667" s="40">
        <v>95.001209999999986</v>
      </c>
      <c r="AV667" s="40">
        <v>95.632999999999996</v>
      </c>
      <c r="AW667" s="40">
        <v>96.469070000000016</v>
      </c>
      <c r="AX667" s="40">
        <v>97.071960000000004</v>
      </c>
      <c r="AY667" s="40">
        <v>96.959520000000012</v>
      </c>
      <c r="AZ667" s="40">
        <v>96.460439999999991</v>
      </c>
      <c r="BA667" s="40">
        <v>96.754666</v>
      </c>
      <c r="BB667" s="178">
        <v>43557</v>
      </c>
      <c r="BC667" s="178"/>
    </row>
    <row r="668" spans="1:55" ht="60">
      <c r="A668" s="18" t="s">
        <v>8</v>
      </c>
      <c r="B668" s="18" t="s">
        <v>1462</v>
      </c>
      <c r="C668" s="23" t="s">
        <v>10</v>
      </c>
      <c r="D668" s="23" t="s">
        <v>10</v>
      </c>
      <c r="E668" s="23" t="s">
        <v>10</v>
      </c>
      <c r="F668" s="23" t="s">
        <v>11</v>
      </c>
      <c r="G668" s="18" t="s">
        <v>1431</v>
      </c>
      <c r="H668" s="19">
        <v>0.34899999999999998</v>
      </c>
      <c r="I668" s="37">
        <v>240</v>
      </c>
      <c r="J668" s="19">
        <v>97</v>
      </c>
      <c r="K668" s="21" t="s">
        <v>1219</v>
      </c>
      <c r="L668" s="49" t="s">
        <v>1430</v>
      </c>
      <c r="M668" s="38" t="s">
        <v>1392</v>
      </c>
      <c r="N668" s="174">
        <v>43557</v>
      </c>
      <c r="O668" s="38" t="s">
        <v>1430</v>
      </c>
      <c r="P668" s="38" t="s">
        <v>17</v>
      </c>
      <c r="Q668" s="38" t="s">
        <v>17</v>
      </c>
      <c r="R668" s="151" t="s">
        <v>27</v>
      </c>
      <c r="S668" s="39" t="s">
        <v>11</v>
      </c>
      <c r="T668" s="39" t="s">
        <v>10</v>
      </c>
      <c r="U668" s="171">
        <v>1.9E-2</v>
      </c>
      <c r="V668" s="153"/>
      <c r="W668" s="153"/>
      <c r="X668" s="153">
        <v>38</v>
      </c>
      <c r="Y668" s="153">
        <v>40.5</v>
      </c>
      <c r="Z668" s="153">
        <v>43</v>
      </c>
      <c r="AA668" s="40">
        <v>3.4869799999999999E-2</v>
      </c>
      <c r="AB668" s="40">
        <v>6.9739599999999999E-2</v>
      </c>
      <c r="AC668" s="40">
        <v>0.10460939999999998</v>
      </c>
      <c r="AD668" s="40">
        <v>0.17434899999999998</v>
      </c>
      <c r="AE668" s="40">
        <v>0.26152349999999996</v>
      </c>
      <c r="AF668" s="40">
        <v>0.34869799999999995</v>
      </c>
      <c r="AG668" s="40">
        <v>95.154590000000013</v>
      </c>
      <c r="AH668" s="40">
        <v>95.805639999999997</v>
      </c>
      <c r="AI668" s="40">
        <v>96.649199999999993</v>
      </c>
      <c r="AJ668" s="40">
        <v>97.148089999999996</v>
      </c>
      <c r="AK668" s="40">
        <v>96.970150000000004</v>
      </c>
      <c r="AL668" s="40">
        <v>96.471029999999999</v>
      </c>
      <c r="AM668" s="40">
        <v>96.813199499999996</v>
      </c>
      <c r="AN668" s="40">
        <v>95.067849999999993</v>
      </c>
      <c r="AO668" s="40">
        <v>95.709399999999988</v>
      </c>
      <c r="AP668" s="40">
        <v>96.570779999999999</v>
      </c>
      <c r="AQ668" s="40">
        <v>97.112740000000002</v>
      </c>
      <c r="AR668" s="40">
        <v>96.976959999999991</v>
      </c>
      <c r="AS668" s="40">
        <v>96.463949999999983</v>
      </c>
      <c r="AT668" s="40">
        <v>96.791339300000004</v>
      </c>
      <c r="AU668" s="40">
        <v>95.001209999999986</v>
      </c>
      <c r="AV668" s="40">
        <v>95.632999999999996</v>
      </c>
      <c r="AW668" s="40">
        <v>96.469070000000016</v>
      </c>
      <c r="AX668" s="40">
        <v>97.071960000000004</v>
      </c>
      <c r="AY668" s="40">
        <v>96.959520000000012</v>
      </c>
      <c r="AZ668" s="40">
        <v>96.460439999999991</v>
      </c>
      <c r="BA668" s="40">
        <v>96.754666</v>
      </c>
      <c r="BB668" s="178">
        <v>43557</v>
      </c>
      <c r="BC668" s="178"/>
    </row>
    <row r="669" spans="1:55" ht="60">
      <c r="A669" s="18" t="s">
        <v>8</v>
      </c>
      <c r="B669" s="18" t="s">
        <v>1463</v>
      </c>
      <c r="C669" s="23" t="s">
        <v>10</v>
      </c>
      <c r="D669" s="23" t="s">
        <v>10</v>
      </c>
      <c r="E669" s="23" t="s">
        <v>10</v>
      </c>
      <c r="F669" s="23" t="s">
        <v>11</v>
      </c>
      <c r="G669" s="18" t="s">
        <v>1432</v>
      </c>
      <c r="H669" s="19">
        <v>0.34899999999999998</v>
      </c>
      <c r="I669" s="37">
        <v>240</v>
      </c>
      <c r="J669" s="19">
        <v>97</v>
      </c>
      <c r="K669" s="21" t="s">
        <v>1219</v>
      </c>
      <c r="L669" s="49" t="s">
        <v>1430</v>
      </c>
      <c r="M669" s="38" t="s">
        <v>1392</v>
      </c>
      <c r="N669" s="174">
        <v>43557</v>
      </c>
      <c r="O669" s="38" t="s">
        <v>1430</v>
      </c>
      <c r="P669" s="38" t="s">
        <v>17</v>
      </c>
      <c r="Q669" s="38" t="s">
        <v>17</v>
      </c>
      <c r="R669" s="151" t="s">
        <v>27</v>
      </c>
      <c r="S669" s="39" t="s">
        <v>11</v>
      </c>
      <c r="T669" s="39" t="s">
        <v>10</v>
      </c>
      <c r="U669" s="171">
        <v>1.9E-2</v>
      </c>
      <c r="V669" s="153"/>
      <c r="W669" s="153"/>
      <c r="X669" s="153">
        <v>38</v>
      </c>
      <c r="Y669" s="153">
        <v>40.5</v>
      </c>
      <c r="Z669" s="153">
        <v>43</v>
      </c>
      <c r="AA669" s="40">
        <v>3.4869799999999999E-2</v>
      </c>
      <c r="AB669" s="40">
        <v>6.9739599999999999E-2</v>
      </c>
      <c r="AC669" s="40">
        <v>0.10460939999999998</v>
      </c>
      <c r="AD669" s="40">
        <v>0.17434899999999998</v>
      </c>
      <c r="AE669" s="40">
        <v>0.26152349999999996</v>
      </c>
      <c r="AF669" s="40">
        <v>0.34869799999999995</v>
      </c>
      <c r="AG669" s="40">
        <v>95.154590000000013</v>
      </c>
      <c r="AH669" s="40">
        <v>95.805639999999997</v>
      </c>
      <c r="AI669" s="40">
        <v>96.649199999999993</v>
      </c>
      <c r="AJ669" s="40">
        <v>97.148089999999996</v>
      </c>
      <c r="AK669" s="40">
        <v>96.970150000000004</v>
      </c>
      <c r="AL669" s="40">
        <v>96.471029999999999</v>
      </c>
      <c r="AM669" s="40">
        <v>96.813199499999996</v>
      </c>
      <c r="AN669" s="40">
        <v>95.067849999999993</v>
      </c>
      <c r="AO669" s="40">
        <v>95.709399999999988</v>
      </c>
      <c r="AP669" s="40">
        <v>96.570779999999999</v>
      </c>
      <c r="AQ669" s="40">
        <v>97.112740000000002</v>
      </c>
      <c r="AR669" s="40">
        <v>96.976959999999991</v>
      </c>
      <c r="AS669" s="40">
        <v>96.463949999999983</v>
      </c>
      <c r="AT669" s="40">
        <v>96.791339300000004</v>
      </c>
      <c r="AU669" s="40">
        <v>95.001209999999986</v>
      </c>
      <c r="AV669" s="40">
        <v>95.632999999999996</v>
      </c>
      <c r="AW669" s="40">
        <v>96.469070000000016</v>
      </c>
      <c r="AX669" s="40">
        <v>97.071960000000004</v>
      </c>
      <c r="AY669" s="40">
        <v>96.959520000000012</v>
      </c>
      <c r="AZ669" s="40">
        <v>96.460439999999991</v>
      </c>
      <c r="BA669" s="40">
        <v>96.754666</v>
      </c>
      <c r="BB669" s="178">
        <v>43557</v>
      </c>
      <c r="BC669" s="178"/>
    </row>
    <row r="670" spans="1:55" ht="60">
      <c r="A670" s="18" t="s">
        <v>8</v>
      </c>
      <c r="B670" s="18" t="s">
        <v>1464</v>
      </c>
      <c r="C670" s="23" t="s">
        <v>10</v>
      </c>
      <c r="D670" s="23" t="s">
        <v>10</v>
      </c>
      <c r="E670" s="23" t="s">
        <v>10</v>
      </c>
      <c r="F670" s="23" t="s">
        <v>11</v>
      </c>
      <c r="G670" s="18" t="s">
        <v>1433</v>
      </c>
      <c r="H670" s="19">
        <v>0.34899999999999998</v>
      </c>
      <c r="I670" s="37">
        <v>240</v>
      </c>
      <c r="J670" s="19">
        <v>97</v>
      </c>
      <c r="K670" s="21" t="s">
        <v>1219</v>
      </c>
      <c r="L670" s="49" t="s">
        <v>1430</v>
      </c>
      <c r="M670" s="38" t="s">
        <v>1392</v>
      </c>
      <c r="N670" s="174">
        <v>43557</v>
      </c>
      <c r="O670" s="38" t="s">
        <v>1430</v>
      </c>
      <c r="P670" s="38" t="s">
        <v>17</v>
      </c>
      <c r="Q670" s="38" t="s">
        <v>17</v>
      </c>
      <c r="R670" s="151" t="s">
        <v>27</v>
      </c>
      <c r="S670" s="39" t="s">
        <v>11</v>
      </c>
      <c r="T670" s="39" t="s">
        <v>10</v>
      </c>
      <c r="U670" s="171">
        <v>1.9E-2</v>
      </c>
      <c r="V670" s="153"/>
      <c r="W670" s="153"/>
      <c r="X670" s="153">
        <v>38</v>
      </c>
      <c r="Y670" s="153">
        <v>40.5</v>
      </c>
      <c r="Z670" s="153">
        <v>43</v>
      </c>
      <c r="AA670" s="40">
        <v>3.4869799999999999E-2</v>
      </c>
      <c r="AB670" s="40">
        <v>6.9739599999999999E-2</v>
      </c>
      <c r="AC670" s="40">
        <v>0.10460939999999998</v>
      </c>
      <c r="AD670" s="40">
        <v>0.17434899999999998</v>
      </c>
      <c r="AE670" s="40">
        <v>0.26152349999999996</v>
      </c>
      <c r="AF670" s="40">
        <v>0.34869799999999995</v>
      </c>
      <c r="AG670" s="40">
        <v>95.154590000000013</v>
      </c>
      <c r="AH670" s="40">
        <v>95.805639999999997</v>
      </c>
      <c r="AI670" s="40">
        <v>96.649199999999993</v>
      </c>
      <c r="AJ670" s="40">
        <v>97.148089999999996</v>
      </c>
      <c r="AK670" s="40">
        <v>96.970150000000004</v>
      </c>
      <c r="AL670" s="40">
        <v>96.471029999999999</v>
      </c>
      <c r="AM670" s="40">
        <v>96.813199499999996</v>
      </c>
      <c r="AN670" s="40">
        <v>95.067849999999993</v>
      </c>
      <c r="AO670" s="40">
        <v>95.709399999999988</v>
      </c>
      <c r="AP670" s="40">
        <v>96.570779999999999</v>
      </c>
      <c r="AQ670" s="40">
        <v>97.112740000000002</v>
      </c>
      <c r="AR670" s="40">
        <v>96.976959999999991</v>
      </c>
      <c r="AS670" s="40">
        <v>96.463949999999983</v>
      </c>
      <c r="AT670" s="40">
        <v>96.791339300000004</v>
      </c>
      <c r="AU670" s="40">
        <v>95.001209999999986</v>
      </c>
      <c r="AV670" s="40">
        <v>95.632999999999996</v>
      </c>
      <c r="AW670" s="40">
        <v>96.469070000000016</v>
      </c>
      <c r="AX670" s="40">
        <v>97.071960000000004</v>
      </c>
      <c r="AY670" s="40">
        <v>96.959520000000012</v>
      </c>
      <c r="AZ670" s="40">
        <v>96.460439999999991</v>
      </c>
      <c r="BA670" s="40">
        <v>96.754666</v>
      </c>
      <c r="BB670" s="178">
        <v>43557</v>
      </c>
      <c r="BC670" s="178"/>
    </row>
    <row r="671" spans="1:55" ht="60">
      <c r="A671" s="18" t="s">
        <v>8</v>
      </c>
      <c r="B671" s="18" t="s">
        <v>1465</v>
      </c>
      <c r="C671" s="23" t="s">
        <v>10</v>
      </c>
      <c r="D671" s="23" t="s">
        <v>10</v>
      </c>
      <c r="E671" s="23" t="s">
        <v>10</v>
      </c>
      <c r="F671" s="23" t="s">
        <v>11</v>
      </c>
      <c r="G671" s="18" t="s">
        <v>1434</v>
      </c>
      <c r="H671" s="19">
        <v>0.34899999999999998</v>
      </c>
      <c r="I671" s="37">
        <v>240</v>
      </c>
      <c r="J671" s="19">
        <v>97</v>
      </c>
      <c r="K671" s="21" t="s">
        <v>1219</v>
      </c>
      <c r="L671" s="49" t="s">
        <v>1430</v>
      </c>
      <c r="M671" s="38" t="s">
        <v>1392</v>
      </c>
      <c r="N671" s="174">
        <v>43557</v>
      </c>
      <c r="O671" s="38" t="s">
        <v>1430</v>
      </c>
      <c r="P671" s="38" t="s">
        <v>17</v>
      </c>
      <c r="Q671" s="38" t="s">
        <v>17</v>
      </c>
      <c r="R671" s="151" t="s">
        <v>27</v>
      </c>
      <c r="S671" s="39" t="s">
        <v>11</v>
      </c>
      <c r="T671" s="39" t="s">
        <v>10</v>
      </c>
      <c r="U671" s="171">
        <v>1.9E-2</v>
      </c>
      <c r="V671" s="153"/>
      <c r="W671" s="153"/>
      <c r="X671" s="153">
        <v>38</v>
      </c>
      <c r="Y671" s="153">
        <v>40.5</v>
      </c>
      <c r="Z671" s="153">
        <v>43</v>
      </c>
      <c r="AA671" s="40">
        <v>3.4869799999999999E-2</v>
      </c>
      <c r="AB671" s="40">
        <v>6.9739599999999999E-2</v>
      </c>
      <c r="AC671" s="40">
        <v>0.10460939999999998</v>
      </c>
      <c r="AD671" s="40">
        <v>0.17434899999999998</v>
      </c>
      <c r="AE671" s="40">
        <v>0.26152349999999996</v>
      </c>
      <c r="AF671" s="40">
        <v>0.34869799999999995</v>
      </c>
      <c r="AG671" s="40">
        <v>95.154590000000013</v>
      </c>
      <c r="AH671" s="40">
        <v>95.805639999999997</v>
      </c>
      <c r="AI671" s="40">
        <v>96.649199999999993</v>
      </c>
      <c r="AJ671" s="40">
        <v>97.148089999999996</v>
      </c>
      <c r="AK671" s="40">
        <v>96.970150000000004</v>
      </c>
      <c r="AL671" s="40">
        <v>96.471029999999999</v>
      </c>
      <c r="AM671" s="40">
        <v>96.813199499999996</v>
      </c>
      <c r="AN671" s="40">
        <v>95.067849999999993</v>
      </c>
      <c r="AO671" s="40">
        <v>95.709399999999988</v>
      </c>
      <c r="AP671" s="40">
        <v>96.570779999999999</v>
      </c>
      <c r="AQ671" s="40">
        <v>97.112740000000002</v>
      </c>
      <c r="AR671" s="40">
        <v>96.976959999999991</v>
      </c>
      <c r="AS671" s="40">
        <v>96.463949999999983</v>
      </c>
      <c r="AT671" s="40">
        <v>96.791339300000004</v>
      </c>
      <c r="AU671" s="40">
        <v>95.001209999999986</v>
      </c>
      <c r="AV671" s="40">
        <v>95.632999999999996</v>
      </c>
      <c r="AW671" s="40">
        <v>96.469070000000016</v>
      </c>
      <c r="AX671" s="40">
        <v>97.071960000000004</v>
      </c>
      <c r="AY671" s="40">
        <v>96.959520000000012</v>
      </c>
      <c r="AZ671" s="40">
        <v>96.460439999999991</v>
      </c>
      <c r="BA671" s="40">
        <v>96.754666</v>
      </c>
      <c r="BB671" s="178">
        <v>43557</v>
      </c>
      <c r="BC671" s="178"/>
    </row>
    <row r="672" spans="1:55" ht="60">
      <c r="A672" s="18" t="s">
        <v>8</v>
      </c>
      <c r="B672" s="18" t="s">
        <v>1466</v>
      </c>
      <c r="C672" s="23" t="s">
        <v>10</v>
      </c>
      <c r="D672" s="23" t="s">
        <v>10</v>
      </c>
      <c r="E672" s="23" t="s">
        <v>10</v>
      </c>
      <c r="F672" s="23" t="s">
        <v>11</v>
      </c>
      <c r="G672" s="18" t="s">
        <v>1435</v>
      </c>
      <c r="H672" s="19">
        <v>0.34899999999999998</v>
      </c>
      <c r="I672" s="37">
        <v>240</v>
      </c>
      <c r="J672" s="19">
        <v>97</v>
      </c>
      <c r="K672" s="21" t="s">
        <v>1219</v>
      </c>
      <c r="L672" s="49" t="s">
        <v>1430</v>
      </c>
      <c r="M672" s="38" t="s">
        <v>1392</v>
      </c>
      <c r="N672" s="174">
        <v>43557</v>
      </c>
      <c r="O672" s="38" t="s">
        <v>1430</v>
      </c>
      <c r="P672" s="38" t="s">
        <v>17</v>
      </c>
      <c r="Q672" s="38" t="s">
        <v>17</v>
      </c>
      <c r="R672" s="151" t="s">
        <v>27</v>
      </c>
      <c r="S672" s="39" t="s">
        <v>11</v>
      </c>
      <c r="T672" s="39" t="s">
        <v>10</v>
      </c>
      <c r="U672" s="171">
        <v>1.9E-2</v>
      </c>
      <c r="V672" s="153"/>
      <c r="W672" s="153"/>
      <c r="X672" s="153">
        <v>38</v>
      </c>
      <c r="Y672" s="153">
        <v>40.5</v>
      </c>
      <c r="Z672" s="153">
        <v>43</v>
      </c>
      <c r="AA672" s="40">
        <v>3.4869799999999999E-2</v>
      </c>
      <c r="AB672" s="40">
        <v>6.9739599999999999E-2</v>
      </c>
      <c r="AC672" s="40">
        <v>0.10460939999999998</v>
      </c>
      <c r="AD672" s="40">
        <v>0.17434899999999998</v>
      </c>
      <c r="AE672" s="40">
        <v>0.26152349999999996</v>
      </c>
      <c r="AF672" s="40">
        <v>0.34869799999999995</v>
      </c>
      <c r="AG672" s="40">
        <v>95.154590000000013</v>
      </c>
      <c r="AH672" s="40">
        <v>95.805639999999997</v>
      </c>
      <c r="AI672" s="40">
        <v>96.649199999999993</v>
      </c>
      <c r="AJ672" s="40">
        <v>97.148089999999996</v>
      </c>
      <c r="AK672" s="40">
        <v>96.970150000000004</v>
      </c>
      <c r="AL672" s="40">
        <v>96.471029999999999</v>
      </c>
      <c r="AM672" s="40">
        <v>96.813199499999996</v>
      </c>
      <c r="AN672" s="40">
        <v>95.067849999999993</v>
      </c>
      <c r="AO672" s="40">
        <v>95.709399999999988</v>
      </c>
      <c r="AP672" s="40">
        <v>96.570779999999999</v>
      </c>
      <c r="AQ672" s="40">
        <v>97.112740000000002</v>
      </c>
      <c r="AR672" s="40">
        <v>96.976959999999991</v>
      </c>
      <c r="AS672" s="40">
        <v>96.463949999999983</v>
      </c>
      <c r="AT672" s="40">
        <v>96.791339300000004</v>
      </c>
      <c r="AU672" s="40">
        <v>95.001209999999986</v>
      </c>
      <c r="AV672" s="40">
        <v>95.632999999999996</v>
      </c>
      <c r="AW672" s="40">
        <v>96.469070000000016</v>
      </c>
      <c r="AX672" s="40">
        <v>97.071960000000004</v>
      </c>
      <c r="AY672" s="40">
        <v>96.959520000000012</v>
      </c>
      <c r="AZ672" s="40">
        <v>96.460439999999991</v>
      </c>
      <c r="BA672" s="40">
        <v>96.754666</v>
      </c>
      <c r="BB672" s="178">
        <v>43557</v>
      </c>
      <c r="BC672" s="178"/>
    </row>
    <row r="673" spans="1:55" ht="60">
      <c r="A673" s="18" t="s">
        <v>8</v>
      </c>
      <c r="B673" s="18" t="s">
        <v>1467</v>
      </c>
      <c r="C673" s="23" t="s">
        <v>10</v>
      </c>
      <c r="D673" s="23" t="s">
        <v>10</v>
      </c>
      <c r="E673" s="23" t="s">
        <v>10</v>
      </c>
      <c r="F673" s="23" t="s">
        <v>11</v>
      </c>
      <c r="G673" s="18" t="s">
        <v>1436</v>
      </c>
      <c r="H673" s="19">
        <v>0.34899999999999998</v>
      </c>
      <c r="I673" s="37">
        <v>240</v>
      </c>
      <c r="J673" s="19">
        <v>97</v>
      </c>
      <c r="K673" s="21" t="s">
        <v>1219</v>
      </c>
      <c r="L673" s="49" t="s">
        <v>1430</v>
      </c>
      <c r="M673" s="38" t="s">
        <v>1392</v>
      </c>
      <c r="N673" s="174">
        <v>43557</v>
      </c>
      <c r="O673" s="38" t="s">
        <v>1430</v>
      </c>
      <c r="P673" s="38" t="s">
        <v>17</v>
      </c>
      <c r="Q673" s="38" t="s">
        <v>17</v>
      </c>
      <c r="R673" s="151" t="s">
        <v>27</v>
      </c>
      <c r="S673" s="39" t="s">
        <v>11</v>
      </c>
      <c r="T673" s="39" t="s">
        <v>10</v>
      </c>
      <c r="U673" s="171">
        <v>1.9E-2</v>
      </c>
      <c r="V673" s="153"/>
      <c r="W673" s="153"/>
      <c r="X673" s="153">
        <v>38</v>
      </c>
      <c r="Y673" s="153">
        <v>40.5</v>
      </c>
      <c r="Z673" s="153">
        <v>43</v>
      </c>
      <c r="AA673" s="40">
        <v>3.4869799999999999E-2</v>
      </c>
      <c r="AB673" s="40">
        <v>6.9739599999999999E-2</v>
      </c>
      <c r="AC673" s="40">
        <v>0.10460939999999998</v>
      </c>
      <c r="AD673" s="40">
        <v>0.17434899999999998</v>
      </c>
      <c r="AE673" s="40">
        <v>0.26152349999999996</v>
      </c>
      <c r="AF673" s="40">
        <v>0.34869799999999995</v>
      </c>
      <c r="AG673" s="40">
        <v>95.154590000000013</v>
      </c>
      <c r="AH673" s="40">
        <v>95.805639999999997</v>
      </c>
      <c r="AI673" s="40">
        <v>96.649199999999993</v>
      </c>
      <c r="AJ673" s="40">
        <v>97.148089999999996</v>
      </c>
      <c r="AK673" s="40">
        <v>96.970150000000004</v>
      </c>
      <c r="AL673" s="40">
        <v>96.471029999999999</v>
      </c>
      <c r="AM673" s="40">
        <v>96.813199499999996</v>
      </c>
      <c r="AN673" s="40">
        <v>95.067849999999993</v>
      </c>
      <c r="AO673" s="40">
        <v>95.709399999999988</v>
      </c>
      <c r="AP673" s="40">
        <v>96.570779999999999</v>
      </c>
      <c r="AQ673" s="40">
        <v>97.112740000000002</v>
      </c>
      <c r="AR673" s="40">
        <v>96.976959999999991</v>
      </c>
      <c r="AS673" s="40">
        <v>96.463949999999983</v>
      </c>
      <c r="AT673" s="40">
        <v>96.791339300000004</v>
      </c>
      <c r="AU673" s="40">
        <v>95.001209999999986</v>
      </c>
      <c r="AV673" s="40">
        <v>95.632999999999996</v>
      </c>
      <c r="AW673" s="40">
        <v>96.469070000000016</v>
      </c>
      <c r="AX673" s="40">
        <v>97.071960000000004</v>
      </c>
      <c r="AY673" s="40">
        <v>96.959520000000012</v>
      </c>
      <c r="AZ673" s="40">
        <v>96.460439999999991</v>
      </c>
      <c r="BA673" s="40">
        <v>96.754666</v>
      </c>
      <c r="BB673" s="178">
        <v>43557</v>
      </c>
      <c r="BC673" s="178"/>
    </row>
    <row r="674" spans="1:55" ht="75">
      <c r="A674" s="18" t="s">
        <v>8</v>
      </c>
      <c r="B674" s="18" t="s">
        <v>394</v>
      </c>
      <c r="C674" s="23" t="s">
        <v>10</v>
      </c>
      <c r="D674" s="23" t="s">
        <v>10</v>
      </c>
      <c r="E674" s="23" t="s">
        <v>10</v>
      </c>
      <c r="F674" s="23" t="s">
        <v>11</v>
      </c>
      <c r="G674" s="147" t="s">
        <v>1291</v>
      </c>
      <c r="H674" s="125">
        <v>0.32</v>
      </c>
      <c r="I674" s="125">
        <v>208</v>
      </c>
      <c r="J674" s="125">
        <v>95.5</v>
      </c>
      <c r="K674" s="21" t="s">
        <v>1219</v>
      </c>
      <c r="L674" s="49" t="s">
        <v>1422</v>
      </c>
      <c r="M674" s="21" t="s">
        <v>1289</v>
      </c>
      <c r="N674" s="174">
        <v>43388</v>
      </c>
      <c r="O674" s="23" t="s">
        <v>1292</v>
      </c>
      <c r="P674" s="23" t="s">
        <v>17</v>
      </c>
      <c r="Q674" s="23" t="s">
        <v>17</v>
      </c>
      <c r="R674" s="150" t="s">
        <v>27</v>
      </c>
      <c r="S674" s="21" t="s">
        <v>10</v>
      </c>
      <c r="T674" s="21" t="s">
        <v>10</v>
      </c>
      <c r="U674" s="125">
        <v>0.02</v>
      </c>
      <c r="V674" s="125"/>
      <c r="W674" s="125"/>
      <c r="X674" s="125">
        <v>53</v>
      </c>
      <c r="Y674" s="125">
        <v>60</v>
      </c>
      <c r="Z674" s="125">
        <v>64</v>
      </c>
      <c r="AA674" s="126">
        <v>0.03</v>
      </c>
      <c r="AB674" s="126">
        <v>0.06</v>
      </c>
      <c r="AC674" s="126">
        <v>0.1</v>
      </c>
      <c r="AD674" s="126">
        <v>0.16</v>
      </c>
      <c r="AE674" s="126">
        <v>0.24</v>
      </c>
      <c r="AF674" s="126">
        <v>0.32</v>
      </c>
      <c r="AG674" s="126">
        <v>90.8</v>
      </c>
      <c r="AH674" s="126">
        <v>94.5</v>
      </c>
      <c r="AI674" s="126">
        <v>95.5</v>
      </c>
      <c r="AJ674" s="126">
        <v>96.2</v>
      </c>
      <c r="AK674" s="126">
        <v>96.1</v>
      </c>
      <c r="AL674" s="126">
        <v>95.9</v>
      </c>
      <c r="AM674" s="126">
        <v>95.7</v>
      </c>
      <c r="AN674" s="126">
        <v>90.2</v>
      </c>
      <c r="AO674" s="126">
        <v>94.5</v>
      </c>
      <c r="AP674" s="126">
        <v>95.5</v>
      </c>
      <c r="AQ674" s="126">
        <v>96.2</v>
      </c>
      <c r="AR674" s="126">
        <v>96.1</v>
      </c>
      <c r="AS674" s="126">
        <v>95.9</v>
      </c>
      <c r="AT674" s="126">
        <v>95.7</v>
      </c>
      <c r="AU674" s="126">
        <v>89.4</v>
      </c>
      <c r="AV674" s="126">
        <v>94.1</v>
      </c>
      <c r="AW674" s="126">
        <v>95.3</v>
      </c>
      <c r="AX674" s="126">
        <v>96.2</v>
      </c>
      <c r="AY674" s="126">
        <v>96.2</v>
      </c>
      <c r="AZ674" s="126">
        <v>95.9</v>
      </c>
      <c r="BA674" s="126">
        <v>95.7</v>
      </c>
      <c r="BB674" s="174">
        <v>42979</v>
      </c>
      <c r="BC674" s="174">
        <v>43511</v>
      </c>
    </row>
    <row r="675" spans="1:55" ht="75">
      <c r="A675" s="18" t="s">
        <v>8</v>
      </c>
      <c r="B675" s="18" t="s">
        <v>395</v>
      </c>
      <c r="C675" s="23" t="s">
        <v>10</v>
      </c>
      <c r="D675" s="23" t="s">
        <v>10</v>
      </c>
      <c r="E675" s="23" t="s">
        <v>10</v>
      </c>
      <c r="F675" s="23" t="s">
        <v>11</v>
      </c>
      <c r="G675" s="147" t="s">
        <v>1295</v>
      </c>
      <c r="H675" s="19">
        <v>0.32</v>
      </c>
      <c r="I675" s="19">
        <v>240</v>
      </c>
      <c r="J675" s="19">
        <v>96</v>
      </c>
      <c r="K675" s="21" t="s">
        <v>1219</v>
      </c>
      <c r="L675" s="49" t="s">
        <v>1422</v>
      </c>
      <c r="M675" s="21" t="s">
        <v>1289</v>
      </c>
      <c r="N675" s="174">
        <v>43393</v>
      </c>
      <c r="O675" s="23" t="s">
        <v>1292</v>
      </c>
      <c r="P675" s="23" t="s">
        <v>17</v>
      </c>
      <c r="Q675" s="23" t="s">
        <v>17</v>
      </c>
      <c r="R675" s="150" t="s">
        <v>27</v>
      </c>
      <c r="S675" s="21" t="s">
        <v>10</v>
      </c>
      <c r="T675" s="20" t="s">
        <v>10</v>
      </c>
      <c r="U675" s="19">
        <v>0.1</v>
      </c>
      <c r="V675" s="19"/>
      <c r="W675" s="19"/>
      <c r="X675" s="19">
        <v>53</v>
      </c>
      <c r="Y675" s="19">
        <v>60</v>
      </c>
      <c r="Z675" s="19">
        <v>64</v>
      </c>
      <c r="AA675" s="40">
        <v>0.03</v>
      </c>
      <c r="AB675" s="40">
        <v>0.06</v>
      </c>
      <c r="AC675" s="40">
        <v>0.1</v>
      </c>
      <c r="AD675" s="40">
        <v>0.16</v>
      </c>
      <c r="AE675" s="40">
        <v>0.24</v>
      </c>
      <c r="AF675" s="40">
        <v>0.32</v>
      </c>
      <c r="AG675" s="40">
        <v>89.7</v>
      </c>
      <c r="AH675" s="40">
        <v>94.1</v>
      </c>
      <c r="AI675" s="40">
        <v>95.3</v>
      </c>
      <c r="AJ675" s="40">
        <v>96.2</v>
      </c>
      <c r="AK675" s="40">
        <v>96.1</v>
      </c>
      <c r="AL675" s="40">
        <v>95.9</v>
      </c>
      <c r="AM675" s="40">
        <v>95.7</v>
      </c>
      <c r="AN675" s="40">
        <v>90</v>
      </c>
      <c r="AO675" s="40">
        <v>94.3</v>
      </c>
      <c r="AP675" s="40">
        <v>95.4</v>
      </c>
      <c r="AQ675" s="40">
        <v>96.3</v>
      </c>
      <c r="AR675" s="40">
        <v>96.3</v>
      </c>
      <c r="AS675" s="40">
        <v>96.2</v>
      </c>
      <c r="AT675" s="40">
        <v>95.8</v>
      </c>
      <c r="AU675" s="40">
        <v>89.6</v>
      </c>
      <c r="AV675" s="40">
        <v>94</v>
      </c>
      <c r="AW675" s="40">
        <v>95.2</v>
      </c>
      <c r="AX675" s="40">
        <v>96.3</v>
      </c>
      <c r="AY675" s="40">
        <v>96.4</v>
      </c>
      <c r="AZ675" s="40">
        <v>96.2</v>
      </c>
      <c r="BA675" s="40">
        <v>95.8</v>
      </c>
      <c r="BB675" s="174">
        <v>42979</v>
      </c>
      <c r="BC675" s="174">
        <v>43511</v>
      </c>
    </row>
    <row r="676" spans="1:55" ht="60">
      <c r="A676" s="140" t="s">
        <v>8</v>
      </c>
      <c r="B676" s="140" t="s">
        <v>1195</v>
      </c>
      <c r="C676" s="26" t="s">
        <v>10</v>
      </c>
      <c r="D676" s="26" t="s">
        <v>10</v>
      </c>
      <c r="E676" s="23" t="s">
        <v>10</v>
      </c>
      <c r="F676" s="23" t="s">
        <v>11</v>
      </c>
      <c r="G676" s="140" t="s">
        <v>1203</v>
      </c>
      <c r="H676" s="149">
        <v>0.315</v>
      </c>
      <c r="I676" s="129">
        <v>208</v>
      </c>
      <c r="J676" s="137">
        <v>97</v>
      </c>
      <c r="K676" s="21" t="s">
        <v>1219</v>
      </c>
      <c r="L676" s="58" t="s">
        <v>1151</v>
      </c>
      <c r="M676" s="38" t="s">
        <v>759</v>
      </c>
      <c r="N676" s="175">
        <v>43467</v>
      </c>
      <c r="O676" s="58" t="s">
        <v>1151</v>
      </c>
      <c r="P676" s="23" t="s">
        <v>17</v>
      </c>
      <c r="Q676" s="23" t="s">
        <v>17</v>
      </c>
      <c r="R676" s="152" t="s">
        <v>1196</v>
      </c>
      <c r="S676" s="131" t="s">
        <v>11</v>
      </c>
      <c r="T676" s="131" t="s">
        <v>10</v>
      </c>
      <c r="U676" s="132">
        <v>2.1000000000000001E-2</v>
      </c>
      <c r="V676" s="133"/>
      <c r="W676" s="133"/>
      <c r="X676" s="133">
        <v>53</v>
      </c>
      <c r="Y676" s="133">
        <v>60</v>
      </c>
      <c r="Z676" s="133">
        <v>64</v>
      </c>
      <c r="AA676" s="132">
        <v>3.15E-2</v>
      </c>
      <c r="AB676" s="132">
        <v>6.3E-2</v>
      </c>
      <c r="AC676" s="132">
        <v>9.4500000000000001E-2</v>
      </c>
      <c r="AD676" s="132">
        <v>0.1575</v>
      </c>
      <c r="AE676" s="132">
        <v>0.23625000000000002</v>
      </c>
      <c r="AF676" s="132">
        <v>0.315</v>
      </c>
      <c r="AG676" s="137">
        <v>90.483609999999999</v>
      </c>
      <c r="AH676" s="137">
        <v>96.662759999999992</v>
      </c>
      <c r="AI676" s="137">
        <v>97.099880000000013</v>
      </c>
      <c r="AJ676" s="137">
        <v>97.635729999999995</v>
      </c>
      <c r="AK676" s="137">
        <v>97.524219999999985</v>
      </c>
      <c r="AL676" s="137">
        <v>97.103530000000006</v>
      </c>
      <c r="AM676" s="137">
        <v>97.150984399999999</v>
      </c>
      <c r="AN676" s="137">
        <v>95.414170000000013</v>
      </c>
      <c r="AO676" s="137">
        <v>96.465389999999999</v>
      </c>
      <c r="AP676" s="137">
        <v>96.900779999999997</v>
      </c>
      <c r="AQ676" s="137">
        <v>97.542020000000008</v>
      </c>
      <c r="AR676" s="137">
        <v>97.461279999999988</v>
      </c>
      <c r="AS676" s="137">
        <v>97.049990000000008</v>
      </c>
      <c r="AT676" s="137">
        <v>97.258731999999981</v>
      </c>
      <c r="AU676" s="137">
        <v>95.270490000000009</v>
      </c>
      <c r="AV676" s="137">
        <v>96.333490000000012</v>
      </c>
      <c r="AW676" s="137">
        <v>96.813520000000011</v>
      </c>
      <c r="AX676" s="137">
        <v>97.502470000000002</v>
      </c>
      <c r="AY676" s="137">
        <v>97.42989</v>
      </c>
      <c r="AZ676" s="137">
        <v>97.019700000000014</v>
      </c>
      <c r="BA676" s="137">
        <v>97.209461900000008</v>
      </c>
      <c r="BB676" s="176">
        <v>43467</v>
      </c>
      <c r="BC676" s="175"/>
    </row>
    <row r="677" spans="1:55" ht="60">
      <c r="A677" s="140" t="s">
        <v>8</v>
      </c>
      <c r="B677" s="140" t="s">
        <v>1197</v>
      </c>
      <c r="C677" s="26" t="s">
        <v>10</v>
      </c>
      <c r="D677" s="26" t="s">
        <v>10</v>
      </c>
      <c r="E677" s="23" t="s">
        <v>10</v>
      </c>
      <c r="F677" s="23" t="s">
        <v>11</v>
      </c>
      <c r="G677" s="140" t="s">
        <v>1202</v>
      </c>
      <c r="H677" s="149">
        <v>0.315</v>
      </c>
      <c r="I677" s="129">
        <v>240</v>
      </c>
      <c r="J677" s="137">
        <v>97.5</v>
      </c>
      <c r="K677" s="21" t="s">
        <v>1219</v>
      </c>
      <c r="L677" s="58" t="s">
        <v>1151</v>
      </c>
      <c r="M677" s="38" t="s">
        <v>759</v>
      </c>
      <c r="N677" s="175">
        <v>43467</v>
      </c>
      <c r="O677" s="58" t="s">
        <v>1151</v>
      </c>
      <c r="P677" s="23" t="s">
        <v>17</v>
      </c>
      <c r="Q677" s="23" t="s">
        <v>17</v>
      </c>
      <c r="R677" s="152" t="s">
        <v>1196</v>
      </c>
      <c r="S677" s="131" t="s">
        <v>11</v>
      </c>
      <c r="T677" s="131" t="s">
        <v>10</v>
      </c>
      <c r="U677" s="132">
        <v>2.1000000000000001E-2</v>
      </c>
      <c r="V677" s="133"/>
      <c r="W677" s="133"/>
      <c r="X677" s="133">
        <v>53</v>
      </c>
      <c r="Y677" s="133">
        <v>60</v>
      </c>
      <c r="Z677" s="133">
        <v>64</v>
      </c>
      <c r="AA677" s="132">
        <v>3.15E-2</v>
      </c>
      <c r="AB677" s="132">
        <v>6.3E-2</v>
      </c>
      <c r="AC677" s="132">
        <v>9.4500000000000001E-2</v>
      </c>
      <c r="AD677" s="132">
        <v>0.1575</v>
      </c>
      <c r="AE677" s="132">
        <v>0.23625000000000002</v>
      </c>
      <c r="AF677" s="132">
        <v>0.315</v>
      </c>
      <c r="AG677" s="137">
        <v>95.734780000000015</v>
      </c>
      <c r="AH677" s="137">
        <v>96.840240000000009</v>
      </c>
      <c r="AI677" s="137">
        <v>96.996160000000003</v>
      </c>
      <c r="AJ677" s="137">
        <v>97.762709999999998</v>
      </c>
      <c r="AK677" s="137">
        <v>97.755849999999981</v>
      </c>
      <c r="AL677" s="137">
        <v>97.46862999999999</v>
      </c>
      <c r="AM677" s="137">
        <v>97.525143499999984</v>
      </c>
      <c r="AN677" s="137">
        <v>95.610320000000002</v>
      </c>
      <c r="AO677" s="137">
        <v>96.678239999999988</v>
      </c>
      <c r="AP677" s="137">
        <v>96.754879999999986</v>
      </c>
      <c r="AQ677" s="137">
        <v>97.666660000000007</v>
      </c>
      <c r="AR677" s="137">
        <v>97.739180000000005</v>
      </c>
      <c r="AS677" s="137">
        <v>97.513729999999981</v>
      </c>
      <c r="AT677" s="137">
        <v>97.456360900000007</v>
      </c>
      <c r="AU677" s="137">
        <v>95.436540000000008</v>
      </c>
      <c r="AV677" s="137">
        <v>96.497949999999989</v>
      </c>
      <c r="AW677" s="137">
        <v>96.657110000000017</v>
      </c>
      <c r="AX677" s="137">
        <v>97.603840000000019</v>
      </c>
      <c r="AY677" s="137">
        <v>97.700140000000005</v>
      </c>
      <c r="AZ677" s="137">
        <v>97.48254</v>
      </c>
      <c r="BA677" s="137">
        <v>97.393219900000005</v>
      </c>
      <c r="BB677" s="176">
        <v>43467</v>
      </c>
      <c r="BC677" s="175"/>
    </row>
    <row r="678" spans="1:55" ht="75">
      <c r="A678" s="18" t="s">
        <v>8</v>
      </c>
      <c r="B678" s="18" t="s">
        <v>396</v>
      </c>
      <c r="C678" s="23" t="s">
        <v>10</v>
      </c>
      <c r="D678" s="23" t="s">
        <v>10</v>
      </c>
      <c r="E678" s="23" t="s">
        <v>10</v>
      </c>
      <c r="F678" s="23" t="s">
        <v>11</v>
      </c>
      <c r="G678" s="147" t="s">
        <v>1293</v>
      </c>
      <c r="H678" s="19">
        <v>0.32</v>
      </c>
      <c r="I678" s="19">
        <v>208</v>
      </c>
      <c r="J678" s="19">
        <v>95.5</v>
      </c>
      <c r="K678" s="21" t="s">
        <v>1219</v>
      </c>
      <c r="L678" s="49" t="s">
        <v>1422</v>
      </c>
      <c r="M678" s="21" t="s">
        <v>1289</v>
      </c>
      <c r="N678" s="174">
        <v>43389</v>
      </c>
      <c r="O678" s="23" t="s">
        <v>1292</v>
      </c>
      <c r="P678" s="23" t="s">
        <v>17</v>
      </c>
      <c r="Q678" s="23" t="s">
        <v>17</v>
      </c>
      <c r="R678" s="150" t="s">
        <v>27</v>
      </c>
      <c r="S678" s="21" t="s">
        <v>10</v>
      </c>
      <c r="T678" s="20" t="s">
        <v>10</v>
      </c>
      <c r="U678" s="19">
        <v>0.02</v>
      </c>
      <c r="V678" s="19"/>
      <c r="W678" s="19"/>
      <c r="X678" s="19">
        <v>53</v>
      </c>
      <c r="Y678" s="19">
        <v>60</v>
      </c>
      <c r="Z678" s="19">
        <v>64</v>
      </c>
      <c r="AA678" s="40">
        <v>0.03</v>
      </c>
      <c r="AB678" s="40">
        <v>0.06</v>
      </c>
      <c r="AC678" s="40">
        <v>0.1</v>
      </c>
      <c r="AD678" s="40">
        <v>0.16</v>
      </c>
      <c r="AE678" s="40">
        <v>0.24</v>
      </c>
      <c r="AF678" s="40">
        <v>0.32</v>
      </c>
      <c r="AG678" s="40">
        <v>90.8</v>
      </c>
      <c r="AH678" s="40">
        <v>94.5</v>
      </c>
      <c r="AI678" s="40">
        <v>95.5</v>
      </c>
      <c r="AJ678" s="40">
        <v>96.2</v>
      </c>
      <c r="AK678" s="40">
        <v>96.1</v>
      </c>
      <c r="AL678" s="40">
        <v>95.9</v>
      </c>
      <c r="AM678" s="40">
        <v>95.7</v>
      </c>
      <c r="AN678" s="40">
        <v>90.2</v>
      </c>
      <c r="AO678" s="40">
        <v>94.5</v>
      </c>
      <c r="AP678" s="40">
        <v>95.5</v>
      </c>
      <c r="AQ678" s="40">
        <v>96.2</v>
      </c>
      <c r="AR678" s="40">
        <v>96.1</v>
      </c>
      <c r="AS678" s="40">
        <v>95.9</v>
      </c>
      <c r="AT678" s="40">
        <v>95.7</v>
      </c>
      <c r="AU678" s="40">
        <v>89.4</v>
      </c>
      <c r="AV678" s="40">
        <v>94.1</v>
      </c>
      <c r="AW678" s="40">
        <v>95.3</v>
      </c>
      <c r="AX678" s="40">
        <v>96.2</v>
      </c>
      <c r="AY678" s="40">
        <v>96.2</v>
      </c>
      <c r="AZ678" s="40">
        <v>95.9</v>
      </c>
      <c r="BA678" s="40">
        <v>95.7</v>
      </c>
      <c r="BB678" s="174">
        <v>42979</v>
      </c>
      <c r="BC678" s="174">
        <v>43511</v>
      </c>
    </row>
    <row r="679" spans="1:55" ht="75">
      <c r="A679" s="18" t="s">
        <v>8</v>
      </c>
      <c r="B679" s="18" t="s">
        <v>397</v>
      </c>
      <c r="C679" s="23" t="s">
        <v>10</v>
      </c>
      <c r="D679" s="23" t="s">
        <v>10</v>
      </c>
      <c r="E679" s="23" t="s">
        <v>10</v>
      </c>
      <c r="F679" s="23" t="s">
        <v>11</v>
      </c>
      <c r="G679" s="147" t="s">
        <v>1296</v>
      </c>
      <c r="H679" s="19">
        <v>0.32</v>
      </c>
      <c r="I679" s="19">
        <v>240</v>
      </c>
      <c r="J679" s="19">
        <v>96</v>
      </c>
      <c r="K679" s="21" t="s">
        <v>1219</v>
      </c>
      <c r="L679" s="49" t="s">
        <v>1422</v>
      </c>
      <c r="M679" s="21" t="s">
        <v>1289</v>
      </c>
      <c r="N679" s="174">
        <v>43394</v>
      </c>
      <c r="O679" s="23" t="s">
        <v>1292</v>
      </c>
      <c r="P679" s="23" t="s">
        <v>17</v>
      </c>
      <c r="Q679" s="23" t="s">
        <v>17</v>
      </c>
      <c r="R679" s="150" t="s">
        <v>27</v>
      </c>
      <c r="S679" s="21" t="s">
        <v>10</v>
      </c>
      <c r="T679" s="20" t="s">
        <v>10</v>
      </c>
      <c r="U679" s="19">
        <v>0.1</v>
      </c>
      <c r="V679" s="19"/>
      <c r="W679" s="19"/>
      <c r="X679" s="19">
        <v>53</v>
      </c>
      <c r="Y679" s="19">
        <v>60</v>
      </c>
      <c r="Z679" s="19">
        <v>64</v>
      </c>
      <c r="AA679" s="40">
        <v>0.03</v>
      </c>
      <c r="AB679" s="40">
        <v>0.06</v>
      </c>
      <c r="AC679" s="40">
        <v>0.1</v>
      </c>
      <c r="AD679" s="40">
        <v>0.16</v>
      </c>
      <c r="AE679" s="40">
        <v>0.24</v>
      </c>
      <c r="AF679" s="40">
        <v>0.32</v>
      </c>
      <c r="AG679" s="40">
        <v>89.7</v>
      </c>
      <c r="AH679" s="40">
        <v>94.1</v>
      </c>
      <c r="AI679" s="40">
        <v>95.3</v>
      </c>
      <c r="AJ679" s="40">
        <v>96.2</v>
      </c>
      <c r="AK679" s="40">
        <v>96.1</v>
      </c>
      <c r="AL679" s="40">
        <v>95.9</v>
      </c>
      <c r="AM679" s="40">
        <v>95.7</v>
      </c>
      <c r="AN679" s="40">
        <v>90</v>
      </c>
      <c r="AO679" s="40">
        <v>94.3</v>
      </c>
      <c r="AP679" s="40">
        <v>95.4</v>
      </c>
      <c r="AQ679" s="40">
        <v>96.3</v>
      </c>
      <c r="AR679" s="40">
        <v>96.3</v>
      </c>
      <c r="AS679" s="40">
        <v>96.2</v>
      </c>
      <c r="AT679" s="40">
        <v>95.8</v>
      </c>
      <c r="AU679" s="40">
        <v>89.6</v>
      </c>
      <c r="AV679" s="40">
        <v>94</v>
      </c>
      <c r="AW679" s="40">
        <v>95.2</v>
      </c>
      <c r="AX679" s="40">
        <v>96.3</v>
      </c>
      <c r="AY679" s="40">
        <v>96.4</v>
      </c>
      <c r="AZ679" s="40">
        <v>96.2</v>
      </c>
      <c r="BA679" s="40">
        <v>95.8</v>
      </c>
      <c r="BB679" s="174">
        <v>42979</v>
      </c>
      <c r="BC679" s="174">
        <v>43511</v>
      </c>
    </row>
    <row r="680" spans="1:55" ht="60">
      <c r="A680" s="140" t="s">
        <v>8</v>
      </c>
      <c r="B680" s="140" t="s">
        <v>1198</v>
      </c>
      <c r="C680" s="26" t="s">
        <v>10</v>
      </c>
      <c r="D680" s="26" t="s">
        <v>10</v>
      </c>
      <c r="E680" s="23" t="s">
        <v>10</v>
      </c>
      <c r="F680" s="23" t="s">
        <v>11</v>
      </c>
      <c r="G680" s="140" t="s">
        <v>1201</v>
      </c>
      <c r="H680" s="149">
        <v>0.315</v>
      </c>
      <c r="I680" s="129">
        <v>208</v>
      </c>
      <c r="J680" s="137">
        <v>97</v>
      </c>
      <c r="K680" s="21" t="s">
        <v>1219</v>
      </c>
      <c r="L680" s="58" t="s">
        <v>1151</v>
      </c>
      <c r="M680" s="38" t="s">
        <v>759</v>
      </c>
      <c r="N680" s="175">
        <v>43467</v>
      </c>
      <c r="O680" s="58" t="s">
        <v>1151</v>
      </c>
      <c r="P680" s="23" t="s">
        <v>17</v>
      </c>
      <c r="Q680" s="23" t="s">
        <v>17</v>
      </c>
      <c r="R680" s="152" t="s">
        <v>1196</v>
      </c>
      <c r="S680" s="131" t="s">
        <v>11</v>
      </c>
      <c r="T680" s="131" t="s">
        <v>10</v>
      </c>
      <c r="U680" s="132">
        <v>2.1000000000000001E-2</v>
      </c>
      <c r="V680" s="133"/>
      <c r="W680" s="133"/>
      <c r="X680" s="133">
        <v>53</v>
      </c>
      <c r="Y680" s="133">
        <v>60</v>
      </c>
      <c r="Z680" s="133">
        <v>64</v>
      </c>
      <c r="AA680" s="132">
        <v>3.15E-2</v>
      </c>
      <c r="AB680" s="132">
        <v>6.3E-2</v>
      </c>
      <c r="AC680" s="132">
        <v>9.4500000000000001E-2</v>
      </c>
      <c r="AD680" s="132">
        <v>0.1575</v>
      </c>
      <c r="AE680" s="132">
        <v>0.23625000000000002</v>
      </c>
      <c r="AF680" s="132">
        <v>0.315</v>
      </c>
      <c r="AG680" s="137">
        <v>90.483609999999999</v>
      </c>
      <c r="AH680" s="137">
        <v>96.662759999999992</v>
      </c>
      <c r="AI680" s="137">
        <v>97.099880000000013</v>
      </c>
      <c r="AJ680" s="137">
        <v>97.635729999999995</v>
      </c>
      <c r="AK680" s="137">
        <v>97.524219999999985</v>
      </c>
      <c r="AL680" s="137">
        <v>97.103530000000006</v>
      </c>
      <c r="AM680" s="137">
        <v>97.150984399999999</v>
      </c>
      <c r="AN680" s="137">
        <v>95.414170000000013</v>
      </c>
      <c r="AO680" s="137">
        <v>96.465389999999999</v>
      </c>
      <c r="AP680" s="137">
        <v>96.900779999999997</v>
      </c>
      <c r="AQ680" s="137">
        <v>97.542020000000008</v>
      </c>
      <c r="AR680" s="137">
        <v>97.461279999999988</v>
      </c>
      <c r="AS680" s="137">
        <v>97.049990000000008</v>
      </c>
      <c r="AT680" s="137">
        <v>97.258731999999981</v>
      </c>
      <c r="AU680" s="137">
        <v>95.270490000000009</v>
      </c>
      <c r="AV680" s="137">
        <v>96.333490000000012</v>
      </c>
      <c r="AW680" s="137">
        <v>96.813520000000011</v>
      </c>
      <c r="AX680" s="137">
        <v>97.502470000000002</v>
      </c>
      <c r="AY680" s="137">
        <v>97.42989</v>
      </c>
      <c r="AZ680" s="137">
        <v>97.019700000000014</v>
      </c>
      <c r="BA680" s="137">
        <v>97.209461900000008</v>
      </c>
      <c r="BB680" s="176">
        <v>43467</v>
      </c>
      <c r="BC680" s="175"/>
    </row>
    <row r="681" spans="1:55" ht="60">
      <c r="A681" s="140" t="s">
        <v>8</v>
      </c>
      <c r="B681" s="140" t="s">
        <v>1199</v>
      </c>
      <c r="C681" s="26" t="s">
        <v>10</v>
      </c>
      <c r="D681" s="26" t="s">
        <v>10</v>
      </c>
      <c r="E681" s="23" t="s">
        <v>10</v>
      </c>
      <c r="F681" s="23" t="s">
        <v>11</v>
      </c>
      <c r="G681" s="140" t="s">
        <v>1200</v>
      </c>
      <c r="H681" s="149">
        <v>0.315</v>
      </c>
      <c r="I681" s="129">
        <v>240</v>
      </c>
      <c r="J681" s="137">
        <v>97.5</v>
      </c>
      <c r="K681" s="21" t="s">
        <v>1219</v>
      </c>
      <c r="L681" s="58" t="s">
        <v>1151</v>
      </c>
      <c r="M681" s="38" t="s">
        <v>759</v>
      </c>
      <c r="N681" s="175">
        <v>43467</v>
      </c>
      <c r="O681" s="58" t="s">
        <v>1151</v>
      </c>
      <c r="P681" s="23" t="s">
        <v>17</v>
      </c>
      <c r="Q681" s="23" t="s">
        <v>17</v>
      </c>
      <c r="R681" s="152" t="s">
        <v>1196</v>
      </c>
      <c r="S681" s="131" t="s">
        <v>11</v>
      </c>
      <c r="T681" s="131" t="s">
        <v>10</v>
      </c>
      <c r="U681" s="132">
        <v>2.1000000000000001E-2</v>
      </c>
      <c r="V681" s="133"/>
      <c r="W681" s="133"/>
      <c r="X681" s="133">
        <v>53</v>
      </c>
      <c r="Y681" s="133">
        <v>60</v>
      </c>
      <c r="Z681" s="133">
        <v>64</v>
      </c>
      <c r="AA681" s="132">
        <v>3.15E-2</v>
      </c>
      <c r="AB681" s="132">
        <v>6.3E-2</v>
      </c>
      <c r="AC681" s="132">
        <v>9.4500000000000001E-2</v>
      </c>
      <c r="AD681" s="132">
        <v>0.1575</v>
      </c>
      <c r="AE681" s="132">
        <v>0.23625000000000002</v>
      </c>
      <c r="AF681" s="132">
        <v>0.315</v>
      </c>
      <c r="AG681" s="137">
        <v>95.734780000000015</v>
      </c>
      <c r="AH681" s="137">
        <v>96.840240000000009</v>
      </c>
      <c r="AI681" s="137">
        <v>96.996160000000003</v>
      </c>
      <c r="AJ681" s="137">
        <v>97.762709999999998</v>
      </c>
      <c r="AK681" s="137">
        <v>97.755849999999981</v>
      </c>
      <c r="AL681" s="137">
        <v>97.46862999999999</v>
      </c>
      <c r="AM681" s="137">
        <v>97.525143499999984</v>
      </c>
      <c r="AN681" s="137">
        <v>95.610320000000002</v>
      </c>
      <c r="AO681" s="137">
        <v>96.678239999999988</v>
      </c>
      <c r="AP681" s="137">
        <v>96.754879999999986</v>
      </c>
      <c r="AQ681" s="137">
        <v>97.666660000000007</v>
      </c>
      <c r="AR681" s="137">
        <v>97.739180000000005</v>
      </c>
      <c r="AS681" s="137">
        <v>97.513729999999981</v>
      </c>
      <c r="AT681" s="137">
        <v>97.456360900000007</v>
      </c>
      <c r="AU681" s="137">
        <v>95.436540000000008</v>
      </c>
      <c r="AV681" s="137">
        <v>96.497949999999989</v>
      </c>
      <c r="AW681" s="137">
        <v>96.657110000000017</v>
      </c>
      <c r="AX681" s="137">
        <v>97.603840000000019</v>
      </c>
      <c r="AY681" s="137">
        <v>97.700140000000005</v>
      </c>
      <c r="AZ681" s="137">
        <v>97.48254</v>
      </c>
      <c r="BA681" s="137">
        <v>97.393219900000005</v>
      </c>
      <c r="BB681" s="176">
        <v>43467</v>
      </c>
      <c r="BC681" s="175"/>
    </row>
    <row r="682" spans="1:55" ht="60">
      <c r="A682" s="18" t="s">
        <v>8</v>
      </c>
      <c r="B682" s="18" t="s">
        <v>1782</v>
      </c>
      <c r="C682" s="23" t="s">
        <v>10</v>
      </c>
      <c r="D682" s="23" t="s">
        <v>10</v>
      </c>
      <c r="E682" s="23" t="s">
        <v>10</v>
      </c>
      <c r="F682" s="23" t="s">
        <v>11</v>
      </c>
      <c r="G682" s="18" t="s">
        <v>1771</v>
      </c>
      <c r="H682" s="19">
        <v>0.315</v>
      </c>
      <c r="I682" s="37">
        <v>240</v>
      </c>
      <c r="J682" s="19">
        <v>97.5</v>
      </c>
      <c r="K682" s="20" t="s">
        <v>1219</v>
      </c>
      <c r="L682" s="49" t="s">
        <v>1770</v>
      </c>
      <c r="M682" s="38" t="s">
        <v>759</v>
      </c>
      <c r="N682" s="124">
        <v>43692</v>
      </c>
      <c r="O682" s="38" t="s">
        <v>1770</v>
      </c>
      <c r="P682" s="38" t="s">
        <v>17</v>
      </c>
      <c r="Q682" s="38" t="s">
        <v>17</v>
      </c>
      <c r="R682" s="151" t="s">
        <v>760</v>
      </c>
      <c r="S682" s="39" t="s">
        <v>11</v>
      </c>
      <c r="T682" s="39" t="s">
        <v>10</v>
      </c>
      <c r="U682" s="153">
        <v>2.1000000000000001E-2</v>
      </c>
      <c r="V682" s="153"/>
      <c r="W682" s="153"/>
      <c r="X682" s="153">
        <v>53</v>
      </c>
      <c r="Y682" s="153">
        <v>60</v>
      </c>
      <c r="Z682" s="153">
        <v>64</v>
      </c>
      <c r="AA682" s="40">
        <v>3.15E-2</v>
      </c>
      <c r="AB682" s="40">
        <v>6.3E-2</v>
      </c>
      <c r="AC682" s="40">
        <v>9.4500000000000001E-2</v>
      </c>
      <c r="AD682" s="40">
        <v>0.1575</v>
      </c>
      <c r="AE682" s="40">
        <v>0.23625000000000002</v>
      </c>
      <c r="AF682" s="40">
        <v>0.315</v>
      </c>
      <c r="AG682" s="40">
        <v>90.483609999999999</v>
      </c>
      <c r="AH682" s="40">
        <v>96.662759999999992</v>
      </c>
      <c r="AI682" s="40">
        <v>97.099880000000013</v>
      </c>
      <c r="AJ682" s="40">
        <v>97.635729999999995</v>
      </c>
      <c r="AK682" s="40">
        <v>97.524219999999985</v>
      </c>
      <c r="AL682" s="40">
        <v>97.103530000000006</v>
      </c>
      <c r="AM682" s="40">
        <v>97.150984399999999</v>
      </c>
      <c r="AN682" s="40">
        <v>95.414170000000013</v>
      </c>
      <c r="AO682" s="40">
        <v>96.465389999999999</v>
      </c>
      <c r="AP682" s="40">
        <v>96.900779999999997</v>
      </c>
      <c r="AQ682" s="40">
        <v>97.542020000000008</v>
      </c>
      <c r="AR682" s="40">
        <v>97.461279999999988</v>
      </c>
      <c r="AS682" s="40">
        <v>97.049990000000008</v>
      </c>
      <c r="AT682" s="40">
        <v>97.258731999999981</v>
      </c>
      <c r="AU682" s="40">
        <v>95.270490000000009</v>
      </c>
      <c r="AV682" s="40">
        <v>96.333490000000012</v>
      </c>
      <c r="AW682" s="40">
        <v>96.813520000000011</v>
      </c>
      <c r="AX682" s="40">
        <v>97.502470000000002</v>
      </c>
      <c r="AY682" s="40">
        <v>97.42989</v>
      </c>
      <c r="AZ682" s="40">
        <v>97.019700000000014</v>
      </c>
      <c r="BA682" s="40">
        <v>97.209461900000008</v>
      </c>
      <c r="BB682" s="180">
        <v>43692</v>
      </c>
      <c r="BC682" s="180"/>
    </row>
    <row r="683" spans="1:55" ht="60">
      <c r="A683" s="18" t="s">
        <v>8</v>
      </c>
      <c r="B683" s="18" t="s">
        <v>1783</v>
      </c>
      <c r="C683" s="23" t="s">
        <v>10</v>
      </c>
      <c r="D683" s="23" t="s">
        <v>10</v>
      </c>
      <c r="E683" s="23" t="s">
        <v>10</v>
      </c>
      <c r="F683" s="23" t="s">
        <v>11</v>
      </c>
      <c r="G683" s="18" t="s">
        <v>1769</v>
      </c>
      <c r="H683" s="19">
        <v>0.315</v>
      </c>
      <c r="I683" s="37">
        <v>240</v>
      </c>
      <c r="J683" s="19">
        <v>97.5</v>
      </c>
      <c r="K683" s="20" t="s">
        <v>1219</v>
      </c>
      <c r="L683" s="49" t="s">
        <v>1770</v>
      </c>
      <c r="M683" s="38" t="s">
        <v>759</v>
      </c>
      <c r="N683" s="124">
        <v>43692</v>
      </c>
      <c r="O683" s="38" t="s">
        <v>1770</v>
      </c>
      <c r="P683" s="38" t="s">
        <v>17</v>
      </c>
      <c r="Q683" s="38" t="s">
        <v>17</v>
      </c>
      <c r="R683" s="151" t="s">
        <v>760</v>
      </c>
      <c r="S683" s="39" t="s">
        <v>11</v>
      </c>
      <c r="T683" s="39" t="s">
        <v>10</v>
      </c>
      <c r="U683" s="153">
        <v>2.1000000000000001E-2</v>
      </c>
      <c r="V683" s="153"/>
      <c r="W683" s="153"/>
      <c r="X683" s="153">
        <v>53</v>
      </c>
      <c r="Y683" s="153">
        <v>60</v>
      </c>
      <c r="Z683" s="153">
        <v>64</v>
      </c>
      <c r="AA683" s="40">
        <v>3.15E-2</v>
      </c>
      <c r="AB683" s="40">
        <v>6.3E-2</v>
      </c>
      <c r="AC683" s="40">
        <v>9.4500000000000001E-2</v>
      </c>
      <c r="AD683" s="40">
        <v>0.1575</v>
      </c>
      <c r="AE683" s="40">
        <v>0.23625000000000002</v>
      </c>
      <c r="AF683" s="40">
        <v>0.315</v>
      </c>
      <c r="AG683" s="40">
        <v>95.734780000000015</v>
      </c>
      <c r="AH683" s="40">
        <v>96.840240000000009</v>
      </c>
      <c r="AI683" s="40">
        <v>96.996160000000003</v>
      </c>
      <c r="AJ683" s="40">
        <v>97.762709999999998</v>
      </c>
      <c r="AK683" s="40">
        <v>97.755849999999981</v>
      </c>
      <c r="AL683" s="40">
        <v>97.46862999999999</v>
      </c>
      <c r="AM683" s="40">
        <v>97.525143499999984</v>
      </c>
      <c r="AN683" s="40">
        <v>95.610320000000002</v>
      </c>
      <c r="AO683" s="40">
        <v>96.678239999999988</v>
      </c>
      <c r="AP683" s="40">
        <v>96.754879999999986</v>
      </c>
      <c r="AQ683" s="40">
        <v>97.666660000000007</v>
      </c>
      <c r="AR683" s="40">
        <v>97.739180000000005</v>
      </c>
      <c r="AS683" s="40">
        <v>97.513729999999981</v>
      </c>
      <c r="AT683" s="40">
        <v>97.456360900000007</v>
      </c>
      <c r="AU683" s="40">
        <v>95.436540000000008</v>
      </c>
      <c r="AV683" s="40">
        <v>96.497949999999989</v>
      </c>
      <c r="AW683" s="40">
        <v>96.657110000000017</v>
      </c>
      <c r="AX683" s="40">
        <v>97.603840000000019</v>
      </c>
      <c r="AY683" s="40">
        <v>97.700140000000005</v>
      </c>
      <c r="AZ683" s="40">
        <v>97.48254</v>
      </c>
      <c r="BA683" s="40">
        <v>97.393219900000005</v>
      </c>
      <c r="BB683" s="180">
        <v>43692</v>
      </c>
      <c r="BC683" s="180"/>
    </row>
    <row r="684" spans="1:55" ht="75">
      <c r="A684" s="18" t="s">
        <v>8</v>
      </c>
      <c r="B684" s="18" t="s">
        <v>398</v>
      </c>
      <c r="C684" s="23" t="s">
        <v>10</v>
      </c>
      <c r="D684" s="23" t="s">
        <v>10</v>
      </c>
      <c r="E684" s="23" t="s">
        <v>10</v>
      </c>
      <c r="F684" s="23" t="s">
        <v>11</v>
      </c>
      <c r="G684" s="147" t="s">
        <v>1423</v>
      </c>
      <c r="H684" s="19">
        <v>0.32</v>
      </c>
      <c r="I684" s="19">
        <v>208</v>
      </c>
      <c r="J684" s="19">
        <v>95.5</v>
      </c>
      <c r="K684" s="21" t="s">
        <v>1219</v>
      </c>
      <c r="L684" s="49" t="s">
        <v>1422</v>
      </c>
      <c r="M684" s="21" t="s">
        <v>1289</v>
      </c>
      <c r="N684" s="174">
        <v>43390</v>
      </c>
      <c r="O684" s="23" t="s">
        <v>1292</v>
      </c>
      <c r="P684" s="23" t="s">
        <v>17</v>
      </c>
      <c r="Q684" s="23" t="s">
        <v>17</v>
      </c>
      <c r="R684" s="150" t="s">
        <v>27</v>
      </c>
      <c r="S684" s="21" t="s">
        <v>10</v>
      </c>
      <c r="T684" s="20" t="s">
        <v>10</v>
      </c>
      <c r="U684" s="19">
        <v>0.02</v>
      </c>
      <c r="V684" s="19"/>
      <c r="W684" s="19"/>
      <c r="X684" s="19">
        <v>53</v>
      </c>
      <c r="Y684" s="19">
        <v>60</v>
      </c>
      <c r="Z684" s="19">
        <v>64</v>
      </c>
      <c r="AA684" s="40">
        <v>0.03</v>
      </c>
      <c r="AB684" s="40">
        <v>0.06</v>
      </c>
      <c r="AC684" s="40">
        <v>0.1</v>
      </c>
      <c r="AD684" s="40">
        <v>0.16</v>
      </c>
      <c r="AE684" s="40">
        <v>0.24</v>
      </c>
      <c r="AF684" s="40">
        <v>0.32</v>
      </c>
      <c r="AG684" s="40">
        <v>90.8</v>
      </c>
      <c r="AH684" s="40">
        <v>94.5</v>
      </c>
      <c r="AI684" s="40">
        <v>95.5</v>
      </c>
      <c r="AJ684" s="40">
        <v>96.2</v>
      </c>
      <c r="AK684" s="40">
        <v>96.1</v>
      </c>
      <c r="AL684" s="40">
        <v>95.9</v>
      </c>
      <c r="AM684" s="40">
        <v>95.7</v>
      </c>
      <c r="AN684" s="40">
        <v>90.2</v>
      </c>
      <c r="AO684" s="40">
        <v>94.5</v>
      </c>
      <c r="AP684" s="40">
        <v>95.5</v>
      </c>
      <c r="AQ684" s="40">
        <v>96.2</v>
      </c>
      <c r="AR684" s="40">
        <v>96.1</v>
      </c>
      <c r="AS684" s="40">
        <v>95.9</v>
      </c>
      <c r="AT684" s="40">
        <v>95.7</v>
      </c>
      <c r="AU684" s="40">
        <v>89.4</v>
      </c>
      <c r="AV684" s="40">
        <v>94.1</v>
      </c>
      <c r="AW684" s="40">
        <v>95.3</v>
      </c>
      <c r="AX684" s="40">
        <v>96.2</v>
      </c>
      <c r="AY684" s="40">
        <v>96.2</v>
      </c>
      <c r="AZ684" s="40">
        <v>95.9</v>
      </c>
      <c r="BA684" s="40">
        <v>95.7</v>
      </c>
      <c r="BB684" s="174">
        <v>42979</v>
      </c>
      <c r="BC684" s="174">
        <v>43511</v>
      </c>
    </row>
    <row r="685" spans="1:55" ht="75">
      <c r="A685" s="18" t="s">
        <v>8</v>
      </c>
      <c r="B685" s="18" t="s">
        <v>399</v>
      </c>
      <c r="C685" s="23" t="s">
        <v>10</v>
      </c>
      <c r="D685" s="23" t="s">
        <v>10</v>
      </c>
      <c r="E685" s="23" t="s">
        <v>10</v>
      </c>
      <c r="F685" s="23" t="s">
        <v>11</v>
      </c>
      <c r="G685" s="147" t="s">
        <v>1424</v>
      </c>
      <c r="H685" s="19">
        <v>0.32</v>
      </c>
      <c r="I685" s="19">
        <v>240</v>
      </c>
      <c r="J685" s="19">
        <v>96</v>
      </c>
      <c r="K685" s="21" t="s">
        <v>1219</v>
      </c>
      <c r="L685" s="49" t="s">
        <v>1422</v>
      </c>
      <c r="M685" s="21" t="s">
        <v>1289</v>
      </c>
      <c r="N685" s="174">
        <v>43395</v>
      </c>
      <c r="O685" s="23" t="s">
        <v>1292</v>
      </c>
      <c r="P685" s="23" t="s">
        <v>17</v>
      </c>
      <c r="Q685" s="23" t="s">
        <v>17</v>
      </c>
      <c r="R685" s="150" t="s">
        <v>27</v>
      </c>
      <c r="S685" s="21" t="s">
        <v>10</v>
      </c>
      <c r="T685" s="20" t="s">
        <v>10</v>
      </c>
      <c r="U685" s="19">
        <v>0.1</v>
      </c>
      <c r="V685" s="19"/>
      <c r="W685" s="19"/>
      <c r="X685" s="19">
        <v>53</v>
      </c>
      <c r="Y685" s="19">
        <v>60</v>
      </c>
      <c r="Z685" s="19">
        <v>64</v>
      </c>
      <c r="AA685" s="40">
        <v>0.03</v>
      </c>
      <c r="AB685" s="40">
        <v>0.06</v>
      </c>
      <c r="AC685" s="40">
        <v>0.1</v>
      </c>
      <c r="AD685" s="40">
        <v>0.16</v>
      </c>
      <c r="AE685" s="40">
        <v>0.24</v>
      </c>
      <c r="AF685" s="40">
        <v>0.32</v>
      </c>
      <c r="AG685" s="40">
        <v>89.7</v>
      </c>
      <c r="AH685" s="40">
        <v>94.1</v>
      </c>
      <c r="AI685" s="40">
        <v>95.3</v>
      </c>
      <c r="AJ685" s="40">
        <v>96.2</v>
      </c>
      <c r="AK685" s="40">
        <v>96.1</v>
      </c>
      <c r="AL685" s="40">
        <v>95.9</v>
      </c>
      <c r="AM685" s="40">
        <v>95.7</v>
      </c>
      <c r="AN685" s="40">
        <v>90</v>
      </c>
      <c r="AO685" s="40">
        <v>94.3</v>
      </c>
      <c r="AP685" s="40">
        <v>95.4</v>
      </c>
      <c r="AQ685" s="40">
        <v>96.3</v>
      </c>
      <c r="AR685" s="40">
        <v>96.3</v>
      </c>
      <c r="AS685" s="40">
        <v>96.2</v>
      </c>
      <c r="AT685" s="40">
        <v>95.8</v>
      </c>
      <c r="AU685" s="40">
        <v>89.6</v>
      </c>
      <c r="AV685" s="40">
        <v>94</v>
      </c>
      <c r="AW685" s="40">
        <v>95.2</v>
      </c>
      <c r="AX685" s="40">
        <v>96.3</v>
      </c>
      <c r="AY685" s="40">
        <v>96.4</v>
      </c>
      <c r="AZ685" s="40">
        <v>96.2</v>
      </c>
      <c r="BA685" s="40">
        <v>95.8</v>
      </c>
      <c r="BB685" s="174">
        <v>42979</v>
      </c>
      <c r="BC685" s="174">
        <v>43511</v>
      </c>
    </row>
    <row r="686" spans="1:55" ht="60">
      <c r="A686" s="140" t="s">
        <v>8</v>
      </c>
      <c r="B686" s="140" t="s">
        <v>1154</v>
      </c>
      <c r="C686" s="26" t="s">
        <v>10</v>
      </c>
      <c r="D686" s="26" t="s">
        <v>10</v>
      </c>
      <c r="E686" s="23" t="s">
        <v>10</v>
      </c>
      <c r="F686" s="23" t="s">
        <v>11</v>
      </c>
      <c r="G686" s="140" t="s">
        <v>1155</v>
      </c>
      <c r="H686" s="149">
        <v>0.315</v>
      </c>
      <c r="I686" s="129">
        <v>208</v>
      </c>
      <c r="J686" s="137">
        <v>97</v>
      </c>
      <c r="K686" s="21" t="s">
        <v>1219</v>
      </c>
      <c r="L686" s="58" t="s">
        <v>1151</v>
      </c>
      <c r="M686" s="26" t="s">
        <v>759</v>
      </c>
      <c r="N686" s="176">
        <v>43419</v>
      </c>
      <c r="O686" s="58" t="s">
        <v>1151</v>
      </c>
      <c r="P686" s="23" t="s">
        <v>17</v>
      </c>
      <c r="Q686" s="23" t="s">
        <v>17</v>
      </c>
      <c r="R686" s="152" t="s">
        <v>27</v>
      </c>
      <c r="S686" s="131" t="s">
        <v>11</v>
      </c>
      <c r="T686" s="131" t="s">
        <v>10</v>
      </c>
      <c r="U686" s="132">
        <v>2.1000000000000001E-2</v>
      </c>
      <c r="V686" s="133"/>
      <c r="W686" s="133"/>
      <c r="X686" s="133">
        <v>53</v>
      </c>
      <c r="Y686" s="133">
        <v>60</v>
      </c>
      <c r="Z686" s="133">
        <v>64</v>
      </c>
      <c r="AA686" s="132">
        <v>3.15E-2</v>
      </c>
      <c r="AB686" s="132">
        <v>6.3E-2</v>
      </c>
      <c r="AC686" s="132">
        <v>9.4500000000000001E-2</v>
      </c>
      <c r="AD686" s="132">
        <v>0.1575</v>
      </c>
      <c r="AE686" s="132">
        <v>0.23625000000000002</v>
      </c>
      <c r="AF686" s="132">
        <v>0.315</v>
      </c>
      <c r="AG686" s="137">
        <v>90.483609999999999</v>
      </c>
      <c r="AH686" s="137">
        <v>96.662759999999992</v>
      </c>
      <c r="AI686" s="137">
        <v>97.099880000000013</v>
      </c>
      <c r="AJ686" s="137">
        <v>97.635729999999995</v>
      </c>
      <c r="AK686" s="137">
        <v>97.524219999999985</v>
      </c>
      <c r="AL686" s="137">
        <v>97.103530000000006</v>
      </c>
      <c r="AM686" s="137">
        <v>97.150984399999999</v>
      </c>
      <c r="AN686" s="137">
        <v>95.414170000000013</v>
      </c>
      <c r="AO686" s="137">
        <v>96.465389999999999</v>
      </c>
      <c r="AP686" s="137">
        <v>96.900779999999997</v>
      </c>
      <c r="AQ686" s="137">
        <v>97.542020000000008</v>
      </c>
      <c r="AR686" s="137">
        <v>97.461279999999988</v>
      </c>
      <c r="AS686" s="137">
        <v>97.049990000000008</v>
      </c>
      <c r="AT686" s="137">
        <v>97.258731999999981</v>
      </c>
      <c r="AU686" s="137">
        <v>95.270490000000009</v>
      </c>
      <c r="AV686" s="137">
        <v>96.333490000000012</v>
      </c>
      <c r="AW686" s="137">
        <v>96.813520000000011</v>
      </c>
      <c r="AX686" s="137">
        <v>97.502470000000002</v>
      </c>
      <c r="AY686" s="137">
        <v>97.42989</v>
      </c>
      <c r="AZ686" s="137">
        <v>97.019700000000014</v>
      </c>
      <c r="BA686" s="137">
        <v>97.209461900000008</v>
      </c>
      <c r="BB686" s="176">
        <v>43419</v>
      </c>
      <c r="BC686" s="176"/>
    </row>
    <row r="687" spans="1:55" ht="60">
      <c r="A687" s="140" t="s">
        <v>8</v>
      </c>
      <c r="B687" s="140" t="s">
        <v>1160</v>
      </c>
      <c r="C687" s="26" t="s">
        <v>10</v>
      </c>
      <c r="D687" s="26" t="s">
        <v>10</v>
      </c>
      <c r="E687" s="23" t="s">
        <v>10</v>
      </c>
      <c r="F687" s="23" t="s">
        <v>11</v>
      </c>
      <c r="G687" s="140" t="s">
        <v>1161</v>
      </c>
      <c r="H687" s="149">
        <v>0.315</v>
      </c>
      <c r="I687" s="129">
        <v>240</v>
      </c>
      <c r="J687" s="137">
        <v>97.5</v>
      </c>
      <c r="K687" s="21" t="s">
        <v>1219</v>
      </c>
      <c r="L687" s="58" t="s">
        <v>1151</v>
      </c>
      <c r="M687" s="26" t="s">
        <v>759</v>
      </c>
      <c r="N687" s="176">
        <v>43419</v>
      </c>
      <c r="O687" s="58" t="s">
        <v>1151</v>
      </c>
      <c r="P687" s="23" t="s">
        <v>17</v>
      </c>
      <c r="Q687" s="23" t="s">
        <v>17</v>
      </c>
      <c r="R687" s="152" t="s">
        <v>27</v>
      </c>
      <c r="S687" s="131" t="s">
        <v>11</v>
      </c>
      <c r="T687" s="131" t="s">
        <v>10</v>
      </c>
      <c r="U687" s="132">
        <v>2.1000000000000001E-2</v>
      </c>
      <c r="V687" s="133"/>
      <c r="W687" s="133"/>
      <c r="X687" s="133">
        <v>53</v>
      </c>
      <c r="Y687" s="133">
        <v>60</v>
      </c>
      <c r="Z687" s="133">
        <v>64</v>
      </c>
      <c r="AA687" s="132">
        <v>3.15E-2</v>
      </c>
      <c r="AB687" s="132">
        <v>6.3E-2</v>
      </c>
      <c r="AC687" s="132">
        <v>9.4500000000000001E-2</v>
      </c>
      <c r="AD687" s="132">
        <v>0.1575</v>
      </c>
      <c r="AE687" s="132">
        <v>0.23625000000000002</v>
      </c>
      <c r="AF687" s="132">
        <v>0.315</v>
      </c>
      <c r="AG687" s="137">
        <v>95.734780000000015</v>
      </c>
      <c r="AH687" s="137">
        <v>96.840240000000009</v>
      </c>
      <c r="AI687" s="137">
        <v>96.996160000000003</v>
      </c>
      <c r="AJ687" s="137">
        <v>97.762709999999998</v>
      </c>
      <c r="AK687" s="137">
        <v>97.755849999999981</v>
      </c>
      <c r="AL687" s="137">
        <v>97.46862999999999</v>
      </c>
      <c r="AM687" s="137">
        <v>97.525143499999984</v>
      </c>
      <c r="AN687" s="137">
        <v>95.610320000000002</v>
      </c>
      <c r="AO687" s="137">
        <v>96.678239999999988</v>
      </c>
      <c r="AP687" s="137">
        <v>96.754879999999986</v>
      </c>
      <c r="AQ687" s="137">
        <v>97.666660000000007</v>
      </c>
      <c r="AR687" s="137">
        <v>97.739180000000005</v>
      </c>
      <c r="AS687" s="137">
        <v>97.513729999999981</v>
      </c>
      <c r="AT687" s="137">
        <v>97.456360900000007</v>
      </c>
      <c r="AU687" s="137">
        <v>95.436540000000008</v>
      </c>
      <c r="AV687" s="137">
        <v>96.497949999999989</v>
      </c>
      <c r="AW687" s="137">
        <v>96.657110000000017</v>
      </c>
      <c r="AX687" s="137">
        <v>97.603840000000019</v>
      </c>
      <c r="AY687" s="137">
        <v>97.700140000000005</v>
      </c>
      <c r="AZ687" s="137">
        <v>97.48254</v>
      </c>
      <c r="BA687" s="137">
        <v>97.393219900000005</v>
      </c>
      <c r="BB687" s="176">
        <v>43419</v>
      </c>
      <c r="BC687" s="176"/>
    </row>
    <row r="688" spans="1:55" ht="75">
      <c r="A688" s="18" t="s">
        <v>8</v>
      </c>
      <c r="B688" s="18" t="s">
        <v>400</v>
      </c>
      <c r="C688" s="23" t="s">
        <v>10</v>
      </c>
      <c r="D688" s="23" t="s">
        <v>10</v>
      </c>
      <c r="E688" s="23" t="s">
        <v>10</v>
      </c>
      <c r="F688" s="23" t="s">
        <v>11</v>
      </c>
      <c r="G688" s="147" t="s">
        <v>1448</v>
      </c>
      <c r="H688" s="19">
        <v>0.32</v>
      </c>
      <c r="I688" s="19">
        <v>208</v>
      </c>
      <c r="J688" s="19">
        <v>95.5</v>
      </c>
      <c r="K688" s="21" t="s">
        <v>1219</v>
      </c>
      <c r="L688" s="49" t="s">
        <v>1422</v>
      </c>
      <c r="M688" s="21" t="s">
        <v>1289</v>
      </c>
      <c r="N688" s="174">
        <v>43388</v>
      </c>
      <c r="O688" s="23" t="s">
        <v>17</v>
      </c>
      <c r="P688" s="23" t="s">
        <v>17</v>
      </c>
      <c r="Q688" s="23" t="s">
        <v>17</v>
      </c>
      <c r="R688" s="150" t="s">
        <v>27</v>
      </c>
      <c r="S688" s="21" t="s">
        <v>10</v>
      </c>
      <c r="T688" s="20" t="s">
        <v>10</v>
      </c>
      <c r="U688" s="19">
        <v>0.02</v>
      </c>
      <c r="V688" s="19"/>
      <c r="W688" s="19"/>
      <c r="X688" s="19">
        <v>53</v>
      </c>
      <c r="Y688" s="19">
        <v>60</v>
      </c>
      <c r="Z688" s="19">
        <v>64</v>
      </c>
      <c r="AA688" s="40">
        <v>0.03</v>
      </c>
      <c r="AB688" s="40">
        <v>0.06</v>
      </c>
      <c r="AC688" s="40">
        <v>0.1</v>
      </c>
      <c r="AD688" s="40">
        <v>0.16</v>
      </c>
      <c r="AE688" s="40">
        <v>0.24</v>
      </c>
      <c r="AF688" s="40">
        <v>0.32</v>
      </c>
      <c r="AG688" s="40">
        <v>90.8</v>
      </c>
      <c r="AH688" s="40">
        <v>94.5</v>
      </c>
      <c r="AI688" s="40">
        <v>95.5</v>
      </c>
      <c r="AJ688" s="40">
        <v>96.2</v>
      </c>
      <c r="AK688" s="40">
        <v>96.1</v>
      </c>
      <c r="AL688" s="40">
        <v>95.9</v>
      </c>
      <c r="AM688" s="40">
        <v>95.7</v>
      </c>
      <c r="AN688" s="40">
        <v>90.2</v>
      </c>
      <c r="AO688" s="40">
        <v>94.5</v>
      </c>
      <c r="AP688" s="40">
        <v>95.5</v>
      </c>
      <c r="AQ688" s="40">
        <v>96.2</v>
      </c>
      <c r="AR688" s="40">
        <v>96.1</v>
      </c>
      <c r="AS688" s="40">
        <v>95.9</v>
      </c>
      <c r="AT688" s="40">
        <v>95.7</v>
      </c>
      <c r="AU688" s="40">
        <v>89.4</v>
      </c>
      <c r="AV688" s="40">
        <v>94.1</v>
      </c>
      <c r="AW688" s="40">
        <v>95.3</v>
      </c>
      <c r="AX688" s="40">
        <v>96.2</v>
      </c>
      <c r="AY688" s="40">
        <v>96.2</v>
      </c>
      <c r="AZ688" s="40">
        <v>95.9</v>
      </c>
      <c r="BA688" s="40">
        <v>95.7</v>
      </c>
      <c r="BB688" s="174">
        <v>42979</v>
      </c>
      <c r="BC688" s="174">
        <v>43557</v>
      </c>
    </row>
    <row r="689" spans="1:55" ht="75">
      <c r="A689" s="18" t="s">
        <v>8</v>
      </c>
      <c r="B689" s="18" t="s">
        <v>401</v>
      </c>
      <c r="C689" s="23" t="s">
        <v>10</v>
      </c>
      <c r="D689" s="23" t="s">
        <v>10</v>
      </c>
      <c r="E689" s="23" t="s">
        <v>10</v>
      </c>
      <c r="F689" s="23" t="s">
        <v>11</v>
      </c>
      <c r="G689" s="147" t="s">
        <v>1449</v>
      </c>
      <c r="H689" s="19">
        <v>0.32</v>
      </c>
      <c r="I689" s="19">
        <v>240</v>
      </c>
      <c r="J689" s="19">
        <v>96</v>
      </c>
      <c r="K689" s="21" t="s">
        <v>1219</v>
      </c>
      <c r="L689" s="49" t="s">
        <v>1422</v>
      </c>
      <c r="M689" s="21" t="s">
        <v>1289</v>
      </c>
      <c r="N689" s="174">
        <v>43388</v>
      </c>
      <c r="O689" s="23" t="s">
        <v>17</v>
      </c>
      <c r="P689" s="23" t="s">
        <v>17</v>
      </c>
      <c r="Q689" s="23" t="s">
        <v>17</v>
      </c>
      <c r="R689" s="150" t="s">
        <v>27</v>
      </c>
      <c r="S689" s="21" t="s">
        <v>10</v>
      </c>
      <c r="T689" s="20" t="s">
        <v>10</v>
      </c>
      <c r="U689" s="19">
        <v>0.1</v>
      </c>
      <c r="V689" s="19"/>
      <c r="W689" s="19"/>
      <c r="X689" s="19">
        <v>53</v>
      </c>
      <c r="Y689" s="19">
        <v>60</v>
      </c>
      <c r="Z689" s="19">
        <v>64</v>
      </c>
      <c r="AA689" s="40">
        <v>0.03</v>
      </c>
      <c r="AB689" s="40">
        <v>0.06</v>
      </c>
      <c r="AC689" s="40">
        <v>0.1</v>
      </c>
      <c r="AD689" s="40">
        <v>0.16</v>
      </c>
      <c r="AE689" s="40">
        <v>0.24</v>
      </c>
      <c r="AF689" s="40">
        <v>0.32</v>
      </c>
      <c r="AG689" s="40">
        <v>89.7</v>
      </c>
      <c r="AH689" s="40">
        <v>94.1</v>
      </c>
      <c r="AI689" s="40">
        <v>95.3</v>
      </c>
      <c r="AJ689" s="40">
        <v>96.2</v>
      </c>
      <c r="AK689" s="40">
        <v>96.1</v>
      </c>
      <c r="AL689" s="40">
        <v>95.9</v>
      </c>
      <c r="AM689" s="40">
        <v>95.7</v>
      </c>
      <c r="AN689" s="40">
        <v>90</v>
      </c>
      <c r="AO689" s="40">
        <v>94.3</v>
      </c>
      <c r="AP689" s="40">
        <v>95.4</v>
      </c>
      <c r="AQ689" s="40">
        <v>96.3</v>
      </c>
      <c r="AR689" s="40">
        <v>96.3</v>
      </c>
      <c r="AS689" s="40">
        <v>96.2</v>
      </c>
      <c r="AT689" s="40">
        <v>95.8</v>
      </c>
      <c r="AU689" s="40">
        <v>89.6</v>
      </c>
      <c r="AV689" s="40">
        <v>94</v>
      </c>
      <c r="AW689" s="40">
        <v>95.2</v>
      </c>
      <c r="AX689" s="40">
        <v>96.3</v>
      </c>
      <c r="AY689" s="40">
        <v>96.4</v>
      </c>
      <c r="AZ689" s="40">
        <v>96.2</v>
      </c>
      <c r="BA689" s="40">
        <v>95.8</v>
      </c>
      <c r="BB689" s="174">
        <v>42979</v>
      </c>
      <c r="BC689" s="174">
        <v>43557</v>
      </c>
    </row>
    <row r="690" spans="1:55" ht="60">
      <c r="A690" s="140" t="s">
        <v>8</v>
      </c>
      <c r="B690" s="140" t="s">
        <v>1169</v>
      </c>
      <c r="C690" s="26" t="s">
        <v>10</v>
      </c>
      <c r="D690" s="26" t="s">
        <v>10</v>
      </c>
      <c r="E690" s="23" t="s">
        <v>10</v>
      </c>
      <c r="F690" s="23" t="s">
        <v>11</v>
      </c>
      <c r="G690" s="140" t="s">
        <v>1170</v>
      </c>
      <c r="H690" s="149">
        <v>0.315</v>
      </c>
      <c r="I690" s="129">
        <v>208</v>
      </c>
      <c r="J690" s="137">
        <v>97</v>
      </c>
      <c r="K690" s="21" t="s">
        <v>1219</v>
      </c>
      <c r="L690" s="58" t="s">
        <v>1151</v>
      </c>
      <c r="M690" s="26" t="s">
        <v>759</v>
      </c>
      <c r="N690" s="176">
        <v>43419</v>
      </c>
      <c r="O690" s="58" t="s">
        <v>1151</v>
      </c>
      <c r="P690" s="23" t="s">
        <v>17</v>
      </c>
      <c r="Q690" s="23" t="s">
        <v>17</v>
      </c>
      <c r="R690" s="152" t="s">
        <v>27</v>
      </c>
      <c r="S690" s="131" t="s">
        <v>11</v>
      </c>
      <c r="T690" s="131" t="s">
        <v>10</v>
      </c>
      <c r="U690" s="132">
        <v>2.1000000000000001E-2</v>
      </c>
      <c r="V690" s="133"/>
      <c r="W690" s="133"/>
      <c r="X690" s="133">
        <v>53</v>
      </c>
      <c r="Y690" s="133">
        <v>60</v>
      </c>
      <c r="Z690" s="133">
        <v>64</v>
      </c>
      <c r="AA690" s="132">
        <v>3.15E-2</v>
      </c>
      <c r="AB690" s="132">
        <v>6.3E-2</v>
      </c>
      <c r="AC690" s="132">
        <v>9.4500000000000001E-2</v>
      </c>
      <c r="AD690" s="132">
        <v>0.1575</v>
      </c>
      <c r="AE690" s="132">
        <v>0.23625000000000002</v>
      </c>
      <c r="AF690" s="132">
        <v>0.315</v>
      </c>
      <c r="AG690" s="137">
        <v>90.483609999999999</v>
      </c>
      <c r="AH690" s="137">
        <v>96.662759999999992</v>
      </c>
      <c r="AI690" s="137">
        <v>97.099880000000013</v>
      </c>
      <c r="AJ690" s="137">
        <v>97.635729999999995</v>
      </c>
      <c r="AK690" s="137">
        <v>97.524219999999985</v>
      </c>
      <c r="AL690" s="137">
        <v>97.103530000000006</v>
      </c>
      <c r="AM690" s="137">
        <v>97.150984399999999</v>
      </c>
      <c r="AN690" s="137">
        <v>95.414170000000013</v>
      </c>
      <c r="AO690" s="137">
        <v>96.465389999999999</v>
      </c>
      <c r="AP690" s="137">
        <v>96.900779999999997</v>
      </c>
      <c r="AQ690" s="137">
        <v>97.542020000000008</v>
      </c>
      <c r="AR690" s="137">
        <v>97.461279999999988</v>
      </c>
      <c r="AS690" s="137">
        <v>97.049990000000008</v>
      </c>
      <c r="AT690" s="137">
        <v>97.258731999999981</v>
      </c>
      <c r="AU690" s="137">
        <v>95.270490000000009</v>
      </c>
      <c r="AV690" s="137">
        <v>96.333490000000012</v>
      </c>
      <c r="AW690" s="137">
        <v>96.813520000000011</v>
      </c>
      <c r="AX690" s="137">
        <v>97.502470000000002</v>
      </c>
      <c r="AY690" s="137">
        <v>97.42989</v>
      </c>
      <c r="AZ690" s="137">
        <v>97.019700000000014</v>
      </c>
      <c r="BA690" s="137">
        <v>97.209461900000008</v>
      </c>
      <c r="BB690" s="176">
        <v>43419</v>
      </c>
      <c r="BC690" s="176"/>
    </row>
    <row r="691" spans="1:55" ht="60">
      <c r="A691" s="140" t="s">
        <v>8</v>
      </c>
      <c r="B691" s="140" t="s">
        <v>1179</v>
      </c>
      <c r="C691" s="26" t="s">
        <v>10</v>
      </c>
      <c r="D691" s="26" t="s">
        <v>10</v>
      </c>
      <c r="E691" s="23" t="s">
        <v>10</v>
      </c>
      <c r="F691" s="23" t="s">
        <v>11</v>
      </c>
      <c r="G691" s="140" t="s">
        <v>1180</v>
      </c>
      <c r="H691" s="149">
        <v>0.315</v>
      </c>
      <c r="I691" s="129">
        <v>240</v>
      </c>
      <c r="J691" s="137">
        <v>97.5</v>
      </c>
      <c r="K691" s="21" t="s">
        <v>1219</v>
      </c>
      <c r="L691" s="58" t="s">
        <v>1151</v>
      </c>
      <c r="M691" s="26" t="s">
        <v>759</v>
      </c>
      <c r="N691" s="176">
        <v>43419</v>
      </c>
      <c r="O691" s="58" t="s">
        <v>1151</v>
      </c>
      <c r="P691" s="23" t="s">
        <v>17</v>
      </c>
      <c r="Q691" s="23" t="s">
        <v>17</v>
      </c>
      <c r="R691" s="152" t="s">
        <v>27</v>
      </c>
      <c r="S691" s="131" t="s">
        <v>11</v>
      </c>
      <c r="T691" s="131" t="s">
        <v>10</v>
      </c>
      <c r="U691" s="132">
        <v>2.1000000000000001E-2</v>
      </c>
      <c r="V691" s="133"/>
      <c r="W691" s="133"/>
      <c r="X691" s="133">
        <v>53</v>
      </c>
      <c r="Y691" s="133">
        <v>60</v>
      </c>
      <c r="Z691" s="133">
        <v>64</v>
      </c>
      <c r="AA691" s="132">
        <v>3.15E-2</v>
      </c>
      <c r="AB691" s="132">
        <v>6.3E-2</v>
      </c>
      <c r="AC691" s="132">
        <v>9.4500000000000001E-2</v>
      </c>
      <c r="AD691" s="132">
        <v>0.1575</v>
      </c>
      <c r="AE691" s="132">
        <v>0.23625000000000002</v>
      </c>
      <c r="AF691" s="132">
        <v>0.315</v>
      </c>
      <c r="AG691" s="137">
        <v>95.734780000000015</v>
      </c>
      <c r="AH691" s="137">
        <v>96.840240000000009</v>
      </c>
      <c r="AI691" s="137">
        <v>96.996160000000003</v>
      </c>
      <c r="AJ691" s="137">
        <v>97.762709999999998</v>
      </c>
      <c r="AK691" s="137">
        <v>97.755849999999981</v>
      </c>
      <c r="AL691" s="137">
        <v>97.46862999999999</v>
      </c>
      <c r="AM691" s="137">
        <v>97.525143499999984</v>
      </c>
      <c r="AN691" s="137">
        <v>95.610320000000002</v>
      </c>
      <c r="AO691" s="137">
        <v>96.678239999999988</v>
      </c>
      <c r="AP691" s="137">
        <v>96.754879999999986</v>
      </c>
      <c r="AQ691" s="137">
        <v>97.666660000000007</v>
      </c>
      <c r="AR691" s="137">
        <v>97.739180000000005</v>
      </c>
      <c r="AS691" s="137">
        <v>97.513729999999981</v>
      </c>
      <c r="AT691" s="137">
        <v>97.456360900000007</v>
      </c>
      <c r="AU691" s="137">
        <v>95.436540000000008</v>
      </c>
      <c r="AV691" s="137">
        <v>96.497949999999989</v>
      </c>
      <c r="AW691" s="137">
        <v>96.657110000000017</v>
      </c>
      <c r="AX691" s="137">
        <v>97.603840000000019</v>
      </c>
      <c r="AY691" s="137">
        <v>97.700140000000005</v>
      </c>
      <c r="AZ691" s="137">
        <v>97.48254</v>
      </c>
      <c r="BA691" s="137">
        <v>97.393219900000005</v>
      </c>
      <c r="BB691" s="176">
        <v>43419</v>
      </c>
      <c r="BC691" s="176"/>
    </row>
    <row r="692" spans="1:55" ht="75">
      <c r="A692" s="18" t="s">
        <v>8</v>
      </c>
      <c r="B692" s="18" t="s">
        <v>402</v>
      </c>
      <c r="C692" s="23" t="s">
        <v>10</v>
      </c>
      <c r="D692" s="23" t="s">
        <v>10</v>
      </c>
      <c r="E692" s="23" t="s">
        <v>10</v>
      </c>
      <c r="F692" s="23" t="s">
        <v>11</v>
      </c>
      <c r="G692" s="147" t="s">
        <v>1425</v>
      </c>
      <c r="H692" s="19">
        <v>0.32</v>
      </c>
      <c r="I692" s="19">
        <v>208</v>
      </c>
      <c r="J692" s="19">
        <v>95.5</v>
      </c>
      <c r="K692" s="21" t="s">
        <v>1219</v>
      </c>
      <c r="L692" s="49" t="s">
        <v>1422</v>
      </c>
      <c r="M692" s="21" t="s">
        <v>1289</v>
      </c>
      <c r="N692" s="174">
        <v>43391</v>
      </c>
      <c r="O692" s="23" t="s">
        <v>1292</v>
      </c>
      <c r="P692" s="23" t="s">
        <v>17</v>
      </c>
      <c r="Q692" s="23" t="s">
        <v>17</v>
      </c>
      <c r="R692" s="150" t="s">
        <v>27</v>
      </c>
      <c r="S692" s="21" t="s">
        <v>10</v>
      </c>
      <c r="T692" s="20" t="s">
        <v>10</v>
      </c>
      <c r="U692" s="19">
        <v>0.02</v>
      </c>
      <c r="V692" s="19"/>
      <c r="W692" s="19"/>
      <c r="X692" s="19">
        <v>53</v>
      </c>
      <c r="Y692" s="19">
        <v>60</v>
      </c>
      <c r="Z692" s="19">
        <v>64</v>
      </c>
      <c r="AA692" s="40">
        <v>0.03</v>
      </c>
      <c r="AB692" s="40">
        <v>0.06</v>
      </c>
      <c r="AC692" s="40">
        <v>0.1</v>
      </c>
      <c r="AD692" s="40">
        <v>0.16</v>
      </c>
      <c r="AE692" s="40">
        <v>0.24</v>
      </c>
      <c r="AF692" s="40">
        <v>0.32</v>
      </c>
      <c r="AG692" s="40">
        <v>90.8</v>
      </c>
      <c r="AH692" s="40">
        <v>94.5</v>
      </c>
      <c r="AI692" s="40">
        <v>95.5</v>
      </c>
      <c r="AJ692" s="40">
        <v>96.2</v>
      </c>
      <c r="AK692" s="40">
        <v>96.1</v>
      </c>
      <c r="AL692" s="40">
        <v>95.9</v>
      </c>
      <c r="AM692" s="40">
        <v>95.7</v>
      </c>
      <c r="AN692" s="40">
        <v>90.2</v>
      </c>
      <c r="AO692" s="40">
        <v>94.5</v>
      </c>
      <c r="AP692" s="40">
        <v>95.5</v>
      </c>
      <c r="AQ692" s="40">
        <v>96.2</v>
      </c>
      <c r="AR692" s="40">
        <v>96.1</v>
      </c>
      <c r="AS692" s="40">
        <v>95.9</v>
      </c>
      <c r="AT692" s="40">
        <v>95.7</v>
      </c>
      <c r="AU692" s="40">
        <v>89.4</v>
      </c>
      <c r="AV692" s="40">
        <v>94.1</v>
      </c>
      <c r="AW692" s="40">
        <v>95.3</v>
      </c>
      <c r="AX692" s="40">
        <v>96.2</v>
      </c>
      <c r="AY692" s="40">
        <v>96.2</v>
      </c>
      <c r="AZ692" s="40">
        <v>95.9</v>
      </c>
      <c r="BA692" s="40">
        <v>95.7</v>
      </c>
      <c r="BB692" s="174">
        <v>42979</v>
      </c>
      <c r="BC692" s="174">
        <v>43511</v>
      </c>
    </row>
    <row r="693" spans="1:55" ht="75">
      <c r="A693" s="18" t="s">
        <v>8</v>
      </c>
      <c r="B693" s="18" t="s">
        <v>403</v>
      </c>
      <c r="C693" s="23" t="s">
        <v>10</v>
      </c>
      <c r="D693" s="23" t="s">
        <v>10</v>
      </c>
      <c r="E693" s="23" t="s">
        <v>10</v>
      </c>
      <c r="F693" s="23" t="s">
        <v>11</v>
      </c>
      <c r="G693" s="147" t="s">
        <v>1426</v>
      </c>
      <c r="H693" s="19">
        <v>0.32</v>
      </c>
      <c r="I693" s="19">
        <v>240</v>
      </c>
      <c r="J693" s="19">
        <v>96</v>
      </c>
      <c r="K693" s="21" t="s">
        <v>1219</v>
      </c>
      <c r="L693" s="49" t="s">
        <v>1422</v>
      </c>
      <c r="M693" s="21" t="s">
        <v>1289</v>
      </c>
      <c r="N693" s="174">
        <v>43396</v>
      </c>
      <c r="O693" s="23" t="s">
        <v>1292</v>
      </c>
      <c r="P693" s="23" t="s">
        <v>17</v>
      </c>
      <c r="Q693" s="23" t="s">
        <v>17</v>
      </c>
      <c r="R693" s="150" t="s">
        <v>27</v>
      </c>
      <c r="S693" s="21" t="s">
        <v>10</v>
      </c>
      <c r="T693" s="20" t="s">
        <v>10</v>
      </c>
      <c r="U693" s="19">
        <v>0.1</v>
      </c>
      <c r="V693" s="19"/>
      <c r="W693" s="19"/>
      <c r="X693" s="19">
        <v>53</v>
      </c>
      <c r="Y693" s="19">
        <v>60</v>
      </c>
      <c r="Z693" s="19">
        <v>64</v>
      </c>
      <c r="AA693" s="40">
        <v>0.03</v>
      </c>
      <c r="AB693" s="40">
        <v>0.06</v>
      </c>
      <c r="AC693" s="40">
        <v>0.1</v>
      </c>
      <c r="AD693" s="40">
        <v>0.16</v>
      </c>
      <c r="AE693" s="40">
        <v>0.24</v>
      </c>
      <c r="AF693" s="40">
        <v>0.32</v>
      </c>
      <c r="AG693" s="40">
        <v>89.7</v>
      </c>
      <c r="AH693" s="40">
        <v>94.1</v>
      </c>
      <c r="AI693" s="40">
        <v>95.3</v>
      </c>
      <c r="AJ693" s="40">
        <v>96.2</v>
      </c>
      <c r="AK693" s="40">
        <v>96.1</v>
      </c>
      <c r="AL693" s="40">
        <v>95.9</v>
      </c>
      <c r="AM693" s="40">
        <v>95.7</v>
      </c>
      <c r="AN693" s="40">
        <v>90</v>
      </c>
      <c r="AO693" s="40">
        <v>94.3</v>
      </c>
      <c r="AP693" s="40">
        <v>95.4</v>
      </c>
      <c r="AQ693" s="40">
        <v>96.3</v>
      </c>
      <c r="AR693" s="40">
        <v>96.3</v>
      </c>
      <c r="AS693" s="40">
        <v>96.2</v>
      </c>
      <c r="AT693" s="40">
        <v>95.8</v>
      </c>
      <c r="AU693" s="40">
        <v>89.6</v>
      </c>
      <c r="AV693" s="40">
        <v>94</v>
      </c>
      <c r="AW693" s="40">
        <v>95.2</v>
      </c>
      <c r="AX693" s="40">
        <v>96.3</v>
      </c>
      <c r="AY693" s="40">
        <v>96.4</v>
      </c>
      <c r="AZ693" s="40">
        <v>96.2</v>
      </c>
      <c r="BA693" s="40">
        <v>95.8</v>
      </c>
      <c r="BB693" s="174">
        <v>42979</v>
      </c>
      <c r="BC693" s="174">
        <v>43511</v>
      </c>
    </row>
    <row r="694" spans="1:55" ht="60">
      <c r="A694" s="140" t="s">
        <v>8</v>
      </c>
      <c r="B694" s="140" t="s">
        <v>1152</v>
      </c>
      <c r="C694" s="26" t="s">
        <v>10</v>
      </c>
      <c r="D694" s="26" t="s">
        <v>10</v>
      </c>
      <c r="E694" s="23" t="s">
        <v>10</v>
      </c>
      <c r="F694" s="23" t="s">
        <v>11</v>
      </c>
      <c r="G694" s="140" t="s">
        <v>1153</v>
      </c>
      <c r="H694" s="149">
        <v>0.315</v>
      </c>
      <c r="I694" s="129">
        <v>208</v>
      </c>
      <c r="J694" s="137">
        <v>97</v>
      </c>
      <c r="K694" s="21" t="s">
        <v>1219</v>
      </c>
      <c r="L694" s="58" t="s">
        <v>1151</v>
      </c>
      <c r="M694" s="26" t="s">
        <v>759</v>
      </c>
      <c r="N694" s="176">
        <v>43419</v>
      </c>
      <c r="O694" s="58" t="s">
        <v>1151</v>
      </c>
      <c r="P694" s="23" t="s">
        <v>17</v>
      </c>
      <c r="Q694" s="23" t="s">
        <v>17</v>
      </c>
      <c r="R694" s="152" t="s">
        <v>27</v>
      </c>
      <c r="S694" s="131" t="s">
        <v>11</v>
      </c>
      <c r="T694" s="131" t="s">
        <v>10</v>
      </c>
      <c r="U694" s="132">
        <v>2.1000000000000001E-2</v>
      </c>
      <c r="V694" s="133"/>
      <c r="W694" s="133"/>
      <c r="X694" s="133">
        <v>53</v>
      </c>
      <c r="Y694" s="133">
        <v>60</v>
      </c>
      <c r="Z694" s="133">
        <v>64</v>
      </c>
      <c r="AA694" s="132">
        <v>3.15E-2</v>
      </c>
      <c r="AB694" s="132">
        <v>6.3E-2</v>
      </c>
      <c r="AC694" s="132">
        <v>9.4500000000000001E-2</v>
      </c>
      <c r="AD694" s="132">
        <v>0.1575</v>
      </c>
      <c r="AE694" s="132">
        <v>0.23625000000000002</v>
      </c>
      <c r="AF694" s="132">
        <v>0.315</v>
      </c>
      <c r="AG694" s="137">
        <v>90.483609999999999</v>
      </c>
      <c r="AH694" s="137">
        <v>96.662759999999992</v>
      </c>
      <c r="AI694" s="137">
        <v>97.099880000000013</v>
      </c>
      <c r="AJ694" s="137">
        <v>97.635729999999995</v>
      </c>
      <c r="AK694" s="137">
        <v>97.524219999999985</v>
      </c>
      <c r="AL694" s="137">
        <v>97.103530000000006</v>
      </c>
      <c r="AM694" s="137">
        <v>97.150984399999999</v>
      </c>
      <c r="AN694" s="137">
        <v>95.414170000000013</v>
      </c>
      <c r="AO694" s="137">
        <v>96.465389999999999</v>
      </c>
      <c r="AP694" s="137">
        <v>96.900779999999997</v>
      </c>
      <c r="AQ694" s="137">
        <v>97.542020000000008</v>
      </c>
      <c r="AR694" s="137">
        <v>97.461279999999988</v>
      </c>
      <c r="AS694" s="137">
        <v>97.049990000000008</v>
      </c>
      <c r="AT694" s="137">
        <v>97.258731999999981</v>
      </c>
      <c r="AU694" s="137">
        <v>95.270490000000009</v>
      </c>
      <c r="AV694" s="137">
        <v>96.333490000000012</v>
      </c>
      <c r="AW694" s="137">
        <v>96.813520000000011</v>
      </c>
      <c r="AX694" s="137">
        <v>97.502470000000002</v>
      </c>
      <c r="AY694" s="137">
        <v>97.42989</v>
      </c>
      <c r="AZ694" s="137">
        <v>97.019700000000014</v>
      </c>
      <c r="BA694" s="137">
        <v>97.209461900000008</v>
      </c>
      <c r="BB694" s="176">
        <v>43419</v>
      </c>
      <c r="BC694" s="176"/>
    </row>
    <row r="695" spans="1:55" ht="60">
      <c r="A695" s="140" t="s">
        <v>8</v>
      </c>
      <c r="B695" s="140" t="s">
        <v>1158</v>
      </c>
      <c r="C695" s="26" t="s">
        <v>10</v>
      </c>
      <c r="D695" s="26" t="s">
        <v>10</v>
      </c>
      <c r="E695" s="23" t="s">
        <v>10</v>
      </c>
      <c r="F695" s="23" t="s">
        <v>11</v>
      </c>
      <c r="G695" s="140" t="s">
        <v>1159</v>
      </c>
      <c r="H695" s="149">
        <v>0.315</v>
      </c>
      <c r="I695" s="129">
        <v>240</v>
      </c>
      <c r="J695" s="137">
        <v>97.5</v>
      </c>
      <c r="K695" s="21" t="s">
        <v>1219</v>
      </c>
      <c r="L695" s="58" t="s">
        <v>1151</v>
      </c>
      <c r="M695" s="26" t="s">
        <v>759</v>
      </c>
      <c r="N695" s="176">
        <v>43419</v>
      </c>
      <c r="O695" s="58" t="s">
        <v>1151</v>
      </c>
      <c r="P695" s="23" t="s">
        <v>17</v>
      </c>
      <c r="Q695" s="23" t="s">
        <v>17</v>
      </c>
      <c r="R695" s="152" t="s">
        <v>27</v>
      </c>
      <c r="S695" s="131" t="s">
        <v>11</v>
      </c>
      <c r="T695" s="131" t="s">
        <v>10</v>
      </c>
      <c r="U695" s="132">
        <v>2.1000000000000001E-2</v>
      </c>
      <c r="V695" s="133"/>
      <c r="W695" s="133"/>
      <c r="X695" s="133">
        <v>53</v>
      </c>
      <c r="Y695" s="133">
        <v>60</v>
      </c>
      <c r="Z695" s="133">
        <v>64</v>
      </c>
      <c r="AA695" s="132">
        <v>3.15E-2</v>
      </c>
      <c r="AB695" s="132">
        <v>6.3E-2</v>
      </c>
      <c r="AC695" s="132">
        <v>9.4500000000000001E-2</v>
      </c>
      <c r="AD695" s="132">
        <v>0.1575</v>
      </c>
      <c r="AE695" s="132">
        <v>0.23625000000000002</v>
      </c>
      <c r="AF695" s="132">
        <v>0.315</v>
      </c>
      <c r="AG695" s="137">
        <v>95.734780000000015</v>
      </c>
      <c r="AH695" s="137">
        <v>96.840240000000009</v>
      </c>
      <c r="AI695" s="137">
        <v>96.996160000000003</v>
      </c>
      <c r="AJ695" s="137">
        <v>97.762709999999998</v>
      </c>
      <c r="AK695" s="137">
        <v>97.755849999999981</v>
      </c>
      <c r="AL695" s="137">
        <v>97.46862999999999</v>
      </c>
      <c r="AM695" s="137">
        <v>97.525143499999984</v>
      </c>
      <c r="AN695" s="137">
        <v>95.610320000000002</v>
      </c>
      <c r="AO695" s="137">
        <v>96.678239999999988</v>
      </c>
      <c r="AP695" s="137">
        <v>96.754879999999986</v>
      </c>
      <c r="AQ695" s="137">
        <v>97.666660000000007</v>
      </c>
      <c r="AR695" s="137">
        <v>97.739180000000005</v>
      </c>
      <c r="AS695" s="137">
        <v>97.513729999999981</v>
      </c>
      <c r="AT695" s="137">
        <v>97.456360900000007</v>
      </c>
      <c r="AU695" s="137">
        <v>95.436540000000008</v>
      </c>
      <c r="AV695" s="137">
        <v>96.497949999999989</v>
      </c>
      <c r="AW695" s="137">
        <v>96.657110000000017</v>
      </c>
      <c r="AX695" s="137">
        <v>97.603840000000019</v>
      </c>
      <c r="AY695" s="137">
        <v>97.700140000000005</v>
      </c>
      <c r="AZ695" s="137">
        <v>97.48254</v>
      </c>
      <c r="BA695" s="137">
        <v>97.393219900000005</v>
      </c>
      <c r="BB695" s="176">
        <v>43419</v>
      </c>
      <c r="BC695" s="176"/>
    </row>
    <row r="696" spans="1:55" ht="75">
      <c r="A696" s="18" t="s">
        <v>8</v>
      </c>
      <c r="B696" s="18" t="s">
        <v>404</v>
      </c>
      <c r="C696" s="23" t="s">
        <v>10</v>
      </c>
      <c r="D696" s="23" t="s">
        <v>10</v>
      </c>
      <c r="E696" s="23" t="s">
        <v>10</v>
      </c>
      <c r="F696" s="23" t="s">
        <v>11</v>
      </c>
      <c r="G696" s="147" t="s">
        <v>1294</v>
      </c>
      <c r="H696" s="19">
        <v>0.32</v>
      </c>
      <c r="I696" s="19">
        <v>208</v>
      </c>
      <c r="J696" s="19">
        <v>95.5</v>
      </c>
      <c r="K696" s="21" t="s">
        <v>1219</v>
      </c>
      <c r="L696" s="49" t="s">
        <v>1422</v>
      </c>
      <c r="M696" s="21" t="s">
        <v>1289</v>
      </c>
      <c r="N696" s="174">
        <v>43392</v>
      </c>
      <c r="O696" s="23" t="s">
        <v>1292</v>
      </c>
      <c r="P696" s="23" t="s">
        <v>17</v>
      </c>
      <c r="Q696" s="23" t="s">
        <v>17</v>
      </c>
      <c r="R696" s="150" t="s">
        <v>27</v>
      </c>
      <c r="S696" s="21" t="s">
        <v>10</v>
      </c>
      <c r="T696" s="20" t="s">
        <v>10</v>
      </c>
      <c r="U696" s="19">
        <v>0.02</v>
      </c>
      <c r="V696" s="19"/>
      <c r="W696" s="19"/>
      <c r="X696" s="19">
        <v>53</v>
      </c>
      <c r="Y696" s="19">
        <v>60</v>
      </c>
      <c r="Z696" s="19">
        <v>64</v>
      </c>
      <c r="AA696" s="40">
        <v>0.03</v>
      </c>
      <c r="AB696" s="40">
        <v>0.06</v>
      </c>
      <c r="AC696" s="40">
        <v>0.1</v>
      </c>
      <c r="AD696" s="40">
        <v>0.16</v>
      </c>
      <c r="AE696" s="40">
        <v>0.24</v>
      </c>
      <c r="AF696" s="40">
        <v>0.32</v>
      </c>
      <c r="AG696" s="40">
        <v>90.8</v>
      </c>
      <c r="AH696" s="40">
        <v>94.5</v>
      </c>
      <c r="AI696" s="40">
        <v>95.5</v>
      </c>
      <c r="AJ696" s="40">
        <v>96.2</v>
      </c>
      <c r="AK696" s="40">
        <v>96.1</v>
      </c>
      <c r="AL696" s="40">
        <v>95.9</v>
      </c>
      <c r="AM696" s="40">
        <v>95.7</v>
      </c>
      <c r="AN696" s="40">
        <v>90.2</v>
      </c>
      <c r="AO696" s="40">
        <v>94.5</v>
      </c>
      <c r="AP696" s="40">
        <v>95.5</v>
      </c>
      <c r="AQ696" s="40">
        <v>96.2</v>
      </c>
      <c r="AR696" s="40">
        <v>96.1</v>
      </c>
      <c r="AS696" s="40">
        <v>95.9</v>
      </c>
      <c r="AT696" s="40">
        <v>95.7</v>
      </c>
      <c r="AU696" s="40">
        <v>89.4</v>
      </c>
      <c r="AV696" s="40">
        <v>94.1</v>
      </c>
      <c r="AW696" s="40">
        <v>95.3</v>
      </c>
      <c r="AX696" s="40">
        <v>96.2</v>
      </c>
      <c r="AY696" s="40">
        <v>96.2</v>
      </c>
      <c r="AZ696" s="40">
        <v>95.9</v>
      </c>
      <c r="BA696" s="40">
        <v>95.7</v>
      </c>
      <c r="BB696" s="174">
        <v>42979</v>
      </c>
      <c r="BC696" s="174">
        <v>43511</v>
      </c>
    </row>
    <row r="697" spans="1:55" ht="75">
      <c r="A697" s="18" t="s">
        <v>8</v>
      </c>
      <c r="B697" s="18" t="s">
        <v>405</v>
      </c>
      <c r="C697" s="23" t="s">
        <v>10</v>
      </c>
      <c r="D697" s="23" t="s">
        <v>10</v>
      </c>
      <c r="E697" s="23" t="s">
        <v>10</v>
      </c>
      <c r="F697" s="23" t="s">
        <v>11</v>
      </c>
      <c r="G697" s="147" t="s">
        <v>1297</v>
      </c>
      <c r="H697" s="19">
        <v>0.32</v>
      </c>
      <c r="I697" s="19">
        <v>240</v>
      </c>
      <c r="J697" s="19">
        <v>96</v>
      </c>
      <c r="K697" s="21" t="s">
        <v>1219</v>
      </c>
      <c r="L697" s="49" t="s">
        <v>1422</v>
      </c>
      <c r="M697" s="21" t="s">
        <v>1289</v>
      </c>
      <c r="N697" s="174">
        <v>43397</v>
      </c>
      <c r="O697" s="23" t="s">
        <v>1292</v>
      </c>
      <c r="P697" s="23" t="s">
        <v>17</v>
      </c>
      <c r="Q697" s="23" t="s">
        <v>17</v>
      </c>
      <c r="R697" s="150" t="s">
        <v>27</v>
      </c>
      <c r="S697" s="21" t="s">
        <v>10</v>
      </c>
      <c r="T697" s="20" t="s">
        <v>10</v>
      </c>
      <c r="U697" s="19">
        <v>0.1</v>
      </c>
      <c r="V697" s="19"/>
      <c r="W697" s="19"/>
      <c r="X697" s="19">
        <v>53</v>
      </c>
      <c r="Y697" s="19">
        <v>60</v>
      </c>
      <c r="Z697" s="19">
        <v>64</v>
      </c>
      <c r="AA697" s="40">
        <v>0.03</v>
      </c>
      <c r="AB697" s="40">
        <v>0.06</v>
      </c>
      <c r="AC697" s="40">
        <v>0.1</v>
      </c>
      <c r="AD697" s="40">
        <v>0.16</v>
      </c>
      <c r="AE697" s="40">
        <v>0.24</v>
      </c>
      <c r="AF697" s="40">
        <v>0.32</v>
      </c>
      <c r="AG697" s="40">
        <v>89.7</v>
      </c>
      <c r="AH697" s="40">
        <v>94.1</v>
      </c>
      <c r="AI697" s="40">
        <v>95.3</v>
      </c>
      <c r="AJ697" s="40">
        <v>96.2</v>
      </c>
      <c r="AK697" s="40">
        <v>96.1</v>
      </c>
      <c r="AL697" s="40">
        <v>95.9</v>
      </c>
      <c r="AM697" s="40">
        <v>95.7</v>
      </c>
      <c r="AN697" s="40">
        <v>90</v>
      </c>
      <c r="AO697" s="40">
        <v>94.3</v>
      </c>
      <c r="AP697" s="40">
        <v>95.4</v>
      </c>
      <c r="AQ697" s="40">
        <v>96.3</v>
      </c>
      <c r="AR697" s="40">
        <v>96.3</v>
      </c>
      <c r="AS697" s="40">
        <v>96.2</v>
      </c>
      <c r="AT697" s="40">
        <v>95.8</v>
      </c>
      <c r="AU697" s="40">
        <v>89.6</v>
      </c>
      <c r="AV697" s="40">
        <v>94</v>
      </c>
      <c r="AW697" s="40">
        <v>95.2</v>
      </c>
      <c r="AX697" s="40">
        <v>96.3</v>
      </c>
      <c r="AY697" s="40">
        <v>96.4</v>
      </c>
      <c r="AZ697" s="40">
        <v>96.2</v>
      </c>
      <c r="BA697" s="40">
        <v>95.8</v>
      </c>
      <c r="BB697" s="174">
        <v>42979</v>
      </c>
      <c r="BC697" s="174">
        <v>43511</v>
      </c>
    </row>
    <row r="698" spans="1:55" ht="60">
      <c r="A698" s="140" t="s">
        <v>8</v>
      </c>
      <c r="B698" s="140" t="s">
        <v>1167</v>
      </c>
      <c r="C698" s="26" t="s">
        <v>10</v>
      </c>
      <c r="D698" s="26" t="s">
        <v>10</v>
      </c>
      <c r="E698" s="23" t="s">
        <v>10</v>
      </c>
      <c r="F698" s="23" t="s">
        <v>11</v>
      </c>
      <c r="G698" s="140" t="s">
        <v>1168</v>
      </c>
      <c r="H698" s="149">
        <v>0.315</v>
      </c>
      <c r="I698" s="129">
        <v>208</v>
      </c>
      <c r="J698" s="137">
        <v>97</v>
      </c>
      <c r="K698" s="21" t="s">
        <v>1219</v>
      </c>
      <c r="L698" s="58" t="s">
        <v>1151</v>
      </c>
      <c r="M698" s="26" t="s">
        <v>759</v>
      </c>
      <c r="N698" s="176">
        <v>43419</v>
      </c>
      <c r="O698" s="58" t="s">
        <v>1151</v>
      </c>
      <c r="P698" s="23" t="s">
        <v>17</v>
      </c>
      <c r="Q698" s="23" t="s">
        <v>17</v>
      </c>
      <c r="R698" s="152" t="s">
        <v>27</v>
      </c>
      <c r="S698" s="131" t="s">
        <v>11</v>
      </c>
      <c r="T698" s="131" t="s">
        <v>10</v>
      </c>
      <c r="U698" s="132">
        <v>2.1000000000000001E-2</v>
      </c>
      <c r="V698" s="133"/>
      <c r="W698" s="133"/>
      <c r="X698" s="133">
        <v>53</v>
      </c>
      <c r="Y698" s="133">
        <v>60</v>
      </c>
      <c r="Z698" s="133">
        <v>64</v>
      </c>
      <c r="AA698" s="132">
        <v>3.15E-2</v>
      </c>
      <c r="AB698" s="132">
        <v>6.3E-2</v>
      </c>
      <c r="AC698" s="132">
        <v>9.4500000000000001E-2</v>
      </c>
      <c r="AD698" s="132">
        <v>0.1575</v>
      </c>
      <c r="AE698" s="132">
        <v>0.23625000000000002</v>
      </c>
      <c r="AF698" s="132">
        <v>0.315</v>
      </c>
      <c r="AG698" s="137">
        <v>90.483609999999999</v>
      </c>
      <c r="AH698" s="137">
        <v>96.662759999999992</v>
      </c>
      <c r="AI698" s="137">
        <v>97.099880000000013</v>
      </c>
      <c r="AJ698" s="137">
        <v>97.635729999999995</v>
      </c>
      <c r="AK698" s="137">
        <v>97.524219999999985</v>
      </c>
      <c r="AL698" s="137">
        <v>97.103530000000006</v>
      </c>
      <c r="AM698" s="137">
        <v>97.150984399999999</v>
      </c>
      <c r="AN698" s="137">
        <v>95.414170000000013</v>
      </c>
      <c r="AO698" s="137">
        <v>96.465389999999999</v>
      </c>
      <c r="AP698" s="137">
        <v>96.900779999999997</v>
      </c>
      <c r="AQ698" s="137">
        <v>97.542020000000008</v>
      </c>
      <c r="AR698" s="137">
        <v>97.461279999999988</v>
      </c>
      <c r="AS698" s="137">
        <v>97.049990000000008</v>
      </c>
      <c r="AT698" s="137">
        <v>97.258731999999981</v>
      </c>
      <c r="AU698" s="137">
        <v>95.270490000000009</v>
      </c>
      <c r="AV698" s="137">
        <v>96.333490000000012</v>
      </c>
      <c r="AW698" s="137">
        <v>96.813520000000011</v>
      </c>
      <c r="AX698" s="137">
        <v>97.502470000000002</v>
      </c>
      <c r="AY698" s="137">
        <v>97.42989</v>
      </c>
      <c r="AZ698" s="137">
        <v>97.019700000000014</v>
      </c>
      <c r="BA698" s="137">
        <v>97.209461900000008</v>
      </c>
      <c r="BB698" s="176">
        <v>43419</v>
      </c>
      <c r="BC698" s="176"/>
    </row>
    <row r="699" spans="1:55" ht="60">
      <c r="A699" s="140" t="s">
        <v>8</v>
      </c>
      <c r="B699" s="140" t="s">
        <v>1177</v>
      </c>
      <c r="C699" s="26" t="s">
        <v>10</v>
      </c>
      <c r="D699" s="26" t="s">
        <v>10</v>
      </c>
      <c r="E699" s="23" t="s">
        <v>10</v>
      </c>
      <c r="F699" s="23" t="s">
        <v>11</v>
      </c>
      <c r="G699" s="140" t="s">
        <v>1178</v>
      </c>
      <c r="H699" s="149">
        <v>0.315</v>
      </c>
      <c r="I699" s="129">
        <v>240</v>
      </c>
      <c r="J699" s="137">
        <v>97.5</v>
      </c>
      <c r="K699" s="21" t="s">
        <v>1219</v>
      </c>
      <c r="L699" s="58" t="s">
        <v>1151</v>
      </c>
      <c r="M699" s="26" t="s">
        <v>759</v>
      </c>
      <c r="N699" s="176">
        <v>43419</v>
      </c>
      <c r="O699" s="58" t="s">
        <v>1151</v>
      </c>
      <c r="P699" s="23" t="s">
        <v>17</v>
      </c>
      <c r="Q699" s="23" t="s">
        <v>17</v>
      </c>
      <c r="R699" s="152" t="s">
        <v>27</v>
      </c>
      <c r="S699" s="131" t="s">
        <v>11</v>
      </c>
      <c r="T699" s="131" t="s">
        <v>10</v>
      </c>
      <c r="U699" s="132">
        <v>2.1000000000000001E-2</v>
      </c>
      <c r="V699" s="133"/>
      <c r="W699" s="133"/>
      <c r="X699" s="133">
        <v>53</v>
      </c>
      <c r="Y699" s="133">
        <v>60</v>
      </c>
      <c r="Z699" s="133">
        <v>64</v>
      </c>
      <c r="AA699" s="132">
        <v>3.15E-2</v>
      </c>
      <c r="AB699" s="132">
        <v>6.3E-2</v>
      </c>
      <c r="AC699" s="132">
        <v>9.4500000000000001E-2</v>
      </c>
      <c r="AD699" s="132">
        <v>0.1575</v>
      </c>
      <c r="AE699" s="132">
        <v>0.23625000000000002</v>
      </c>
      <c r="AF699" s="132">
        <v>0.315</v>
      </c>
      <c r="AG699" s="137">
        <v>95.734780000000015</v>
      </c>
      <c r="AH699" s="137">
        <v>96.840240000000009</v>
      </c>
      <c r="AI699" s="137">
        <v>96.996160000000003</v>
      </c>
      <c r="AJ699" s="137">
        <v>97.762709999999998</v>
      </c>
      <c r="AK699" s="137">
        <v>97.755849999999981</v>
      </c>
      <c r="AL699" s="137">
        <v>97.46862999999999</v>
      </c>
      <c r="AM699" s="137">
        <v>97.525143499999984</v>
      </c>
      <c r="AN699" s="137">
        <v>95.610320000000002</v>
      </c>
      <c r="AO699" s="137">
        <v>96.678239999999988</v>
      </c>
      <c r="AP699" s="137">
        <v>96.754879999999986</v>
      </c>
      <c r="AQ699" s="137">
        <v>97.666660000000007</v>
      </c>
      <c r="AR699" s="137">
        <v>97.739180000000005</v>
      </c>
      <c r="AS699" s="137">
        <v>97.513729999999981</v>
      </c>
      <c r="AT699" s="137">
        <v>97.456360900000007</v>
      </c>
      <c r="AU699" s="137">
        <v>95.436540000000008</v>
      </c>
      <c r="AV699" s="137">
        <v>96.497949999999989</v>
      </c>
      <c r="AW699" s="137">
        <v>96.657110000000017</v>
      </c>
      <c r="AX699" s="137">
        <v>97.603840000000019</v>
      </c>
      <c r="AY699" s="137">
        <v>97.700140000000005</v>
      </c>
      <c r="AZ699" s="137">
        <v>97.48254</v>
      </c>
      <c r="BA699" s="137">
        <v>97.393219900000005</v>
      </c>
      <c r="BB699" s="176">
        <v>43419</v>
      </c>
      <c r="BC699" s="176"/>
    </row>
    <row r="700" spans="1:55" ht="75">
      <c r="A700" s="18" t="s">
        <v>8</v>
      </c>
      <c r="B700" s="18" t="s">
        <v>406</v>
      </c>
      <c r="C700" s="23" t="s">
        <v>10</v>
      </c>
      <c r="D700" s="23" t="s">
        <v>10</v>
      </c>
      <c r="E700" s="23" t="s">
        <v>10</v>
      </c>
      <c r="F700" s="23" t="s">
        <v>11</v>
      </c>
      <c r="G700" s="147" t="s">
        <v>1298</v>
      </c>
      <c r="H700" s="19">
        <v>0.32</v>
      </c>
      <c r="I700" s="19">
        <v>208</v>
      </c>
      <c r="J700" s="19">
        <v>95.5</v>
      </c>
      <c r="K700" s="21" t="s">
        <v>1219</v>
      </c>
      <c r="L700" s="49" t="s">
        <v>1422</v>
      </c>
      <c r="M700" s="21" t="s">
        <v>1289</v>
      </c>
      <c r="N700" s="174">
        <v>43398</v>
      </c>
      <c r="O700" s="23" t="s">
        <v>1292</v>
      </c>
      <c r="P700" s="23" t="s">
        <v>17</v>
      </c>
      <c r="Q700" s="23" t="s">
        <v>17</v>
      </c>
      <c r="R700" s="150" t="s">
        <v>27</v>
      </c>
      <c r="S700" s="21" t="s">
        <v>10</v>
      </c>
      <c r="T700" s="20" t="s">
        <v>10</v>
      </c>
      <c r="U700" s="19">
        <v>0.02</v>
      </c>
      <c r="V700" s="19"/>
      <c r="W700" s="19"/>
      <c r="X700" s="19">
        <v>53</v>
      </c>
      <c r="Y700" s="19">
        <v>60</v>
      </c>
      <c r="Z700" s="19">
        <v>64</v>
      </c>
      <c r="AA700" s="40">
        <v>0.03</v>
      </c>
      <c r="AB700" s="40">
        <v>0.06</v>
      </c>
      <c r="AC700" s="40">
        <v>0.1</v>
      </c>
      <c r="AD700" s="40">
        <v>0.16</v>
      </c>
      <c r="AE700" s="40">
        <v>0.24</v>
      </c>
      <c r="AF700" s="40">
        <v>0.32</v>
      </c>
      <c r="AG700" s="40">
        <v>90.8</v>
      </c>
      <c r="AH700" s="40">
        <v>94.5</v>
      </c>
      <c r="AI700" s="40">
        <v>95.5</v>
      </c>
      <c r="AJ700" s="40">
        <v>96.2</v>
      </c>
      <c r="AK700" s="40">
        <v>96.1</v>
      </c>
      <c r="AL700" s="40">
        <v>95.9</v>
      </c>
      <c r="AM700" s="40">
        <v>95.7</v>
      </c>
      <c r="AN700" s="40">
        <v>90.2</v>
      </c>
      <c r="AO700" s="40">
        <v>94.5</v>
      </c>
      <c r="AP700" s="40">
        <v>95.5</v>
      </c>
      <c r="AQ700" s="40">
        <v>96.2</v>
      </c>
      <c r="AR700" s="40">
        <v>96.1</v>
      </c>
      <c r="AS700" s="40">
        <v>95.9</v>
      </c>
      <c r="AT700" s="40">
        <v>95.7</v>
      </c>
      <c r="AU700" s="40">
        <v>89.4</v>
      </c>
      <c r="AV700" s="40">
        <v>94.1</v>
      </c>
      <c r="AW700" s="40">
        <v>95.3</v>
      </c>
      <c r="AX700" s="40">
        <v>96.2</v>
      </c>
      <c r="AY700" s="40">
        <v>96.2</v>
      </c>
      <c r="AZ700" s="40">
        <v>95.9</v>
      </c>
      <c r="BA700" s="40">
        <v>95.7</v>
      </c>
      <c r="BB700" s="174">
        <v>42979</v>
      </c>
      <c r="BC700" s="174">
        <v>43511</v>
      </c>
    </row>
    <row r="701" spans="1:55" ht="75">
      <c r="A701" s="18" t="s">
        <v>8</v>
      </c>
      <c r="B701" s="18" t="s">
        <v>407</v>
      </c>
      <c r="C701" s="23" t="s">
        <v>10</v>
      </c>
      <c r="D701" s="23" t="s">
        <v>10</v>
      </c>
      <c r="E701" s="23" t="s">
        <v>10</v>
      </c>
      <c r="F701" s="23" t="s">
        <v>11</v>
      </c>
      <c r="G701" s="147" t="s">
        <v>1301</v>
      </c>
      <c r="H701" s="19">
        <v>0.32</v>
      </c>
      <c r="I701" s="19">
        <v>240</v>
      </c>
      <c r="J701" s="19">
        <v>96</v>
      </c>
      <c r="K701" s="21" t="s">
        <v>1219</v>
      </c>
      <c r="L701" s="49" t="s">
        <v>1422</v>
      </c>
      <c r="M701" s="21" t="s">
        <v>1289</v>
      </c>
      <c r="N701" s="174">
        <v>43402</v>
      </c>
      <c r="O701" s="23" t="s">
        <v>1292</v>
      </c>
      <c r="P701" s="23" t="s">
        <v>17</v>
      </c>
      <c r="Q701" s="23" t="s">
        <v>17</v>
      </c>
      <c r="R701" s="150" t="s">
        <v>27</v>
      </c>
      <c r="S701" s="21" t="s">
        <v>10</v>
      </c>
      <c r="T701" s="20" t="s">
        <v>10</v>
      </c>
      <c r="U701" s="19">
        <v>0.1</v>
      </c>
      <c r="V701" s="19"/>
      <c r="W701" s="19"/>
      <c r="X701" s="19">
        <v>53</v>
      </c>
      <c r="Y701" s="19">
        <v>60</v>
      </c>
      <c r="Z701" s="19">
        <v>64</v>
      </c>
      <c r="AA701" s="40">
        <v>0.03</v>
      </c>
      <c r="AB701" s="40">
        <v>0.06</v>
      </c>
      <c r="AC701" s="40">
        <v>0.1</v>
      </c>
      <c r="AD701" s="40">
        <v>0.16</v>
      </c>
      <c r="AE701" s="40">
        <v>0.24</v>
      </c>
      <c r="AF701" s="40">
        <v>0.32</v>
      </c>
      <c r="AG701" s="40">
        <v>89.7</v>
      </c>
      <c r="AH701" s="40">
        <v>94.1</v>
      </c>
      <c r="AI701" s="40">
        <v>95.3</v>
      </c>
      <c r="AJ701" s="40">
        <v>96.2</v>
      </c>
      <c r="AK701" s="40">
        <v>96.1</v>
      </c>
      <c r="AL701" s="40">
        <v>95.9</v>
      </c>
      <c r="AM701" s="40">
        <v>95.7</v>
      </c>
      <c r="AN701" s="40">
        <v>90</v>
      </c>
      <c r="AO701" s="40">
        <v>94.3</v>
      </c>
      <c r="AP701" s="40">
        <v>95.4</v>
      </c>
      <c r="AQ701" s="40">
        <v>96.3</v>
      </c>
      <c r="AR701" s="40">
        <v>96.3</v>
      </c>
      <c r="AS701" s="40">
        <v>96.2</v>
      </c>
      <c r="AT701" s="40">
        <v>95.8</v>
      </c>
      <c r="AU701" s="40">
        <v>89.6</v>
      </c>
      <c r="AV701" s="40">
        <v>94</v>
      </c>
      <c r="AW701" s="40">
        <v>95.2</v>
      </c>
      <c r="AX701" s="40">
        <v>96.3</v>
      </c>
      <c r="AY701" s="40">
        <v>96.4</v>
      </c>
      <c r="AZ701" s="40">
        <v>96.2</v>
      </c>
      <c r="BA701" s="40">
        <v>95.8</v>
      </c>
      <c r="BB701" s="174">
        <v>42979</v>
      </c>
      <c r="BC701" s="174">
        <v>43511</v>
      </c>
    </row>
    <row r="702" spans="1:55" ht="60">
      <c r="A702" s="140" t="s">
        <v>8</v>
      </c>
      <c r="B702" s="140" t="s">
        <v>1165</v>
      </c>
      <c r="C702" s="26" t="s">
        <v>10</v>
      </c>
      <c r="D702" s="26" t="s">
        <v>10</v>
      </c>
      <c r="E702" s="23" t="s">
        <v>10</v>
      </c>
      <c r="F702" s="23" t="s">
        <v>11</v>
      </c>
      <c r="G702" s="140" t="s">
        <v>1166</v>
      </c>
      <c r="H702" s="149">
        <v>0.315</v>
      </c>
      <c r="I702" s="129">
        <v>208</v>
      </c>
      <c r="J702" s="137">
        <v>97</v>
      </c>
      <c r="K702" s="21" t="s">
        <v>1219</v>
      </c>
      <c r="L702" s="58" t="s">
        <v>1151</v>
      </c>
      <c r="M702" s="26" t="s">
        <v>759</v>
      </c>
      <c r="N702" s="176">
        <v>43419</v>
      </c>
      <c r="O702" s="58" t="s">
        <v>1151</v>
      </c>
      <c r="P702" s="23" t="s">
        <v>17</v>
      </c>
      <c r="Q702" s="23" t="s">
        <v>17</v>
      </c>
      <c r="R702" s="152" t="s">
        <v>27</v>
      </c>
      <c r="S702" s="131" t="s">
        <v>11</v>
      </c>
      <c r="T702" s="131" t="s">
        <v>10</v>
      </c>
      <c r="U702" s="132">
        <v>2.1000000000000001E-2</v>
      </c>
      <c r="V702" s="133"/>
      <c r="W702" s="133"/>
      <c r="X702" s="133">
        <v>53</v>
      </c>
      <c r="Y702" s="133">
        <v>60</v>
      </c>
      <c r="Z702" s="133">
        <v>64</v>
      </c>
      <c r="AA702" s="132">
        <v>3.15E-2</v>
      </c>
      <c r="AB702" s="132">
        <v>6.3E-2</v>
      </c>
      <c r="AC702" s="132">
        <v>9.4500000000000001E-2</v>
      </c>
      <c r="AD702" s="132">
        <v>0.1575</v>
      </c>
      <c r="AE702" s="132">
        <v>0.23625000000000002</v>
      </c>
      <c r="AF702" s="132">
        <v>0.315</v>
      </c>
      <c r="AG702" s="137">
        <v>90.483609999999999</v>
      </c>
      <c r="AH702" s="137">
        <v>96.662759999999992</v>
      </c>
      <c r="AI702" s="137">
        <v>97.099880000000013</v>
      </c>
      <c r="AJ702" s="137">
        <v>97.635729999999995</v>
      </c>
      <c r="AK702" s="137">
        <v>97.524219999999985</v>
      </c>
      <c r="AL702" s="137">
        <v>97.103530000000006</v>
      </c>
      <c r="AM702" s="137">
        <v>97.150984399999999</v>
      </c>
      <c r="AN702" s="137">
        <v>95.414170000000013</v>
      </c>
      <c r="AO702" s="137">
        <v>96.465389999999999</v>
      </c>
      <c r="AP702" s="137">
        <v>96.900779999999997</v>
      </c>
      <c r="AQ702" s="137">
        <v>97.542020000000008</v>
      </c>
      <c r="AR702" s="137">
        <v>97.461279999999988</v>
      </c>
      <c r="AS702" s="137">
        <v>97.049990000000008</v>
      </c>
      <c r="AT702" s="137">
        <v>97.258731999999981</v>
      </c>
      <c r="AU702" s="137">
        <v>95.270490000000009</v>
      </c>
      <c r="AV702" s="137">
        <v>96.333490000000012</v>
      </c>
      <c r="AW702" s="137">
        <v>96.813520000000011</v>
      </c>
      <c r="AX702" s="137">
        <v>97.502470000000002</v>
      </c>
      <c r="AY702" s="137">
        <v>97.42989</v>
      </c>
      <c r="AZ702" s="137">
        <v>97.019700000000014</v>
      </c>
      <c r="BA702" s="137">
        <v>97.209461900000008</v>
      </c>
      <c r="BB702" s="176">
        <v>43419</v>
      </c>
      <c r="BC702" s="176"/>
    </row>
    <row r="703" spans="1:55" ht="60">
      <c r="A703" s="140" t="s">
        <v>8</v>
      </c>
      <c r="B703" s="140" t="s">
        <v>1175</v>
      </c>
      <c r="C703" s="26" t="s">
        <v>10</v>
      </c>
      <c r="D703" s="26" t="s">
        <v>10</v>
      </c>
      <c r="E703" s="23" t="s">
        <v>10</v>
      </c>
      <c r="F703" s="23" t="s">
        <v>11</v>
      </c>
      <c r="G703" s="140" t="s">
        <v>1176</v>
      </c>
      <c r="H703" s="149">
        <v>0.315</v>
      </c>
      <c r="I703" s="129">
        <v>240</v>
      </c>
      <c r="J703" s="137">
        <v>97.5</v>
      </c>
      <c r="K703" s="21" t="s">
        <v>1219</v>
      </c>
      <c r="L703" s="58" t="s">
        <v>1151</v>
      </c>
      <c r="M703" s="26" t="s">
        <v>759</v>
      </c>
      <c r="N703" s="176">
        <v>43419</v>
      </c>
      <c r="O703" s="58" t="s">
        <v>1151</v>
      </c>
      <c r="P703" s="23" t="s">
        <v>17</v>
      </c>
      <c r="Q703" s="23" t="s">
        <v>17</v>
      </c>
      <c r="R703" s="152" t="s">
        <v>27</v>
      </c>
      <c r="S703" s="131" t="s">
        <v>11</v>
      </c>
      <c r="T703" s="131" t="s">
        <v>10</v>
      </c>
      <c r="U703" s="132">
        <v>2.1000000000000001E-2</v>
      </c>
      <c r="V703" s="133"/>
      <c r="W703" s="133"/>
      <c r="X703" s="133">
        <v>53</v>
      </c>
      <c r="Y703" s="133">
        <v>60</v>
      </c>
      <c r="Z703" s="133">
        <v>64</v>
      </c>
      <c r="AA703" s="132">
        <v>3.15E-2</v>
      </c>
      <c r="AB703" s="132">
        <v>6.3E-2</v>
      </c>
      <c r="AC703" s="132">
        <v>9.4500000000000001E-2</v>
      </c>
      <c r="AD703" s="132">
        <v>0.1575</v>
      </c>
      <c r="AE703" s="132">
        <v>0.23625000000000002</v>
      </c>
      <c r="AF703" s="132">
        <v>0.315</v>
      </c>
      <c r="AG703" s="137">
        <v>95.734780000000015</v>
      </c>
      <c r="AH703" s="137">
        <v>96.840240000000009</v>
      </c>
      <c r="AI703" s="137">
        <v>96.996160000000003</v>
      </c>
      <c r="AJ703" s="137">
        <v>97.762709999999998</v>
      </c>
      <c r="AK703" s="137">
        <v>97.755849999999981</v>
      </c>
      <c r="AL703" s="137">
        <v>97.46862999999999</v>
      </c>
      <c r="AM703" s="137">
        <v>97.525143499999984</v>
      </c>
      <c r="AN703" s="137">
        <v>95.610320000000002</v>
      </c>
      <c r="AO703" s="137">
        <v>96.678239999999988</v>
      </c>
      <c r="AP703" s="137">
        <v>96.754879999999986</v>
      </c>
      <c r="AQ703" s="137">
        <v>97.666660000000007</v>
      </c>
      <c r="AR703" s="137">
        <v>97.739180000000005</v>
      </c>
      <c r="AS703" s="137">
        <v>97.513729999999981</v>
      </c>
      <c r="AT703" s="137">
        <v>97.456360900000007</v>
      </c>
      <c r="AU703" s="137">
        <v>95.436540000000008</v>
      </c>
      <c r="AV703" s="137">
        <v>96.497949999999989</v>
      </c>
      <c r="AW703" s="137">
        <v>96.657110000000017</v>
      </c>
      <c r="AX703" s="137">
        <v>97.603840000000019</v>
      </c>
      <c r="AY703" s="137">
        <v>97.700140000000005</v>
      </c>
      <c r="AZ703" s="137">
        <v>97.48254</v>
      </c>
      <c r="BA703" s="137">
        <v>97.393219900000005</v>
      </c>
      <c r="BB703" s="176">
        <v>43419</v>
      </c>
      <c r="BC703" s="176"/>
    </row>
    <row r="704" spans="1:55" ht="75">
      <c r="A704" s="140" t="s">
        <v>8</v>
      </c>
      <c r="B704" s="140" t="s">
        <v>1102</v>
      </c>
      <c r="C704" s="26" t="s">
        <v>10</v>
      </c>
      <c r="D704" s="26" t="s">
        <v>10</v>
      </c>
      <c r="E704" s="23" t="s">
        <v>10</v>
      </c>
      <c r="F704" s="23" t="s">
        <v>11</v>
      </c>
      <c r="G704" s="140" t="s">
        <v>1428</v>
      </c>
      <c r="H704" s="132">
        <v>0.32</v>
      </c>
      <c r="I704" s="132">
        <v>208</v>
      </c>
      <c r="J704" s="132">
        <v>95.5</v>
      </c>
      <c r="K704" s="21" t="s">
        <v>1219</v>
      </c>
      <c r="L704" s="49" t="s">
        <v>1422</v>
      </c>
      <c r="M704" s="26" t="s">
        <v>1289</v>
      </c>
      <c r="N704" s="174">
        <v>43399</v>
      </c>
      <c r="O704" s="23" t="s">
        <v>1292</v>
      </c>
      <c r="P704" s="23" t="s">
        <v>17</v>
      </c>
      <c r="Q704" s="23" t="s">
        <v>17</v>
      </c>
      <c r="R704" s="166" t="s">
        <v>27</v>
      </c>
      <c r="S704" s="167" t="s">
        <v>10</v>
      </c>
      <c r="T704" s="167" t="s">
        <v>10</v>
      </c>
      <c r="U704" s="132">
        <v>0.02</v>
      </c>
      <c r="V704" s="133"/>
      <c r="W704" s="133"/>
      <c r="X704" s="133">
        <v>53</v>
      </c>
      <c r="Y704" s="133">
        <v>60</v>
      </c>
      <c r="Z704" s="133">
        <v>64</v>
      </c>
      <c r="AA704" s="134">
        <v>0.03</v>
      </c>
      <c r="AB704" s="134">
        <v>0.06</v>
      </c>
      <c r="AC704" s="134">
        <v>0.1</v>
      </c>
      <c r="AD704" s="134">
        <v>0.16</v>
      </c>
      <c r="AE704" s="134">
        <v>0.24</v>
      </c>
      <c r="AF704" s="134">
        <v>0.32</v>
      </c>
      <c r="AG704" s="134">
        <v>90.8</v>
      </c>
      <c r="AH704" s="134">
        <v>94.5</v>
      </c>
      <c r="AI704" s="134">
        <v>95.5</v>
      </c>
      <c r="AJ704" s="134">
        <v>96.2</v>
      </c>
      <c r="AK704" s="134">
        <v>96.1</v>
      </c>
      <c r="AL704" s="134">
        <v>95.9</v>
      </c>
      <c r="AM704" s="134">
        <v>95.7</v>
      </c>
      <c r="AN704" s="134">
        <v>90.2</v>
      </c>
      <c r="AO704" s="134">
        <v>94.5</v>
      </c>
      <c r="AP704" s="134">
        <v>95.5</v>
      </c>
      <c r="AQ704" s="134">
        <v>96.2</v>
      </c>
      <c r="AR704" s="134">
        <v>96.1</v>
      </c>
      <c r="AS704" s="134">
        <v>95.9</v>
      </c>
      <c r="AT704" s="134">
        <v>95.7</v>
      </c>
      <c r="AU704" s="134">
        <v>89.4</v>
      </c>
      <c r="AV704" s="134">
        <v>94.1</v>
      </c>
      <c r="AW704" s="134">
        <v>95.3</v>
      </c>
      <c r="AX704" s="134">
        <v>96.2</v>
      </c>
      <c r="AY704" s="134">
        <v>96.2</v>
      </c>
      <c r="AZ704" s="134">
        <v>95.9</v>
      </c>
      <c r="BA704" s="134">
        <v>95.7</v>
      </c>
      <c r="BB704" s="174">
        <v>43116</v>
      </c>
      <c r="BC704" s="174">
        <v>43511</v>
      </c>
    </row>
    <row r="705" spans="1:55" ht="75">
      <c r="A705" s="140" t="s">
        <v>8</v>
      </c>
      <c r="B705" s="140" t="s">
        <v>1103</v>
      </c>
      <c r="C705" s="26" t="s">
        <v>10</v>
      </c>
      <c r="D705" s="26" t="s">
        <v>10</v>
      </c>
      <c r="E705" s="23" t="s">
        <v>10</v>
      </c>
      <c r="F705" s="23" t="s">
        <v>11</v>
      </c>
      <c r="G705" s="140" t="s">
        <v>1427</v>
      </c>
      <c r="H705" s="132">
        <v>0.32</v>
      </c>
      <c r="I705" s="132">
        <v>240</v>
      </c>
      <c r="J705" s="132">
        <v>96</v>
      </c>
      <c r="K705" s="21" t="s">
        <v>1219</v>
      </c>
      <c r="L705" s="49" t="s">
        <v>1422</v>
      </c>
      <c r="M705" s="26" t="s">
        <v>1289</v>
      </c>
      <c r="N705" s="174">
        <v>43403</v>
      </c>
      <c r="O705" s="23" t="s">
        <v>1292</v>
      </c>
      <c r="P705" s="23" t="s">
        <v>17</v>
      </c>
      <c r="Q705" s="23" t="s">
        <v>17</v>
      </c>
      <c r="R705" s="166" t="s">
        <v>27</v>
      </c>
      <c r="S705" s="167" t="s">
        <v>10</v>
      </c>
      <c r="T705" s="167" t="s">
        <v>10</v>
      </c>
      <c r="U705" s="132">
        <v>0.1</v>
      </c>
      <c r="V705" s="133"/>
      <c r="W705" s="133"/>
      <c r="X705" s="133">
        <v>53</v>
      </c>
      <c r="Y705" s="133">
        <v>60</v>
      </c>
      <c r="Z705" s="133">
        <v>64</v>
      </c>
      <c r="AA705" s="134">
        <v>0.03</v>
      </c>
      <c r="AB705" s="134">
        <v>0.06</v>
      </c>
      <c r="AC705" s="134">
        <v>0.1</v>
      </c>
      <c r="AD705" s="134">
        <v>0.16</v>
      </c>
      <c r="AE705" s="134">
        <v>0.24</v>
      </c>
      <c r="AF705" s="134">
        <v>0.32</v>
      </c>
      <c r="AG705" s="134">
        <v>89.7</v>
      </c>
      <c r="AH705" s="134">
        <v>94.1</v>
      </c>
      <c r="AI705" s="134">
        <v>95.3</v>
      </c>
      <c r="AJ705" s="134">
        <v>96.2</v>
      </c>
      <c r="AK705" s="134">
        <v>96.1</v>
      </c>
      <c r="AL705" s="134">
        <v>95.9</v>
      </c>
      <c r="AM705" s="134">
        <v>95.7</v>
      </c>
      <c r="AN705" s="134">
        <v>90</v>
      </c>
      <c r="AO705" s="134">
        <v>94.3</v>
      </c>
      <c r="AP705" s="134">
        <v>95.4</v>
      </c>
      <c r="AQ705" s="134">
        <v>96.3</v>
      </c>
      <c r="AR705" s="134">
        <v>96.3</v>
      </c>
      <c r="AS705" s="134">
        <v>96.2</v>
      </c>
      <c r="AT705" s="134">
        <v>95.8</v>
      </c>
      <c r="AU705" s="134">
        <v>89.6</v>
      </c>
      <c r="AV705" s="134">
        <v>94</v>
      </c>
      <c r="AW705" s="134">
        <v>95.2</v>
      </c>
      <c r="AX705" s="134">
        <v>96.3</v>
      </c>
      <c r="AY705" s="134">
        <v>96.4</v>
      </c>
      <c r="AZ705" s="134">
        <v>96.2</v>
      </c>
      <c r="BA705" s="134">
        <v>95.8</v>
      </c>
      <c r="BB705" s="174">
        <v>43116</v>
      </c>
      <c r="BC705" s="174">
        <v>43511</v>
      </c>
    </row>
    <row r="706" spans="1:55" ht="60">
      <c r="A706" s="140" t="s">
        <v>8</v>
      </c>
      <c r="B706" s="140" t="s">
        <v>1149</v>
      </c>
      <c r="C706" s="26" t="s">
        <v>10</v>
      </c>
      <c r="D706" s="26" t="s">
        <v>10</v>
      </c>
      <c r="E706" s="23" t="s">
        <v>10</v>
      </c>
      <c r="F706" s="23" t="s">
        <v>11</v>
      </c>
      <c r="G706" s="140" t="s">
        <v>1150</v>
      </c>
      <c r="H706" s="149">
        <v>0.315</v>
      </c>
      <c r="I706" s="129">
        <v>208</v>
      </c>
      <c r="J706" s="137">
        <v>97</v>
      </c>
      <c r="K706" s="21" t="s">
        <v>1219</v>
      </c>
      <c r="L706" s="58" t="s">
        <v>1151</v>
      </c>
      <c r="M706" s="26" t="s">
        <v>759</v>
      </c>
      <c r="N706" s="176">
        <v>43419</v>
      </c>
      <c r="O706" s="58" t="s">
        <v>1151</v>
      </c>
      <c r="P706" s="23" t="s">
        <v>17</v>
      </c>
      <c r="Q706" s="23" t="s">
        <v>17</v>
      </c>
      <c r="R706" s="152" t="s">
        <v>27</v>
      </c>
      <c r="S706" s="131" t="s">
        <v>11</v>
      </c>
      <c r="T706" s="131" t="s">
        <v>10</v>
      </c>
      <c r="U706" s="132">
        <v>2.1000000000000001E-2</v>
      </c>
      <c r="V706" s="133"/>
      <c r="W706" s="133"/>
      <c r="X706" s="133">
        <v>53</v>
      </c>
      <c r="Y706" s="133">
        <v>60</v>
      </c>
      <c r="Z706" s="133">
        <v>64</v>
      </c>
      <c r="AA706" s="132">
        <v>3.15E-2</v>
      </c>
      <c r="AB706" s="132">
        <v>6.3E-2</v>
      </c>
      <c r="AC706" s="132">
        <v>9.4500000000000001E-2</v>
      </c>
      <c r="AD706" s="132">
        <v>0.1575</v>
      </c>
      <c r="AE706" s="132">
        <v>0.23625000000000002</v>
      </c>
      <c r="AF706" s="132">
        <v>0.315</v>
      </c>
      <c r="AG706" s="137">
        <v>90.483609999999999</v>
      </c>
      <c r="AH706" s="137">
        <v>96.662759999999992</v>
      </c>
      <c r="AI706" s="137">
        <v>97.099880000000013</v>
      </c>
      <c r="AJ706" s="137">
        <v>97.635729999999995</v>
      </c>
      <c r="AK706" s="137">
        <v>97.524219999999985</v>
      </c>
      <c r="AL706" s="137">
        <v>97.103530000000006</v>
      </c>
      <c r="AM706" s="137">
        <v>97.150984399999999</v>
      </c>
      <c r="AN706" s="137">
        <v>95.414170000000013</v>
      </c>
      <c r="AO706" s="137">
        <v>96.465389999999999</v>
      </c>
      <c r="AP706" s="137">
        <v>96.900779999999997</v>
      </c>
      <c r="AQ706" s="137">
        <v>97.542020000000008</v>
      </c>
      <c r="AR706" s="137">
        <v>97.461279999999988</v>
      </c>
      <c r="AS706" s="137">
        <v>97.049990000000008</v>
      </c>
      <c r="AT706" s="137">
        <v>97.258731999999981</v>
      </c>
      <c r="AU706" s="137">
        <v>95.270490000000009</v>
      </c>
      <c r="AV706" s="137">
        <v>96.333490000000012</v>
      </c>
      <c r="AW706" s="137">
        <v>96.813520000000011</v>
      </c>
      <c r="AX706" s="137">
        <v>97.502470000000002</v>
      </c>
      <c r="AY706" s="137">
        <v>97.42989</v>
      </c>
      <c r="AZ706" s="137">
        <v>97.019700000000014</v>
      </c>
      <c r="BA706" s="137">
        <v>97.209461900000008</v>
      </c>
      <c r="BB706" s="176">
        <v>43419</v>
      </c>
      <c r="BC706" s="176"/>
    </row>
    <row r="707" spans="1:55" ht="60">
      <c r="A707" s="140" t="s">
        <v>8</v>
      </c>
      <c r="B707" s="140" t="s">
        <v>1156</v>
      </c>
      <c r="C707" s="26" t="s">
        <v>10</v>
      </c>
      <c r="D707" s="26" t="s">
        <v>10</v>
      </c>
      <c r="E707" s="23" t="s">
        <v>10</v>
      </c>
      <c r="F707" s="23" t="s">
        <v>11</v>
      </c>
      <c r="G707" s="140" t="s">
        <v>1157</v>
      </c>
      <c r="H707" s="149">
        <v>0.315</v>
      </c>
      <c r="I707" s="129">
        <v>240</v>
      </c>
      <c r="J707" s="137">
        <v>97.5</v>
      </c>
      <c r="K707" s="21" t="s">
        <v>1219</v>
      </c>
      <c r="L707" s="58" t="s">
        <v>1151</v>
      </c>
      <c r="M707" s="26" t="s">
        <v>759</v>
      </c>
      <c r="N707" s="176">
        <v>43419</v>
      </c>
      <c r="O707" s="58" t="s">
        <v>1151</v>
      </c>
      <c r="P707" s="23" t="s">
        <v>17</v>
      </c>
      <c r="Q707" s="23" t="s">
        <v>17</v>
      </c>
      <c r="R707" s="152" t="s">
        <v>27</v>
      </c>
      <c r="S707" s="131" t="s">
        <v>11</v>
      </c>
      <c r="T707" s="131" t="s">
        <v>10</v>
      </c>
      <c r="U707" s="132">
        <v>2.1000000000000001E-2</v>
      </c>
      <c r="V707" s="133"/>
      <c r="W707" s="133"/>
      <c r="X707" s="133">
        <v>53</v>
      </c>
      <c r="Y707" s="133">
        <v>60</v>
      </c>
      <c r="Z707" s="133">
        <v>64</v>
      </c>
      <c r="AA707" s="132">
        <v>3.15E-2</v>
      </c>
      <c r="AB707" s="132">
        <v>6.3E-2</v>
      </c>
      <c r="AC707" s="132">
        <v>9.4500000000000001E-2</v>
      </c>
      <c r="AD707" s="132">
        <v>0.1575</v>
      </c>
      <c r="AE707" s="132">
        <v>0.23625000000000002</v>
      </c>
      <c r="AF707" s="132">
        <v>0.315</v>
      </c>
      <c r="AG707" s="137">
        <v>95.734780000000015</v>
      </c>
      <c r="AH707" s="137">
        <v>96.840240000000009</v>
      </c>
      <c r="AI707" s="137">
        <v>96.996160000000003</v>
      </c>
      <c r="AJ707" s="137">
        <v>97.762709999999998</v>
      </c>
      <c r="AK707" s="137">
        <v>97.755849999999981</v>
      </c>
      <c r="AL707" s="137">
        <v>97.46862999999999</v>
      </c>
      <c r="AM707" s="137">
        <v>97.525143499999984</v>
      </c>
      <c r="AN707" s="137">
        <v>95.610320000000002</v>
      </c>
      <c r="AO707" s="137">
        <v>96.678239999999988</v>
      </c>
      <c r="AP707" s="137">
        <v>96.754879999999986</v>
      </c>
      <c r="AQ707" s="137">
        <v>97.666660000000007</v>
      </c>
      <c r="AR707" s="137">
        <v>97.739180000000005</v>
      </c>
      <c r="AS707" s="137">
        <v>97.513729999999981</v>
      </c>
      <c r="AT707" s="137">
        <v>97.456360900000007</v>
      </c>
      <c r="AU707" s="137">
        <v>95.436540000000008</v>
      </c>
      <c r="AV707" s="137">
        <v>96.497949999999989</v>
      </c>
      <c r="AW707" s="137">
        <v>96.657110000000017</v>
      </c>
      <c r="AX707" s="137">
        <v>97.603840000000019</v>
      </c>
      <c r="AY707" s="137">
        <v>97.700140000000005</v>
      </c>
      <c r="AZ707" s="137">
        <v>97.48254</v>
      </c>
      <c r="BA707" s="137">
        <v>97.393219900000005</v>
      </c>
      <c r="BB707" s="176">
        <v>43419</v>
      </c>
      <c r="BC707" s="176"/>
    </row>
    <row r="708" spans="1:55" ht="75">
      <c r="A708" s="18" t="s">
        <v>8</v>
      </c>
      <c r="B708" s="18" t="s">
        <v>408</v>
      </c>
      <c r="C708" s="23" t="s">
        <v>10</v>
      </c>
      <c r="D708" s="23" t="s">
        <v>10</v>
      </c>
      <c r="E708" s="23" t="s">
        <v>10</v>
      </c>
      <c r="F708" s="23" t="s">
        <v>11</v>
      </c>
      <c r="G708" s="147" t="s">
        <v>1299</v>
      </c>
      <c r="H708" s="19">
        <v>0.32</v>
      </c>
      <c r="I708" s="19">
        <v>208</v>
      </c>
      <c r="J708" s="19">
        <v>95.5</v>
      </c>
      <c r="K708" s="21" t="s">
        <v>1219</v>
      </c>
      <c r="L708" s="49" t="s">
        <v>1422</v>
      </c>
      <c r="M708" s="21" t="s">
        <v>1289</v>
      </c>
      <c r="N708" s="174">
        <v>43400</v>
      </c>
      <c r="O708" s="23" t="s">
        <v>1292</v>
      </c>
      <c r="P708" s="23" t="s">
        <v>17</v>
      </c>
      <c r="Q708" s="23" t="s">
        <v>17</v>
      </c>
      <c r="R708" s="150" t="s">
        <v>27</v>
      </c>
      <c r="S708" s="21" t="s">
        <v>10</v>
      </c>
      <c r="T708" s="20" t="s">
        <v>10</v>
      </c>
      <c r="U708" s="19">
        <v>0.02</v>
      </c>
      <c r="V708" s="19"/>
      <c r="W708" s="19"/>
      <c r="X708" s="19">
        <v>53</v>
      </c>
      <c r="Y708" s="19">
        <v>60</v>
      </c>
      <c r="Z708" s="19">
        <v>64</v>
      </c>
      <c r="AA708" s="40">
        <v>0.03</v>
      </c>
      <c r="AB708" s="40">
        <v>0.06</v>
      </c>
      <c r="AC708" s="40">
        <v>0.1</v>
      </c>
      <c r="AD708" s="40">
        <v>0.16</v>
      </c>
      <c r="AE708" s="40">
        <v>0.24</v>
      </c>
      <c r="AF708" s="40">
        <v>0.32</v>
      </c>
      <c r="AG708" s="40">
        <v>90.8</v>
      </c>
      <c r="AH708" s="40">
        <v>94.5</v>
      </c>
      <c r="AI708" s="40">
        <v>95.5</v>
      </c>
      <c r="AJ708" s="40">
        <v>96.2</v>
      </c>
      <c r="AK708" s="40">
        <v>96.1</v>
      </c>
      <c r="AL708" s="40">
        <v>95.9</v>
      </c>
      <c r="AM708" s="40">
        <v>95.7</v>
      </c>
      <c r="AN708" s="40">
        <v>90.2</v>
      </c>
      <c r="AO708" s="40">
        <v>94.5</v>
      </c>
      <c r="AP708" s="40">
        <v>95.5</v>
      </c>
      <c r="AQ708" s="40">
        <v>96.2</v>
      </c>
      <c r="AR708" s="40">
        <v>96.1</v>
      </c>
      <c r="AS708" s="40">
        <v>95.9</v>
      </c>
      <c r="AT708" s="40">
        <v>95.7</v>
      </c>
      <c r="AU708" s="40">
        <v>89.4</v>
      </c>
      <c r="AV708" s="40">
        <v>94.1</v>
      </c>
      <c r="AW708" s="40">
        <v>95.3</v>
      </c>
      <c r="AX708" s="40">
        <v>96.2</v>
      </c>
      <c r="AY708" s="40">
        <v>96.2</v>
      </c>
      <c r="AZ708" s="40">
        <v>95.9</v>
      </c>
      <c r="BA708" s="40">
        <v>95.7</v>
      </c>
      <c r="BB708" s="174">
        <v>42979</v>
      </c>
      <c r="BC708" s="174">
        <v>43511</v>
      </c>
    </row>
    <row r="709" spans="1:55" ht="75">
      <c r="A709" s="18" t="s">
        <v>8</v>
      </c>
      <c r="B709" s="18" t="s">
        <v>409</v>
      </c>
      <c r="C709" s="23" t="s">
        <v>10</v>
      </c>
      <c r="D709" s="23" t="s">
        <v>10</v>
      </c>
      <c r="E709" s="23" t="s">
        <v>10</v>
      </c>
      <c r="F709" s="23" t="s">
        <v>11</v>
      </c>
      <c r="G709" s="147" t="s">
        <v>1302</v>
      </c>
      <c r="H709" s="19">
        <v>0.32</v>
      </c>
      <c r="I709" s="19">
        <v>240</v>
      </c>
      <c r="J709" s="19">
        <v>96</v>
      </c>
      <c r="K709" s="21" t="s">
        <v>1219</v>
      </c>
      <c r="L709" s="49" t="s">
        <v>1422</v>
      </c>
      <c r="M709" s="21" t="s">
        <v>1289</v>
      </c>
      <c r="N709" s="174">
        <v>43404</v>
      </c>
      <c r="O709" s="23" t="s">
        <v>1292</v>
      </c>
      <c r="P709" s="23" t="s">
        <v>17</v>
      </c>
      <c r="Q709" s="23" t="s">
        <v>17</v>
      </c>
      <c r="R709" s="150" t="s">
        <v>27</v>
      </c>
      <c r="S709" s="21" t="s">
        <v>10</v>
      </c>
      <c r="T709" s="20" t="s">
        <v>10</v>
      </c>
      <c r="U709" s="19">
        <v>0.1</v>
      </c>
      <c r="V709" s="19"/>
      <c r="W709" s="19"/>
      <c r="X709" s="19">
        <v>53</v>
      </c>
      <c r="Y709" s="19">
        <v>60</v>
      </c>
      <c r="Z709" s="19">
        <v>64</v>
      </c>
      <c r="AA709" s="40">
        <v>0.03</v>
      </c>
      <c r="AB709" s="40">
        <v>0.06</v>
      </c>
      <c r="AC709" s="40">
        <v>0.1</v>
      </c>
      <c r="AD709" s="40">
        <v>0.16</v>
      </c>
      <c r="AE709" s="40">
        <v>0.24</v>
      </c>
      <c r="AF709" s="40">
        <v>0.32</v>
      </c>
      <c r="AG709" s="40">
        <v>89.7</v>
      </c>
      <c r="AH709" s="40">
        <v>94.1</v>
      </c>
      <c r="AI709" s="40">
        <v>95.3</v>
      </c>
      <c r="AJ709" s="40">
        <v>96.2</v>
      </c>
      <c r="AK709" s="40">
        <v>96.1</v>
      </c>
      <c r="AL709" s="40">
        <v>95.9</v>
      </c>
      <c r="AM709" s="40">
        <v>95.7</v>
      </c>
      <c r="AN709" s="40">
        <v>90</v>
      </c>
      <c r="AO709" s="40">
        <v>94.3</v>
      </c>
      <c r="AP709" s="40">
        <v>95.4</v>
      </c>
      <c r="AQ709" s="40">
        <v>96.3</v>
      </c>
      <c r="AR709" s="40">
        <v>96.3</v>
      </c>
      <c r="AS709" s="40">
        <v>96.2</v>
      </c>
      <c r="AT709" s="40">
        <v>95.8</v>
      </c>
      <c r="AU709" s="40">
        <v>89.6</v>
      </c>
      <c r="AV709" s="40">
        <v>94</v>
      </c>
      <c r="AW709" s="40">
        <v>95.2</v>
      </c>
      <c r="AX709" s="40">
        <v>96.3</v>
      </c>
      <c r="AY709" s="40">
        <v>96.4</v>
      </c>
      <c r="AZ709" s="40">
        <v>96.2</v>
      </c>
      <c r="BA709" s="40">
        <v>95.8</v>
      </c>
      <c r="BB709" s="174">
        <v>42979</v>
      </c>
      <c r="BC709" s="174">
        <v>43511</v>
      </c>
    </row>
    <row r="710" spans="1:55" ht="60">
      <c r="A710" s="140" t="s">
        <v>8</v>
      </c>
      <c r="B710" s="140" t="s">
        <v>1163</v>
      </c>
      <c r="C710" s="26" t="s">
        <v>10</v>
      </c>
      <c r="D710" s="26" t="s">
        <v>10</v>
      </c>
      <c r="E710" s="23" t="s">
        <v>10</v>
      </c>
      <c r="F710" s="23" t="s">
        <v>11</v>
      </c>
      <c r="G710" s="140" t="s">
        <v>1164</v>
      </c>
      <c r="H710" s="149">
        <v>0.315</v>
      </c>
      <c r="I710" s="129">
        <v>208</v>
      </c>
      <c r="J710" s="137">
        <v>97</v>
      </c>
      <c r="K710" s="21" t="s">
        <v>1219</v>
      </c>
      <c r="L710" s="58" t="s">
        <v>1151</v>
      </c>
      <c r="M710" s="26" t="s">
        <v>759</v>
      </c>
      <c r="N710" s="176">
        <v>43419</v>
      </c>
      <c r="O710" s="58" t="s">
        <v>1151</v>
      </c>
      <c r="P710" s="23" t="s">
        <v>17</v>
      </c>
      <c r="Q710" s="23" t="s">
        <v>17</v>
      </c>
      <c r="R710" s="152" t="s">
        <v>27</v>
      </c>
      <c r="S710" s="131" t="s">
        <v>11</v>
      </c>
      <c r="T710" s="131" t="s">
        <v>10</v>
      </c>
      <c r="U710" s="132">
        <v>2.1000000000000001E-2</v>
      </c>
      <c r="V710" s="133"/>
      <c r="W710" s="133"/>
      <c r="X710" s="133">
        <v>53</v>
      </c>
      <c r="Y710" s="133">
        <v>60</v>
      </c>
      <c r="Z710" s="133">
        <v>64</v>
      </c>
      <c r="AA710" s="132">
        <v>3.15E-2</v>
      </c>
      <c r="AB710" s="132">
        <v>6.3E-2</v>
      </c>
      <c r="AC710" s="132">
        <v>9.4500000000000001E-2</v>
      </c>
      <c r="AD710" s="132">
        <v>0.1575</v>
      </c>
      <c r="AE710" s="132">
        <v>0.23625000000000002</v>
      </c>
      <c r="AF710" s="132">
        <v>0.315</v>
      </c>
      <c r="AG710" s="137">
        <v>90.483609999999999</v>
      </c>
      <c r="AH710" s="137">
        <v>96.662759999999992</v>
      </c>
      <c r="AI710" s="137">
        <v>97.099880000000013</v>
      </c>
      <c r="AJ710" s="137">
        <v>97.635729999999995</v>
      </c>
      <c r="AK710" s="137">
        <v>97.524219999999985</v>
      </c>
      <c r="AL710" s="137">
        <v>97.103530000000006</v>
      </c>
      <c r="AM710" s="137">
        <v>97.150984399999999</v>
      </c>
      <c r="AN710" s="137">
        <v>95.414170000000013</v>
      </c>
      <c r="AO710" s="137">
        <v>96.465389999999999</v>
      </c>
      <c r="AP710" s="137">
        <v>96.900779999999997</v>
      </c>
      <c r="AQ710" s="137">
        <v>97.542020000000008</v>
      </c>
      <c r="AR710" s="137">
        <v>97.461279999999988</v>
      </c>
      <c r="AS710" s="137">
        <v>97.049990000000008</v>
      </c>
      <c r="AT710" s="137">
        <v>97.258731999999981</v>
      </c>
      <c r="AU710" s="137">
        <v>95.270490000000009</v>
      </c>
      <c r="AV710" s="137">
        <v>96.333490000000012</v>
      </c>
      <c r="AW710" s="137">
        <v>96.813520000000011</v>
      </c>
      <c r="AX710" s="137">
        <v>97.502470000000002</v>
      </c>
      <c r="AY710" s="137">
        <v>97.42989</v>
      </c>
      <c r="AZ710" s="137">
        <v>97.019700000000014</v>
      </c>
      <c r="BA710" s="137">
        <v>97.209461900000008</v>
      </c>
      <c r="BB710" s="176">
        <v>43419</v>
      </c>
      <c r="BC710" s="176"/>
    </row>
    <row r="711" spans="1:55" ht="60">
      <c r="A711" s="140" t="s">
        <v>8</v>
      </c>
      <c r="B711" s="140" t="s">
        <v>1173</v>
      </c>
      <c r="C711" s="26" t="s">
        <v>10</v>
      </c>
      <c r="D711" s="26" t="s">
        <v>10</v>
      </c>
      <c r="E711" s="23" t="s">
        <v>10</v>
      </c>
      <c r="F711" s="23" t="s">
        <v>11</v>
      </c>
      <c r="G711" s="140" t="s">
        <v>1174</v>
      </c>
      <c r="H711" s="149">
        <v>0.315</v>
      </c>
      <c r="I711" s="129">
        <v>240</v>
      </c>
      <c r="J711" s="137">
        <v>97.5</v>
      </c>
      <c r="K711" s="21" t="s">
        <v>1219</v>
      </c>
      <c r="L711" s="58" t="s">
        <v>1151</v>
      </c>
      <c r="M711" s="26" t="s">
        <v>759</v>
      </c>
      <c r="N711" s="176">
        <v>43419</v>
      </c>
      <c r="O711" s="58" t="s">
        <v>1151</v>
      </c>
      <c r="P711" s="23" t="s">
        <v>17</v>
      </c>
      <c r="Q711" s="23" t="s">
        <v>17</v>
      </c>
      <c r="R711" s="152" t="s">
        <v>27</v>
      </c>
      <c r="S711" s="131" t="s">
        <v>11</v>
      </c>
      <c r="T711" s="131" t="s">
        <v>10</v>
      </c>
      <c r="U711" s="132">
        <v>2.1000000000000001E-2</v>
      </c>
      <c r="V711" s="133"/>
      <c r="W711" s="133"/>
      <c r="X711" s="133">
        <v>53</v>
      </c>
      <c r="Y711" s="133">
        <v>60</v>
      </c>
      <c r="Z711" s="133">
        <v>64</v>
      </c>
      <c r="AA711" s="132">
        <v>3.15E-2</v>
      </c>
      <c r="AB711" s="132">
        <v>6.3E-2</v>
      </c>
      <c r="AC711" s="132">
        <v>9.4500000000000001E-2</v>
      </c>
      <c r="AD711" s="132">
        <v>0.1575</v>
      </c>
      <c r="AE711" s="132">
        <v>0.23625000000000002</v>
      </c>
      <c r="AF711" s="132">
        <v>0.315</v>
      </c>
      <c r="AG711" s="137">
        <v>95.734780000000015</v>
      </c>
      <c r="AH711" s="137">
        <v>96.840240000000009</v>
      </c>
      <c r="AI711" s="137">
        <v>96.996160000000003</v>
      </c>
      <c r="AJ711" s="137">
        <v>97.762709999999998</v>
      </c>
      <c r="AK711" s="137">
        <v>97.755849999999981</v>
      </c>
      <c r="AL711" s="137">
        <v>97.46862999999999</v>
      </c>
      <c r="AM711" s="137">
        <v>97.525143499999984</v>
      </c>
      <c r="AN711" s="137">
        <v>95.610320000000002</v>
      </c>
      <c r="AO711" s="137">
        <v>96.678239999999988</v>
      </c>
      <c r="AP711" s="137">
        <v>96.754879999999986</v>
      </c>
      <c r="AQ711" s="137">
        <v>97.666660000000007</v>
      </c>
      <c r="AR711" s="137">
        <v>97.739180000000005</v>
      </c>
      <c r="AS711" s="137">
        <v>97.513729999999981</v>
      </c>
      <c r="AT711" s="137">
        <v>97.456360900000007</v>
      </c>
      <c r="AU711" s="137">
        <v>95.436540000000008</v>
      </c>
      <c r="AV711" s="137">
        <v>96.497949999999989</v>
      </c>
      <c r="AW711" s="137">
        <v>96.657110000000017</v>
      </c>
      <c r="AX711" s="137">
        <v>97.603840000000019</v>
      </c>
      <c r="AY711" s="137">
        <v>97.700140000000005</v>
      </c>
      <c r="AZ711" s="137">
        <v>97.48254</v>
      </c>
      <c r="BA711" s="137">
        <v>97.393219900000005</v>
      </c>
      <c r="BB711" s="176">
        <v>43419</v>
      </c>
      <c r="BC711" s="176"/>
    </row>
    <row r="712" spans="1:55" ht="75">
      <c r="A712" s="140" t="s">
        <v>8</v>
      </c>
      <c r="B712" s="140" t="s">
        <v>1104</v>
      </c>
      <c r="C712" s="26" t="s">
        <v>10</v>
      </c>
      <c r="D712" s="26" t="s">
        <v>10</v>
      </c>
      <c r="E712" s="23" t="s">
        <v>10</v>
      </c>
      <c r="F712" s="23" t="s">
        <v>11</v>
      </c>
      <c r="G712" s="140" t="s">
        <v>1300</v>
      </c>
      <c r="H712" s="132">
        <v>0.32</v>
      </c>
      <c r="I712" s="132">
        <v>208</v>
      </c>
      <c r="J712" s="132">
        <v>95.5</v>
      </c>
      <c r="K712" s="21" t="s">
        <v>1219</v>
      </c>
      <c r="L712" s="49" t="s">
        <v>1422</v>
      </c>
      <c r="M712" s="26" t="s">
        <v>1289</v>
      </c>
      <c r="N712" s="174">
        <v>43401</v>
      </c>
      <c r="O712" s="23" t="s">
        <v>1292</v>
      </c>
      <c r="P712" s="23" t="s">
        <v>17</v>
      </c>
      <c r="Q712" s="23" t="s">
        <v>17</v>
      </c>
      <c r="R712" s="166" t="s">
        <v>27</v>
      </c>
      <c r="S712" s="167" t="s">
        <v>10</v>
      </c>
      <c r="T712" s="167" t="s">
        <v>10</v>
      </c>
      <c r="U712" s="132">
        <v>0.02</v>
      </c>
      <c r="V712" s="133"/>
      <c r="W712" s="133"/>
      <c r="X712" s="133">
        <v>53</v>
      </c>
      <c r="Y712" s="133">
        <v>60</v>
      </c>
      <c r="Z712" s="133">
        <v>64</v>
      </c>
      <c r="AA712" s="134">
        <v>0.03</v>
      </c>
      <c r="AB712" s="134">
        <v>0.06</v>
      </c>
      <c r="AC712" s="134">
        <v>0.1</v>
      </c>
      <c r="AD712" s="134">
        <v>0.16</v>
      </c>
      <c r="AE712" s="134">
        <v>0.24</v>
      </c>
      <c r="AF712" s="134">
        <v>0.32</v>
      </c>
      <c r="AG712" s="134">
        <v>90.8</v>
      </c>
      <c r="AH712" s="134">
        <v>94.5</v>
      </c>
      <c r="AI712" s="134">
        <v>95.5</v>
      </c>
      <c r="AJ712" s="134">
        <v>96.2</v>
      </c>
      <c r="AK712" s="134">
        <v>96.1</v>
      </c>
      <c r="AL712" s="134">
        <v>95.9</v>
      </c>
      <c r="AM712" s="134">
        <v>95.7</v>
      </c>
      <c r="AN712" s="134">
        <v>90.2</v>
      </c>
      <c r="AO712" s="134">
        <v>94.5</v>
      </c>
      <c r="AP712" s="134">
        <v>95.5</v>
      </c>
      <c r="AQ712" s="134">
        <v>96.2</v>
      </c>
      <c r="AR712" s="134">
        <v>96.1</v>
      </c>
      <c r="AS712" s="134">
        <v>95.9</v>
      </c>
      <c r="AT712" s="134">
        <v>95.7</v>
      </c>
      <c r="AU712" s="134">
        <v>89.4</v>
      </c>
      <c r="AV712" s="134">
        <v>94.1</v>
      </c>
      <c r="AW712" s="134">
        <v>95.3</v>
      </c>
      <c r="AX712" s="134">
        <v>96.2</v>
      </c>
      <c r="AY712" s="134">
        <v>96.2</v>
      </c>
      <c r="AZ712" s="134">
        <v>95.9</v>
      </c>
      <c r="BA712" s="134">
        <v>95.7</v>
      </c>
      <c r="BB712" s="174">
        <v>43116</v>
      </c>
      <c r="BC712" s="174">
        <v>43511</v>
      </c>
    </row>
    <row r="713" spans="1:55" ht="75">
      <c r="A713" s="140" t="s">
        <v>8</v>
      </c>
      <c r="B713" s="140" t="s">
        <v>1105</v>
      </c>
      <c r="C713" s="26" t="s">
        <v>10</v>
      </c>
      <c r="D713" s="26" t="s">
        <v>10</v>
      </c>
      <c r="E713" s="23" t="s">
        <v>10</v>
      </c>
      <c r="F713" s="23" t="s">
        <v>11</v>
      </c>
      <c r="G713" s="140" t="s">
        <v>1303</v>
      </c>
      <c r="H713" s="132">
        <v>0.32</v>
      </c>
      <c r="I713" s="132">
        <v>240</v>
      </c>
      <c r="J713" s="132">
        <v>96</v>
      </c>
      <c r="K713" s="21" t="s">
        <v>1219</v>
      </c>
      <c r="L713" s="49" t="s">
        <v>1422</v>
      </c>
      <c r="M713" s="26" t="s">
        <v>1289</v>
      </c>
      <c r="N713" s="174">
        <v>43405</v>
      </c>
      <c r="O713" s="23" t="s">
        <v>1292</v>
      </c>
      <c r="P713" s="23" t="s">
        <v>17</v>
      </c>
      <c r="Q713" s="23" t="s">
        <v>17</v>
      </c>
      <c r="R713" s="166" t="s">
        <v>27</v>
      </c>
      <c r="S713" s="167" t="s">
        <v>10</v>
      </c>
      <c r="T713" s="167" t="s">
        <v>10</v>
      </c>
      <c r="U713" s="132">
        <v>0.1</v>
      </c>
      <c r="V713" s="133"/>
      <c r="W713" s="133"/>
      <c r="X713" s="133">
        <v>53</v>
      </c>
      <c r="Y713" s="133">
        <v>60</v>
      </c>
      <c r="Z713" s="133">
        <v>64</v>
      </c>
      <c r="AA713" s="134">
        <v>0.03</v>
      </c>
      <c r="AB713" s="134">
        <v>0.06</v>
      </c>
      <c r="AC713" s="134">
        <v>0.1</v>
      </c>
      <c r="AD713" s="134">
        <v>0.16</v>
      </c>
      <c r="AE713" s="134">
        <v>0.24</v>
      </c>
      <c r="AF713" s="134">
        <v>0.32</v>
      </c>
      <c r="AG713" s="134">
        <v>89.7</v>
      </c>
      <c r="AH713" s="134">
        <v>94.1</v>
      </c>
      <c r="AI713" s="134">
        <v>95.3</v>
      </c>
      <c r="AJ713" s="134">
        <v>96.2</v>
      </c>
      <c r="AK713" s="134">
        <v>96.1</v>
      </c>
      <c r="AL713" s="134">
        <v>95.9</v>
      </c>
      <c r="AM713" s="134">
        <v>95.7</v>
      </c>
      <c r="AN713" s="134">
        <v>90</v>
      </c>
      <c r="AO713" s="134">
        <v>94.3</v>
      </c>
      <c r="AP713" s="134">
        <v>95.4</v>
      </c>
      <c r="AQ713" s="134">
        <v>96.3</v>
      </c>
      <c r="AR713" s="134">
        <v>96.3</v>
      </c>
      <c r="AS713" s="134">
        <v>96.2</v>
      </c>
      <c r="AT713" s="134">
        <v>95.8</v>
      </c>
      <c r="AU713" s="134">
        <v>89.6</v>
      </c>
      <c r="AV713" s="134">
        <v>94</v>
      </c>
      <c r="AW713" s="134">
        <v>95.2</v>
      </c>
      <c r="AX713" s="134">
        <v>96.3</v>
      </c>
      <c r="AY713" s="134">
        <v>96.4</v>
      </c>
      <c r="AZ713" s="134">
        <v>96.2</v>
      </c>
      <c r="BA713" s="134">
        <v>95.8</v>
      </c>
      <c r="BB713" s="174">
        <v>43116</v>
      </c>
      <c r="BC713" s="174">
        <v>43511</v>
      </c>
    </row>
    <row r="714" spans="1:55" ht="60">
      <c r="A714" s="140" t="s">
        <v>8</v>
      </c>
      <c r="B714" s="140" t="s">
        <v>1278</v>
      </c>
      <c r="C714" s="26" t="s">
        <v>10</v>
      </c>
      <c r="D714" s="26" t="s">
        <v>10</v>
      </c>
      <c r="E714" s="23" t="s">
        <v>10</v>
      </c>
      <c r="F714" s="23" t="s">
        <v>11</v>
      </c>
      <c r="G714" s="140" t="s">
        <v>1162</v>
      </c>
      <c r="H714" s="149">
        <v>0.315</v>
      </c>
      <c r="I714" s="129">
        <v>208</v>
      </c>
      <c r="J714" s="137">
        <v>97</v>
      </c>
      <c r="K714" s="21" t="s">
        <v>1219</v>
      </c>
      <c r="L714" s="58" t="s">
        <v>1151</v>
      </c>
      <c r="M714" s="26" t="s">
        <v>759</v>
      </c>
      <c r="N714" s="176">
        <v>43419</v>
      </c>
      <c r="O714" s="58" t="s">
        <v>1151</v>
      </c>
      <c r="P714" s="23" t="s">
        <v>17</v>
      </c>
      <c r="Q714" s="23" t="s">
        <v>17</v>
      </c>
      <c r="R714" s="152" t="s">
        <v>27</v>
      </c>
      <c r="S714" s="131" t="s">
        <v>11</v>
      </c>
      <c r="T714" s="131" t="s">
        <v>10</v>
      </c>
      <c r="U714" s="132">
        <v>2.1000000000000001E-2</v>
      </c>
      <c r="V714" s="133"/>
      <c r="W714" s="133"/>
      <c r="X714" s="133">
        <v>53</v>
      </c>
      <c r="Y714" s="133">
        <v>60</v>
      </c>
      <c r="Z714" s="133">
        <v>64</v>
      </c>
      <c r="AA714" s="132">
        <v>3.15E-2</v>
      </c>
      <c r="AB714" s="132">
        <v>6.3E-2</v>
      </c>
      <c r="AC714" s="132">
        <v>9.4500000000000001E-2</v>
      </c>
      <c r="AD714" s="132">
        <v>0.1575</v>
      </c>
      <c r="AE714" s="132">
        <v>0.23625000000000002</v>
      </c>
      <c r="AF714" s="132">
        <v>0.315</v>
      </c>
      <c r="AG714" s="137">
        <v>90.483609999999999</v>
      </c>
      <c r="AH714" s="137">
        <v>96.662759999999992</v>
      </c>
      <c r="AI714" s="137">
        <v>97.099880000000013</v>
      </c>
      <c r="AJ714" s="137">
        <v>97.635729999999995</v>
      </c>
      <c r="AK714" s="137">
        <v>97.524219999999985</v>
      </c>
      <c r="AL714" s="137">
        <v>97.103530000000006</v>
      </c>
      <c r="AM714" s="137">
        <v>97.150984399999999</v>
      </c>
      <c r="AN714" s="137">
        <v>95.414170000000013</v>
      </c>
      <c r="AO714" s="137">
        <v>96.465389999999999</v>
      </c>
      <c r="AP714" s="137">
        <v>96.900779999999997</v>
      </c>
      <c r="AQ714" s="137">
        <v>97.542020000000008</v>
      </c>
      <c r="AR714" s="137">
        <v>97.461279999999988</v>
      </c>
      <c r="AS714" s="137">
        <v>97.049990000000008</v>
      </c>
      <c r="AT714" s="137">
        <v>97.258731999999981</v>
      </c>
      <c r="AU714" s="137">
        <v>95.270490000000009</v>
      </c>
      <c r="AV714" s="137">
        <v>96.333490000000012</v>
      </c>
      <c r="AW714" s="137">
        <v>96.813520000000011</v>
      </c>
      <c r="AX714" s="137">
        <v>97.502470000000002</v>
      </c>
      <c r="AY714" s="137">
        <v>97.42989</v>
      </c>
      <c r="AZ714" s="137">
        <v>97.019700000000014</v>
      </c>
      <c r="BA714" s="137">
        <v>97.209461900000008</v>
      </c>
      <c r="BB714" s="176">
        <v>43419</v>
      </c>
      <c r="BC714" s="176"/>
    </row>
    <row r="715" spans="1:55" ht="60">
      <c r="A715" s="140" t="s">
        <v>8</v>
      </c>
      <c r="B715" s="140" t="s">
        <v>1171</v>
      </c>
      <c r="C715" s="26" t="s">
        <v>10</v>
      </c>
      <c r="D715" s="26" t="s">
        <v>10</v>
      </c>
      <c r="E715" s="23" t="s">
        <v>10</v>
      </c>
      <c r="F715" s="23" t="s">
        <v>11</v>
      </c>
      <c r="G715" s="140" t="s">
        <v>1172</v>
      </c>
      <c r="H715" s="149">
        <v>0.315</v>
      </c>
      <c r="I715" s="129">
        <v>240</v>
      </c>
      <c r="J715" s="137">
        <v>97.5</v>
      </c>
      <c r="K715" s="21" t="s">
        <v>1219</v>
      </c>
      <c r="L715" s="58" t="s">
        <v>1151</v>
      </c>
      <c r="M715" s="26" t="s">
        <v>759</v>
      </c>
      <c r="N715" s="176">
        <v>43419</v>
      </c>
      <c r="O715" s="58" t="s">
        <v>1151</v>
      </c>
      <c r="P715" s="23" t="s">
        <v>17</v>
      </c>
      <c r="Q715" s="23" t="s">
        <v>17</v>
      </c>
      <c r="R715" s="152" t="s">
        <v>27</v>
      </c>
      <c r="S715" s="131" t="s">
        <v>11</v>
      </c>
      <c r="T715" s="131" t="s">
        <v>10</v>
      </c>
      <c r="U715" s="132">
        <v>2.1000000000000001E-2</v>
      </c>
      <c r="V715" s="133"/>
      <c r="W715" s="133"/>
      <c r="X715" s="133">
        <v>53</v>
      </c>
      <c r="Y715" s="133">
        <v>60</v>
      </c>
      <c r="Z715" s="133">
        <v>64</v>
      </c>
      <c r="AA715" s="132">
        <v>3.15E-2</v>
      </c>
      <c r="AB715" s="132">
        <v>6.3E-2</v>
      </c>
      <c r="AC715" s="132">
        <v>9.4500000000000001E-2</v>
      </c>
      <c r="AD715" s="132">
        <v>0.1575</v>
      </c>
      <c r="AE715" s="132">
        <v>0.23625000000000002</v>
      </c>
      <c r="AF715" s="132">
        <v>0.315</v>
      </c>
      <c r="AG715" s="137">
        <v>95.734780000000015</v>
      </c>
      <c r="AH715" s="137">
        <v>96.840240000000009</v>
      </c>
      <c r="AI715" s="137">
        <v>96.996160000000003</v>
      </c>
      <c r="AJ715" s="137">
        <v>97.762709999999998</v>
      </c>
      <c r="AK715" s="137">
        <v>97.755849999999981</v>
      </c>
      <c r="AL715" s="137">
        <v>97.46862999999999</v>
      </c>
      <c r="AM715" s="137">
        <v>97.525143499999984</v>
      </c>
      <c r="AN715" s="137">
        <v>95.610320000000002</v>
      </c>
      <c r="AO715" s="137">
        <v>96.678239999999988</v>
      </c>
      <c r="AP715" s="137">
        <v>96.754879999999986</v>
      </c>
      <c r="AQ715" s="137">
        <v>97.666660000000007</v>
      </c>
      <c r="AR715" s="137">
        <v>97.739180000000005</v>
      </c>
      <c r="AS715" s="137">
        <v>97.513729999999981</v>
      </c>
      <c r="AT715" s="137">
        <v>97.456360900000007</v>
      </c>
      <c r="AU715" s="137">
        <v>95.436540000000008</v>
      </c>
      <c r="AV715" s="137">
        <v>96.497949999999989</v>
      </c>
      <c r="AW715" s="137">
        <v>96.657110000000017</v>
      </c>
      <c r="AX715" s="137">
        <v>97.603840000000019</v>
      </c>
      <c r="AY715" s="137">
        <v>97.700140000000005</v>
      </c>
      <c r="AZ715" s="137">
        <v>97.48254</v>
      </c>
      <c r="BA715" s="137">
        <v>97.393219900000005</v>
      </c>
      <c r="BB715" s="176">
        <v>43419</v>
      </c>
      <c r="BC715" s="176"/>
    </row>
    <row r="716" spans="1:55" ht="45">
      <c r="A716" s="18" t="s">
        <v>296</v>
      </c>
      <c r="B716" s="18" t="s">
        <v>1113</v>
      </c>
      <c r="C716" s="23" t="s">
        <v>10</v>
      </c>
      <c r="D716" s="23" t="s">
        <v>10</v>
      </c>
      <c r="E716" s="23" t="s">
        <v>10</v>
      </c>
      <c r="F716" s="23" t="s">
        <v>11</v>
      </c>
      <c r="G716" s="18" t="s">
        <v>298</v>
      </c>
      <c r="H716" s="125">
        <v>5.5189199999999996</v>
      </c>
      <c r="I716" s="127">
        <v>240</v>
      </c>
      <c r="J716" s="125">
        <v>94.5</v>
      </c>
      <c r="K716" s="21" t="s">
        <v>1217</v>
      </c>
      <c r="L716" s="49" t="s">
        <v>471</v>
      </c>
      <c r="M716" s="142" t="s">
        <v>472</v>
      </c>
      <c r="N716" s="174">
        <v>43388</v>
      </c>
      <c r="O716" s="49" t="s">
        <v>471</v>
      </c>
      <c r="P716" s="23" t="s">
        <v>17</v>
      </c>
      <c r="Q716" s="23" t="s">
        <v>17</v>
      </c>
      <c r="R716" s="151"/>
      <c r="S716" s="23" t="s">
        <v>11</v>
      </c>
      <c r="T716" s="23" t="s">
        <v>11</v>
      </c>
      <c r="U716" s="125">
        <v>10.1</v>
      </c>
      <c r="V716" s="135"/>
      <c r="W716" s="135"/>
      <c r="X716" s="135">
        <v>240</v>
      </c>
      <c r="Y716" s="135">
        <v>380</v>
      </c>
      <c r="Z716" s="135">
        <v>520</v>
      </c>
      <c r="AA716" s="126">
        <v>0.55188999999999999</v>
      </c>
      <c r="AB716" s="126">
        <v>1.10378</v>
      </c>
      <c r="AC716" s="126">
        <v>1.65568</v>
      </c>
      <c r="AD716" s="126">
        <v>2.7594599999999998</v>
      </c>
      <c r="AE716" s="126">
        <v>4.1391900000000001</v>
      </c>
      <c r="AF716" s="126">
        <v>5.5189199999999996</v>
      </c>
      <c r="AG716" s="126">
        <v>89.3</v>
      </c>
      <c r="AH716" s="126">
        <v>93.3</v>
      </c>
      <c r="AI716" s="126">
        <v>94.3</v>
      </c>
      <c r="AJ716" s="126">
        <v>94.7</v>
      </c>
      <c r="AK716" s="126">
        <v>94.1</v>
      </c>
      <c r="AL716" s="126">
        <v>94.2</v>
      </c>
      <c r="AM716" s="126">
        <v>94</v>
      </c>
      <c r="AN716" s="126">
        <v>89.7</v>
      </c>
      <c r="AO716" s="126">
        <v>93.7</v>
      </c>
      <c r="AP716" s="126">
        <v>94.7</v>
      </c>
      <c r="AQ716" s="126">
        <v>95.4</v>
      </c>
      <c r="AR716" s="126">
        <v>95.5</v>
      </c>
      <c r="AS716" s="126">
        <v>95.4</v>
      </c>
      <c r="AT716" s="126">
        <v>95.1</v>
      </c>
      <c r="AU716" s="126">
        <v>88.8</v>
      </c>
      <c r="AV716" s="126">
        <v>93.1</v>
      </c>
      <c r="AW716" s="126">
        <v>94.3</v>
      </c>
      <c r="AX716" s="126">
        <v>95.1</v>
      </c>
      <c r="AY716" s="126">
        <v>95.2</v>
      </c>
      <c r="AZ716" s="126">
        <v>94.9</v>
      </c>
      <c r="BA716" s="126">
        <v>94.7</v>
      </c>
      <c r="BB716" s="174">
        <v>43084</v>
      </c>
      <c r="BC716" s="174">
        <v>43388</v>
      </c>
    </row>
    <row r="717" spans="1:55" ht="45">
      <c r="A717" s="18" t="s">
        <v>296</v>
      </c>
      <c r="B717" s="18" t="s">
        <v>1114</v>
      </c>
      <c r="C717" s="23" t="s">
        <v>10</v>
      </c>
      <c r="D717" s="23" t="s">
        <v>10</v>
      </c>
      <c r="E717" s="23" t="s">
        <v>10</v>
      </c>
      <c r="F717" s="23" t="s">
        <v>11</v>
      </c>
      <c r="G717" s="18" t="s">
        <v>297</v>
      </c>
      <c r="H717" s="125">
        <v>5.5189199999999996</v>
      </c>
      <c r="I717" s="127">
        <v>240</v>
      </c>
      <c r="J717" s="125">
        <v>94.5</v>
      </c>
      <c r="K717" s="21" t="s">
        <v>1217</v>
      </c>
      <c r="L717" s="49" t="s">
        <v>471</v>
      </c>
      <c r="M717" s="142" t="s">
        <v>472</v>
      </c>
      <c r="N717" s="174">
        <v>43388</v>
      </c>
      <c r="O717" s="49" t="s">
        <v>471</v>
      </c>
      <c r="P717" s="23" t="s">
        <v>17</v>
      </c>
      <c r="Q717" s="23" t="s">
        <v>17</v>
      </c>
      <c r="R717" s="151"/>
      <c r="S717" s="23" t="s">
        <v>11</v>
      </c>
      <c r="T717" s="23" t="s">
        <v>11</v>
      </c>
      <c r="U717" s="125">
        <v>10.1</v>
      </c>
      <c r="V717" s="135"/>
      <c r="W717" s="135"/>
      <c r="X717" s="135">
        <v>240</v>
      </c>
      <c r="Y717" s="135">
        <v>380</v>
      </c>
      <c r="Z717" s="135">
        <v>520</v>
      </c>
      <c r="AA717" s="126">
        <v>0.55188999999999999</v>
      </c>
      <c r="AB717" s="126">
        <v>1.10378</v>
      </c>
      <c r="AC717" s="126">
        <v>1.65568</v>
      </c>
      <c r="AD717" s="126">
        <v>2.7594599999999998</v>
      </c>
      <c r="AE717" s="126">
        <v>4.1391900000000001</v>
      </c>
      <c r="AF717" s="126">
        <v>5.5189199999999996</v>
      </c>
      <c r="AG717" s="126">
        <v>89.3</v>
      </c>
      <c r="AH717" s="126">
        <v>93.3</v>
      </c>
      <c r="AI717" s="126">
        <v>94.3</v>
      </c>
      <c r="AJ717" s="126">
        <v>94.7</v>
      </c>
      <c r="AK717" s="126">
        <v>94.1</v>
      </c>
      <c r="AL717" s="126">
        <v>94.2</v>
      </c>
      <c r="AM717" s="126">
        <v>94</v>
      </c>
      <c r="AN717" s="126">
        <v>89.7</v>
      </c>
      <c r="AO717" s="126">
        <v>93.7</v>
      </c>
      <c r="AP717" s="126">
        <v>94.7</v>
      </c>
      <c r="AQ717" s="126">
        <v>95.4</v>
      </c>
      <c r="AR717" s="126">
        <v>95.5</v>
      </c>
      <c r="AS717" s="126">
        <v>95.4</v>
      </c>
      <c r="AT717" s="126">
        <v>95.1</v>
      </c>
      <c r="AU717" s="126">
        <v>88.8</v>
      </c>
      <c r="AV717" s="126">
        <v>93.1</v>
      </c>
      <c r="AW717" s="126">
        <v>94.3</v>
      </c>
      <c r="AX717" s="126">
        <v>95.1</v>
      </c>
      <c r="AY717" s="126">
        <v>95.2</v>
      </c>
      <c r="AZ717" s="126">
        <v>94.9</v>
      </c>
      <c r="BA717" s="126">
        <v>94.7</v>
      </c>
      <c r="BB717" s="174">
        <v>43084</v>
      </c>
      <c r="BC717" s="174">
        <v>43388</v>
      </c>
    </row>
    <row r="718" spans="1:55" ht="60">
      <c r="A718" s="18" t="s">
        <v>296</v>
      </c>
      <c r="B718" s="18" t="s">
        <v>1115</v>
      </c>
      <c r="C718" s="23" t="s">
        <v>10</v>
      </c>
      <c r="D718" s="23" t="s">
        <v>10</v>
      </c>
      <c r="E718" s="23" t="s">
        <v>10</v>
      </c>
      <c r="F718" s="23" t="s">
        <v>11</v>
      </c>
      <c r="G718" s="18" t="s">
        <v>647</v>
      </c>
      <c r="H718" s="19">
        <v>5.5189199999999996</v>
      </c>
      <c r="I718" s="37">
        <v>240</v>
      </c>
      <c r="J718" s="19">
        <v>94.5</v>
      </c>
      <c r="K718" s="21" t="s">
        <v>1217</v>
      </c>
      <c r="L718" s="49" t="s">
        <v>648</v>
      </c>
      <c r="M718" s="38" t="s">
        <v>649</v>
      </c>
      <c r="N718" s="174">
        <v>43388</v>
      </c>
      <c r="O718" s="49" t="s">
        <v>648</v>
      </c>
      <c r="P718" s="23" t="s">
        <v>17</v>
      </c>
      <c r="Q718" s="23" t="s">
        <v>17</v>
      </c>
      <c r="R718" s="151"/>
      <c r="S718" s="39" t="s">
        <v>11</v>
      </c>
      <c r="T718" s="39" t="s">
        <v>11</v>
      </c>
      <c r="U718" s="153">
        <v>10.1</v>
      </c>
      <c r="V718" s="153"/>
      <c r="W718" s="153"/>
      <c r="X718" s="153">
        <v>240</v>
      </c>
      <c r="Y718" s="153">
        <v>380</v>
      </c>
      <c r="Z718" s="153">
        <v>520</v>
      </c>
      <c r="AA718" s="40">
        <v>0.55189200000000005</v>
      </c>
      <c r="AB718" s="40">
        <v>1.1037840000000001</v>
      </c>
      <c r="AC718" s="40">
        <v>1.6556759999999999</v>
      </c>
      <c r="AD718" s="40">
        <v>2.7594599999999998</v>
      </c>
      <c r="AE718" s="40">
        <v>4.1391900000000001</v>
      </c>
      <c r="AF718" s="40">
        <v>5.5189199999999996</v>
      </c>
      <c r="AG718" s="40">
        <v>89.325999999999993</v>
      </c>
      <c r="AH718" s="40">
        <v>93.286000000000001</v>
      </c>
      <c r="AI718" s="40">
        <v>94.304000000000002</v>
      </c>
      <c r="AJ718" s="40">
        <v>94.656000000000006</v>
      </c>
      <c r="AK718" s="40">
        <v>94.048000000000002</v>
      </c>
      <c r="AL718" s="40">
        <v>94.174000000000007</v>
      </c>
      <c r="AM718" s="40">
        <v>93.985720000000001</v>
      </c>
      <c r="AN718" s="40">
        <v>89.688000000000002</v>
      </c>
      <c r="AO718" s="40">
        <v>93.665999999999997</v>
      </c>
      <c r="AP718" s="40">
        <v>94.706000000000003</v>
      </c>
      <c r="AQ718" s="40">
        <v>95.44</v>
      </c>
      <c r="AR718" s="40">
        <v>95.498000000000005</v>
      </c>
      <c r="AS718" s="40">
        <v>95.41</v>
      </c>
      <c r="AT718" s="40">
        <v>95.062380000000005</v>
      </c>
      <c r="AU718" s="40">
        <v>88.78</v>
      </c>
      <c r="AV718" s="40">
        <v>93.075999999999993</v>
      </c>
      <c r="AW718" s="40">
        <v>94.275999999999996</v>
      </c>
      <c r="AX718" s="40">
        <v>95.093999999999994</v>
      </c>
      <c r="AY718" s="40">
        <v>95.165999999999997</v>
      </c>
      <c r="AZ718" s="40">
        <v>94.921999999999997</v>
      </c>
      <c r="BA718" s="40">
        <v>94.671940000000006</v>
      </c>
      <c r="BB718" s="174">
        <v>43252</v>
      </c>
      <c r="BC718" s="174">
        <v>43388</v>
      </c>
    </row>
    <row r="719" spans="1:55" ht="45">
      <c r="A719" s="18" t="s">
        <v>707</v>
      </c>
      <c r="B719" s="18" t="s">
        <v>1116</v>
      </c>
      <c r="C719" s="23" t="s">
        <v>10</v>
      </c>
      <c r="D719" s="23" t="s">
        <v>10</v>
      </c>
      <c r="E719" s="23" t="s">
        <v>10</v>
      </c>
      <c r="F719" s="23" t="s">
        <v>11</v>
      </c>
      <c r="G719" s="18" t="s">
        <v>678</v>
      </c>
      <c r="H719" s="19">
        <v>4.992</v>
      </c>
      <c r="I719" s="37">
        <v>208</v>
      </c>
      <c r="J719" s="19">
        <v>97</v>
      </c>
      <c r="K719" s="21" t="s">
        <v>1216</v>
      </c>
      <c r="L719" s="49" t="s">
        <v>748</v>
      </c>
      <c r="M719" s="38" t="s">
        <v>540</v>
      </c>
      <c r="N719" s="174">
        <v>43388</v>
      </c>
      <c r="O719" s="49" t="s">
        <v>748</v>
      </c>
      <c r="P719" s="23" t="s">
        <v>17</v>
      </c>
      <c r="Q719" s="23" t="s">
        <v>17</v>
      </c>
      <c r="R719" s="151"/>
      <c r="S719" s="39" t="s">
        <v>11</v>
      </c>
      <c r="T719" s="39" t="s">
        <v>11</v>
      </c>
      <c r="U719" s="153">
        <v>1.86</v>
      </c>
      <c r="V719" s="153"/>
      <c r="W719" s="153"/>
      <c r="X719" s="153">
        <v>200</v>
      </c>
      <c r="Y719" s="153">
        <v>380</v>
      </c>
      <c r="Z719" s="153">
        <v>460</v>
      </c>
      <c r="AA719" s="40">
        <v>0.49920000000000003</v>
      </c>
      <c r="AB719" s="40">
        <v>0.99840000000000007</v>
      </c>
      <c r="AC719" s="40">
        <v>1.4976</v>
      </c>
      <c r="AD719" s="40">
        <v>2.496</v>
      </c>
      <c r="AE719" s="40">
        <v>3.7439999999999998</v>
      </c>
      <c r="AF719" s="40">
        <v>4.992</v>
      </c>
      <c r="AG719" s="40">
        <v>92.956999999999994</v>
      </c>
      <c r="AH719" s="40">
        <v>94.948666666666682</v>
      </c>
      <c r="AI719" s="40">
        <v>95.97671428571428</v>
      </c>
      <c r="AJ719" s="40">
        <v>96.759333333333316</v>
      </c>
      <c r="AK719" s="40">
        <v>96.816285714285712</v>
      </c>
      <c r="AL719" s="40">
        <v>96.580619047619038</v>
      </c>
      <c r="AM719" s="40">
        <v>96.44404142857141</v>
      </c>
      <c r="AN719" s="40">
        <v>95.57180952380952</v>
      </c>
      <c r="AO719" s="40">
        <v>97.207999999999984</v>
      </c>
      <c r="AP719" s="40">
        <v>97.745380952380955</v>
      </c>
      <c r="AQ719" s="40">
        <v>97.944952380952373</v>
      </c>
      <c r="AR719" s="40">
        <v>97.716190476190476</v>
      </c>
      <c r="AS719" s="40">
        <v>97.311761904761894</v>
      </c>
      <c r="AT719" s="40">
        <v>97.636327142857141</v>
      </c>
      <c r="AU719" s="40">
        <v>94.611999999999995</v>
      </c>
      <c r="AV719" s="40">
        <v>96.611142857142866</v>
      </c>
      <c r="AW719" s="40">
        <v>97.398047619047603</v>
      </c>
      <c r="AX719" s="40">
        <v>97.739666666666679</v>
      </c>
      <c r="AY719" s="40">
        <v>97.623999999999995</v>
      </c>
      <c r="AZ719" s="40">
        <v>97.279714285714292</v>
      </c>
      <c r="BA719" s="40">
        <v>97.43283857142859</v>
      </c>
      <c r="BB719" s="174">
        <v>43313</v>
      </c>
      <c r="BC719" s="174">
        <v>43388</v>
      </c>
    </row>
    <row r="720" spans="1:55" ht="45">
      <c r="A720" s="18" t="s">
        <v>707</v>
      </c>
      <c r="B720" s="18" t="s">
        <v>1117</v>
      </c>
      <c r="C720" s="23" t="s">
        <v>10</v>
      </c>
      <c r="D720" s="23" t="s">
        <v>10</v>
      </c>
      <c r="E720" s="23" t="s">
        <v>10</v>
      </c>
      <c r="F720" s="23" t="s">
        <v>11</v>
      </c>
      <c r="G720" s="18" t="s">
        <v>680</v>
      </c>
      <c r="H720" s="19">
        <v>5.76</v>
      </c>
      <c r="I720" s="37">
        <v>240</v>
      </c>
      <c r="J720" s="19">
        <v>97.5</v>
      </c>
      <c r="K720" s="21" t="s">
        <v>1216</v>
      </c>
      <c r="L720" s="49" t="s">
        <v>748</v>
      </c>
      <c r="M720" s="38" t="s">
        <v>540</v>
      </c>
      <c r="N720" s="174">
        <v>43388</v>
      </c>
      <c r="O720" s="49" t="s">
        <v>748</v>
      </c>
      <c r="P720" s="23" t="s">
        <v>17</v>
      </c>
      <c r="Q720" s="23" t="s">
        <v>17</v>
      </c>
      <c r="R720" s="151"/>
      <c r="S720" s="39" t="s">
        <v>11</v>
      </c>
      <c r="T720" s="39" t="s">
        <v>11</v>
      </c>
      <c r="U720" s="153">
        <v>2.25</v>
      </c>
      <c r="V720" s="153"/>
      <c r="W720" s="153"/>
      <c r="X720" s="153">
        <v>200</v>
      </c>
      <c r="Y720" s="153">
        <v>380</v>
      </c>
      <c r="Z720" s="153">
        <v>460</v>
      </c>
      <c r="AA720" s="40">
        <v>0.57599999999999996</v>
      </c>
      <c r="AB720" s="40">
        <v>1.1519999999999999</v>
      </c>
      <c r="AC720" s="40">
        <v>1.728</v>
      </c>
      <c r="AD720" s="40">
        <v>2.88</v>
      </c>
      <c r="AE720" s="40">
        <v>4.32</v>
      </c>
      <c r="AF720" s="40">
        <v>5.76</v>
      </c>
      <c r="AG720" s="40">
        <v>93.648190476190493</v>
      </c>
      <c r="AH720" s="40">
        <v>95.423047619047608</v>
      </c>
      <c r="AI720" s="40">
        <v>96.470714285714294</v>
      </c>
      <c r="AJ720" s="40">
        <v>97.089095238095226</v>
      </c>
      <c r="AK720" s="40">
        <v>97.087285714285713</v>
      </c>
      <c r="AL720" s="40">
        <v>96.810714285714297</v>
      </c>
      <c r="AM720" s="40">
        <v>96.779072857142864</v>
      </c>
      <c r="AN720" s="40">
        <v>96.162285714285716</v>
      </c>
      <c r="AO720" s="40">
        <v>97.584714285714284</v>
      </c>
      <c r="AP720" s="40">
        <v>98.080285714285694</v>
      </c>
      <c r="AQ720" s="40">
        <v>98.165000000000006</v>
      </c>
      <c r="AR720" s="40">
        <v>97.933999999999983</v>
      </c>
      <c r="AS720" s="40">
        <v>97.580333333333328</v>
      </c>
      <c r="AT720" s="40">
        <v>97.894048095238091</v>
      </c>
      <c r="AU720" s="40">
        <v>95.235428571428571</v>
      </c>
      <c r="AV720" s="40">
        <v>97.047761904761927</v>
      </c>
      <c r="AW720" s="40">
        <v>97.773428571428582</v>
      </c>
      <c r="AX720" s="40">
        <v>98.000142857142848</v>
      </c>
      <c r="AY720" s="40">
        <v>97.859285714285733</v>
      </c>
      <c r="AZ720" s="40">
        <v>97.505095238095237</v>
      </c>
      <c r="BA720" s="40">
        <v>97.715322857142866</v>
      </c>
      <c r="BB720" s="174">
        <v>43313</v>
      </c>
      <c r="BC720" s="174">
        <v>43388</v>
      </c>
    </row>
    <row r="721" spans="1:55" ht="60">
      <c r="A721" s="18" t="s">
        <v>707</v>
      </c>
      <c r="B721" s="18" t="s">
        <v>1118</v>
      </c>
      <c r="C721" s="23" t="s">
        <v>10</v>
      </c>
      <c r="D721" s="23" t="s">
        <v>10</v>
      </c>
      <c r="E721" s="23" t="s">
        <v>10</v>
      </c>
      <c r="F721" s="23" t="s">
        <v>11</v>
      </c>
      <c r="G721" s="18" t="s">
        <v>681</v>
      </c>
      <c r="H721" s="19">
        <v>6.6559999999999997</v>
      </c>
      <c r="I721" s="37">
        <v>208</v>
      </c>
      <c r="J721" s="19">
        <v>97.5</v>
      </c>
      <c r="K721" s="21" t="s">
        <v>1216</v>
      </c>
      <c r="L721" s="49" t="s">
        <v>748</v>
      </c>
      <c r="M721" s="38" t="s">
        <v>540</v>
      </c>
      <c r="N721" s="174">
        <v>43388</v>
      </c>
      <c r="O721" s="49" t="s">
        <v>748</v>
      </c>
      <c r="P721" s="23" t="s">
        <v>17</v>
      </c>
      <c r="Q721" s="23" t="s">
        <v>17</v>
      </c>
      <c r="R721" s="151"/>
      <c r="S721" s="39" t="s">
        <v>11</v>
      </c>
      <c r="T721" s="39" t="s">
        <v>11</v>
      </c>
      <c r="U721" s="153">
        <v>1.1499999999999999</v>
      </c>
      <c r="V721" s="153"/>
      <c r="W721" s="153"/>
      <c r="X721" s="153">
        <v>270</v>
      </c>
      <c r="Y721" s="153">
        <v>380</v>
      </c>
      <c r="Z721" s="153">
        <v>460</v>
      </c>
      <c r="AA721" s="40">
        <v>0.66559999999999997</v>
      </c>
      <c r="AB721" s="40">
        <v>1.3311999999999999</v>
      </c>
      <c r="AC721" s="40">
        <v>1.9967999999999999</v>
      </c>
      <c r="AD721" s="40">
        <v>3.3279999999999998</v>
      </c>
      <c r="AE721" s="40">
        <v>4.992</v>
      </c>
      <c r="AF721" s="40">
        <v>6.6559999999999997</v>
      </c>
      <c r="AG721" s="40">
        <v>94.577142857142846</v>
      </c>
      <c r="AH721" s="40">
        <v>96.30147619047618</v>
      </c>
      <c r="AI721" s="40">
        <v>96.99633333333334</v>
      </c>
      <c r="AJ721" s="40">
        <v>97.387761904761902</v>
      </c>
      <c r="AK721" s="40">
        <v>97.294809523809505</v>
      </c>
      <c r="AL721" s="40">
        <v>96.929047619047623</v>
      </c>
      <c r="AM721" s="40">
        <v>97.101850952380943</v>
      </c>
      <c r="AN721" s="40">
        <v>95.905285714285696</v>
      </c>
      <c r="AO721" s="40">
        <v>97.331380952380954</v>
      </c>
      <c r="AP721" s="40">
        <v>97.763285714285729</v>
      </c>
      <c r="AQ721" s="40">
        <v>97.861904761904768</v>
      </c>
      <c r="AR721" s="40">
        <v>97.586190476190467</v>
      </c>
      <c r="AS721" s="40">
        <v>97.213761904761895</v>
      </c>
      <c r="AT721" s="40">
        <v>97.566743809523814</v>
      </c>
      <c r="AU721" s="40">
        <v>94.978142857142871</v>
      </c>
      <c r="AV721" s="40">
        <v>96.881095238095227</v>
      </c>
      <c r="AW721" s="40">
        <v>97.418238095238095</v>
      </c>
      <c r="AX721" s="40">
        <v>97.692761904761923</v>
      </c>
      <c r="AY721" s="40">
        <v>97.498619047619044</v>
      </c>
      <c r="AZ721" s="40">
        <v>97.152476190476165</v>
      </c>
      <c r="BA721" s="40">
        <v>97.380740952380961</v>
      </c>
      <c r="BB721" s="174">
        <v>43313</v>
      </c>
      <c r="BC721" s="174">
        <v>43388</v>
      </c>
    </row>
    <row r="722" spans="1:55" ht="45">
      <c r="A722" s="18" t="s">
        <v>707</v>
      </c>
      <c r="B722" s="18" t="s">
        <v>1119</v>
      </c>
      <c r="C722" s="23" t="s">
        <v>10</v>
      </c>
      <c r="D722" s="23" t="s">
        <v>10</v>
      </c>
      <c r="E722" s="23" t="s">
        <v>10</v>
      </c>
      <c r="F722" s="23" t="s">
        <v>11</v>
      </c>
      <c r="G722" s="18" t="s">
        <v>682</v>
      </c>
      <c r="H722" s="19">
        <v>7.68</v>
      </c>
      <c r="I722" s="37">
        <v>240</v>
      </c>
      <c r="J722" s="19">
        <v>97.5</v>
      </c>
      <c r="K722" s="21" t="s">
        <v>1216</v>
      </c>
      <c r="L722" s="49" t="s">
        <v>748</v>
      </c>
      <c r="M722" s="38" t="s">
        <v>540</v>
      </c>
      <c r="N722" s="174">
        <v>43388</v>
      </c>
      <c r="O722" s="49" t="s">
        <v>748</v>
      </c>
      <c r="P722" s="23" t="s">
        <v>17</v>
      </c>
      <c r="Q722" s="23" t="s">
        <v>17</v>
      </c>
      <c r="R722" s="151"/>
      <c r="S722" s="39" t="s">
        <v>11</v>
      </c>
      <c r="T722" s="39" t="s">
        <v>11</v>
      </c>
      <c r="U722" s="153">
        <v>1.19</v>
      </c>
      <c r="V722" s="153"/>
      <c r="W722" s="153"/>
      <c r="X722" s="153">
        <v>270</v>
      </c>
      <c r="Y722" s="153">
        <v>380</v>
      </c>
      <c r="Z722" s="153">
        <v>460</v>
      </c>
      <c r="AA722" s="40">
        <v>0.76800000000000002</v>
      </c>
      <c r="AB722" s="40">
        <v>1.536</v>
      </c>
      <c r="AC722" s="40">
        <v>2.3039999999999998</v>
      </c>
      <c r="AD722" s="40">
        <v>3.84</v>
      </c>
      <c r="AE722" s="40">
        <v>5.76</v>
      </c>
      <c r="AF722" s="40">
        <v>7.68</v>
      </c>
      <c r="AG722" s="40">
        <v>95.141761904761907</v>
      </c>
      <c r="AH722" s="40">
        <v>96.556571428571417</v>
      </c>
      <c r="AI722" s="40">
        <v>97.332523809523806</v>
      </c>
      <c r="AJ722" s="40">
        <v>97.597190476190477</v>
      </c>
      <c r="AK722" s="40">
        <v>97.510428571428591</v>
      </c>
      <c r="AL722" s="40">
        <v>97.13038095238096</v>
      </c>
      <c r="AM722" s="40">
        <v>97.345858095238114</v>
      </c>
      <c r="AN722" s="40">
        <v>96.495714285714271</v>
      </c>
      <c r="AO722" s="40">
        <v>97.678238095238086</v>
      </c>
      <c r="AP722" s="40">
        <v>98.032761904761898</v>
      </c>
      <c r="AQ722" s="40">
        <v>98.064428571428579</v>
      </c>
      <c r="AR722" s="40">
        <v>97.776238095238099</v>
      </c>
      <c r="AS722" s="40">
        <v>97.431095238095239</v>
      </c>
      <c r="AT722" s="40">
        <v>97.794162857142865</v>
      </c>
      <c r="AU722" s="40">
        <v>95.663714285714278</v>
      </c>
      <c r="AV722" s="40">
        <v>97.276809523809519</v>
      </c>
      <c r="AW722" s="40">
        <v>97.747523809523798</v>
      </c>
      <c r="AX722" s="40">
        <v>97.93119047619048</v>
      </c>
      <c r="AY722" s="40">
        <v>97.734619047619049</v>
      </c>
      <c r="AZ722" s="40">
        <v>97.423238095238091</v>
      </c>
      <c r="BA722" s="40">
        <v>97.656151904761899</v>
      </c>
      <c r="BB722" s="174">
        <v>43313</v>
      </c>
      <c r="BC722" s="174">
        <v>43388</v>
      </c>
    </row>
    <row r="723" spans="1:55" ht="45">
      <c r="A723" s="140" t="s">
        <v>301</v>
      </c>
      <c r="B723" s="140" t="s">
        <v>1120</v>
      </c>
      <c r="C723" s="26" t="s">
        <v>10</v>
      </c>
      <c r="D723" s="26" t="s">
        <v>10</v>
      </c>
      <c r="E723" s="23" t="s">
        <v>10</v>
      </c>
      <c r="F723" s="23" t="s">
        <v>11</v>
      </c>
      <c r="G723" s="140" t="s">
        <v>302</v>
      </c>
      <c r="H723" s="132">
        <v>49.825000000000003</v>
      </c>
      <c r="I723" s="129">
        <v>480</v>
      </c>
      <c r="J723" s="137">
        <v>98</v>
      </c>
      <c r="K723" s="21" t="s">
        <v>1217</v>
      </c>
      <c r="L723" s="130" t="s">
        <v>473</v>
      </c>
      <c r="M723" s="26" t="s">
        <v>474</v>
      </c>
      <c r="N723" s="174">
        <v>43388</v>
      </c>
      <c r="O723" s="130" t="s">
        <v>473</v>
      </c>
      <c r="P723" s="23" t="s">
        <v>17</v>
      </c>
      <c r="Q723" s="23" t="s">
        <v>17</v>
      </c>
      <c r="R723" s="152"/>
      <c r="S723" s="131" t="s">
        <v>11</v>
      </c>
      <c r="T723" s="131" t="s">
        <v>11</v>
      </c>
      <c r="U723" s="132">
        <v>2.8</v>
      </c>
      <c r="V723" s="133"/>
      <c r="W723" s="133"/>
      <c r="X723" s="133">
        <v>540</v>
      </c>
      <c r="Y723" s="133">
        <v>695</v>
      </c>
      <c r="Z723" s="133">
        <v>850</v>
      </c>
      <c r="AA723" s="134">
        <v>4.9829999999999997</v>
      </c>
      <c r="AB723" s="134">
        <v>9.9659999999999993</v>
      </c>
      <c r="AC723" s="134">
        <v>14.949</v>
      </c>
      <c r="AD723" s="134">
        <v>24.914999999999999</v>
      </c>
      <c r="AE723" s="134">
        <v>37.372500000000002</v>
      </c>
      <c r="AF723" s="134">
        <v>49.83</v>
      </c>
      <c r="AG723" s="134">
        <v>96.770330000000001</v>
      </c>
      <c r="AH723" s="134">
        <v>96.972989999999996</v>
      </c>
      <c r="AI723" s="134">
        <v>97.363749999999996</v>
      </c>
      <c r="AJ723" s="134">
        <v>97.680459999999997</v>
      </c>
      <c r="AK723" s="134">
        <v>97.704480000000004</v>
      </c>
      <c r="AL723" s="134">
        <v>97.678489999999996</v>
      </c>
      <c r="AM723" s="134">
        <v>97.583309999999997</v>
      </c>
      <c r="AN723" s="134">
        <v>97.315259999999995</v>
      </c>
      <c r="AO723" s="134">
        <v>98.495379999999997</v>
      </c>
      <c r="AP723" s="134">
        <v>98.618930000000006</v>
      </c>
      <c r="AQ723" s="134">
        <v>98.769819999999996</v>
      </c>
      <c r="AR723" s="134">
        <v>98.661100000000005</v>
      </c>
      <c r="AS723" s="134">
        <v>98.283559999999994</v>
      </c>
      <c r="AT723" s="134">
        <v>98.59787</v>
      </c>
      <c r="AU723" s="134">
        <v>96.552090000000007</v>
      </c>
      <c r="AV723" s="134">
        <v>97.895690000000002</v>
      </c>
      <c r="AW723" s="134">
        <v>98.155159999999995</v>
      </c>
      <c r="AX723" s="134">
        <v>98.330029999999994</v>
      </c>
      <c r="AY723" s="134">
        <v>98.28304</v>
      </c>
      <c r="AZ723" s="134">
        <v>98.088130000000007</v>
      </c>
      <c r="BA723" s="134">
        <v>98.179209999999998</v>
      </c>
      <c r="BB723" s="174">
        <v>43102</v>
      </c>
      <c r="BC723" s="174">
        <v>43388</v>
      </c>
    </row>
    <row r="724" spans="1:55" ht="45">
      <c r="A724" s="140" t="s">
        <v>301</v>
      </c>
      <c r="B724" s="140" t="s">
        <v>1121</v>
      </c>
      <c r="C724" s="26" t="s">
        <v>10</v>
      </c>
      <c r="D724" s="26" t="s">
        <v>10</v>
      </c>
      <c r="E724" s="23" t="s">
        <v>10</v>
      </c>
      <c r="F724" s="23" t="s">
        <v>11</v>
      </c>
      <c r="G724" s="140" t="s">
        <v>303</v>
      </c>
      <c r="H724" s="132">
        <v>59.667999999999999</v>
      </c>
      <c r="I724" s="129">
        <v>480</v>
      </c>
      <c r="J724" s="137">
        <v>98</v>
      </c>
      <c r="K724" s="21" t="s">
        <v>1217</v>
      </c>
      <c r="L724" s="130" t="s">
        <v>473</v>
      </c>
      <c r="M724" s="26" t="s">
        <v>474</v>
      </c>
      <c r="N724" s="174">
        <v>43388</v>
      </c>
      <c r="O724" s="130" t="s">
        <v>473</v>
      </c>
      <c r="P724" s="23" t="s">
        <v>17</v>
      </c>
      <c r="Q724" s="23" t="s">
        <v>17</v>
      </c>
      <c r="R724" s="152"/>
      <c r="S724" s="131" t="s">
        <v>11</v>
      </c>
      <c r="T724" s="131" t="s">
        <v>11</v>
      </c>
      <c r="U724" s="132">
        <v>2.8</v>
      </c>
      <c r="V724" s="191"/>
      <c r="W724" s="191"/>
      <c r="X724" s="133">
        <v>540</v>
      </c>
      <c r="Y724" s="133">
        <v>695</v>
      </c>
      <c r="Z724" s="133">
        <v>850</v>
      </c>
      <c r="AA724" s="134">
        <v>5.9670000000000005</v>
      </c>
      <c r="AB724" s="134">
        <v>11.934000000000001</v>
      </c>
      <c r="AC724" s="134">
        <v>17.901</v>
      </c>
      <c r="AD724" s="134">
        <v>29.835000000000001</v>
      </c>
      <c r="AE724" s="134">
        <v>44.752499999999998</v>
      </c>
      <c r="AF724" s="134">
        <v>59.67</v>
      </c>
      <c r="AG724" s="134">
        <v>97.011400860603928</v>
      </c>
      <c r="AH724" s="134">
        <v>97.631529378232045</v>
      </c>
      <c r="AI724" s="134">
        <v>97.640880301858914</v>
      </c>
      <c r="AJ724" s="134">
        <v>97.91217849877566</v>
      </c>
      <c r="AK724" s="134">
        <v>97.592676780514722</v>
      </c>
      <c r="AL724" s="134">
        <v>97.371389602654588</v>
      </c>
      <c r="AM724" s="134">
        <v>97.633183798107254</v>
      </c>
      <c r="AN724" s="134">
        <v>98.571429438759566</v>
      </c>
      <c r="AO724" s="134">
        <v>98.853763236653847</v>
      </c>
      <c r="AP724" s="134">
        <v>98.841635491890969</v>
      </c>
      <c r="AQ724" s="134">
        <v>98.720500594806055</v>
      </c>
      <c r="AR724" s="134">
        <v>98.605791036857624</v>
      </c>
      <c r="AS724" s="134">
        <v>98.347566863262372</v>
      </c>
      <c r="AT724" s="134">
        <v>98.656294316016925</v>
      </c>
      <c r="AU724" s="134">
        <v>97.757887544738608</v>
      </c>
      <c r="AV724" s="134">
        <v>98.375136518373779</v>
      </c>
      <c r="AW724" s="134">
        <v>98.52299435222767</v>
      </c>
      <c r="AX724" s="134">
        <v>98.37578536371538</v>
      </c>
      <c r="AY724" s="134">
        <v>98.164768431150804</v>
      </c>
      <c r="AZ724" s="134">
        <v>97.952672077286579</v>
      </c>
      <c r="BA724" s="134">
        <v>98.235707448730039</v>
      </c>
      <c r="BB724" s="174">
        <v>43102</v>
      </c>
      <c r="BC724" s="174">
        <v>43388</v>
      </c>
    </row>
    <row r="725" spans="1:55" ht="75">
      <c r="A725" s="140" t="s">
        <v>507</v>
      </c>
      <c r="B725" s="18" t="s">
        <v>1122</v>
      </c>
      <c r="C725" s="39" t="s">
        <v>10</v>
      </c>
      <c r="D725" s="39" t="s">
        <v>10</v>
      </c>
      <c r="E725" s="23" t="s">
        <v>10</v>
      </c>
      <c r="F725" s="23" t="s">
        <v>11</v>
      </c>
      <c r="G725" s="18" t="s">
        <v>193</v>
      </c>
      <c r="H725" s="183">
        <v>36</v>
      </c>
      <c r="I725" s="19">
        <v>480</v>
      </c>
      <c r="J725" s="19">
        <v>98</v>
      </c>
      <c r="K725" s="21" t="s">
        <v>1216</v>
      </c>
      <c r="L725" s="49" t="s">
        <v>1609</v>
      </c>
      <c r="M725" s="21" t="s">
        <v>1602</v>
      </c>
      <c r="N725" s="174">
        <v>43388</v>
      </c>
      <c r="O725" s="23" t="s">
        <v>1603</v>
      </c>
      <c r="P725" s="23" t="s">
        <v>17</v>
      </c>
      <c r="Q725" s="23" t="s">
        <v>17</v>
      </c>
      <c r="R725" s="150" t="s">
        <v>559</v>
      </c>
      <c r="S725" s="20" t="s">
        <v>11</v>
      </c>
      <c r="T725" s="20" t="s">
        <v>11</v>
      </c>
      <c r="U725" s="19">
        <v>0</v>
      </c>
      <c r="V725" s="185"/>
      <c r="W725" s="185"/>
      <c r="X725" s="19">
        <v>540</v>
      </c>
      <c r="Y725" s="19">
        <v>730</v>
      </c>
      <c r="Z725" s="19">
        <v>800</v>
      </c>
      <c r="AA725" s="40">
        <v>3.6</v>
      </c>
      <c r="AB725" s="40">
        <v>7.2</v>
      </c>
      <c r="AC725" s="40">
        <v>10.8</v>
      </c>
      <c r="AD725" s="40">
        <v>18</v>
      </c>
      <c r="AE725" s="40">
        <v>27</v>
      </c>
      <c r="AF725" s="40">
        <v>36</v>
      </c>
      <c r="AG725" s="40">
        <v>95.5</v>
      </c>
      <c r="AH725" s="40">
        <v>96.8</v>
      </c>
      <c r="AI725" s="40">
        <v>97.2</v>
      </c>
      <c r="AJ725" s="40">
        <v>97.5</v>
      </c>
      <c r="AK725" s="40">
        <v>97.5</v>
      </c>
      <c r="AL725" s="40">
        <v>97.3</v>
      </c>
      <c r="AM725" s="40">
        <v>97.3</v>
      </c>
      <c r="AN725" s="40">
        <v>97.4</v>
      </c>
      <c r="AO725" s="40">
        <v>98.3</v>
      </c>
      <c r="AP725" s="40">
        <v>98.5</v>
      </c>
      <c r="AQ725" s="40">
        <v>98.5</v>
      </c>
      <c r="AR725" s="40">
        <v>98.5</v>
      </c>
      <c r="AS725" s="40">
        <v>98.3</v>
      </c>
      <c r="AT725" s="40">
        <v>98.4</v>
      </c>
      <c r="AU725" s="40">
        <v>97.1</v>
      </c>
      <c r="AV725" s="40">
        <v>98</v>
      </c>
      <c r="AW725" s="40">
        <v>98.3</v>
      </c>
      <c r="AX725" s="40">
        <v>98.4</v>
      </c>
      <c r="AY725" s="40">
        <v>98.3</v>
      </c>
      <c r="AZ725" s="40">
        <v>98.2</v>
      </c>
      <c r="BA725" s="40">
        <v>98.3</v>
      </c>
      <c r="BB725" s="174">
        <v>43009</v>
      </c>
      <c r="BC725" s="174">
        <v>43600</v>
      </c>
    </row>
    <row r="726" spans="1:55" ht="75">
      <c r="A726" s="140" t="s">
        <v>507</v>
      </c>
      <c r="B726" s="18" t="s">
        <v>392</v>
      </c>
      <c r="C726" s="39" t="s">
        <v>10</v>
      </c>
      <c r="D726" s="39" t="s">
        <v>10</v>
      </c>
      <c r="E726" s="23" t="s">
        <v>10</v>
      </c>
      <c r="F726" s="23" t="s">
        <v>11</v>
      </c>
      <c r="G726" s="18" t="s">
        <v>205</v>
      </c>
      <c r="H726" s="183">
        <v>50</v>
      </c>
      <c r="I726" s="19">
        <v>480</v>
      </c>
      <c r="J726" s="19">
        <v>98.5</v>
      </c>
      <c r="K726" s="21" t="s">
        <v>1216</v>
      </c>
      <c r="L726" s="49" t="s">
        <v>1454</v>
      </c>
      <c r="M726" s="21" t="s">
        <v>1455</v>
      </c>
      <c r="N726" s="174">
        <v>43388</v>
      </c>
      <c r="O726" s="23" t="s">
        <v>1456</v>
      </c>
      <c r="P726" s="23" t="s">
        <v>17</v>
      </c>
      <c r="Q726" s="23" t="s">
        <v>17</v>
      </c>
      <c r="R726" s="150" t="s">
        <v>560</v>
      </c>
      <c r="S726" s="20" t="s">
        <v>10</v>
      </c>
      <c r="T726" s="20" t="s">
        <v>11</v>
      </c>
      <c r="U726" s="19">
        <v>0.88</v>
      </c>
      <c r="V726" s="185"/>
      <c r="W726" s="185"/>
      <c r="X726" s="19">
        <v>480</v>
      </c>
      <c r="Y726" s="19">
        <v>730</v>
      </c>
      <c r="Z726" s="19">
        <v>850</v>
      </c>
      <c r="AA726" s="40">
        <v>5</v>
      </c>
      <c r="AB726" s="40">
        <v>10</v>
      </c>
      <c r="AC726" s="40">
        <v>15</v>
      </c>
      <c r="AD726" s="40">
        <v>25</v>
      </c>
      <c r="AE726" s="40">
        <v>37.5</v>
      </c>
      <c r="AF726" s="40">
        <v>50</v>
      </c>
      <c r="AG726" s="40">
        <v>95.6</v>
      </c>
      <c r="AH726" s="40">
        <v>96.8</v>
      </c>
      <c r="AI726" s="40">
        <v>97.5</v>
      </c>
      <c r="AJ726" s="40">
        <v>97.9</v>
      </c>
      <c r="AK726" s="40">
        <v>97.8</v>
      </c>
      <c r="AL726" s="40">
        <v>97.7</v>
      </c>
      <c r="AM726" s="40">
        <v>97.6</v>
      </c>
      <c r="AN726" s="40">
        <v>98</v>
      </c>
      <c r="AO726" s="40">
        <v>98.6</v>
      </c>
      <c r="AP726" s="40">
        <v>98.8</v>
      </c>
      <c r="AQ726" s="40">
        <v>98.8</v>
      </c>
      <c r="AR726" s="40">
        <v>98.7</v>
      </c>
      <c r="AS726" s="40">
        <v>98.6</v>
      </c>
      <c r="AT726" s="40">
        <v>98.7</v>
      </c>
      <c r="AU726" s="40">
        <v>97.7</v>
      </c>
      <c r="AV726" s="40">
        <v>98.5</v>
      </c>
      <c r="AW726" s="40">
        <v>98.6</v>
      </c>
      <c r="AX726" s="40">
        <v>98.7</v>
      </c>
      <c r="AY726" s="40">
        <v>98.6</v>
      </c>
      <c r="AZ726" s="40">
        <v>98.5</v>
      </c>
      <c r="BA726" s="40">
        <v>98.6</v>
      </c>
      <c r="BB726" s="174">
        <v>43009</v>
      </c>
      <c r="BC726" s="174">
        <v>43557</v>
      </c>
    </row>
    <row r="727" spans="1:55" ht="75">
      <c r="A727" s="140" t="s">
        <v>507</v>
      </c>
      <c r="B727" s="18" t="s">
        <v>393</v>
      </c>
      <c r="C727" s="39" t="s">
        <v>10</v>
      </c>
      <c r="D727" s="39" t="s">
        <v>10</v>
      </c>
      <c r="E727" s="23" t="s">
        <v>10</v>
      </c>
      <c r="F727" s="23" t="s">
        <v>11</v>
      </c>
      <c r="G727" s="18" t="s">
        <v>206</v>
      </c>
      <c r="H727" s="183">
        <v>60</v>
      </c>
      <c r="I727" s="19">
        <v>480</v>
      </c>
      <c r="J727" s="19">
        <v>98.5</v>
      </c>
      <c r="K727" s="21" t="s">
        <v>1216</v>
      </c>
      <c r="L727" s="49" t="s">
        <v>1454</v>
      </c>
      <c r="M727" s="21" t="s">
        <v>1455</v>
      </c>
      <c r="N727" s="174">
        <v>43388</v>
      </c>
      <c r="O727" s="23" t="s">
        <v>1456</v>
      </c>
      <c r="P727" s="23" t="s">
        <v>17</v>
      </c>
      <c r="Q727" s="23" t="s">
        <v>17</v>
      </c>
      <c r="R727" s="150" t="s">
        <v>561</v>
      </c>
      <c r="S727" s="20" t="s">
        <v>10</v>
      </c>
      <c r="T727" s="20" t="s">
        <v>11</v>
      </c>
      <c r="U727" s="19">
        <v>0.88</v>
      </c>
      <c r="V727" s="185"/>
      <c r="W727" s="185"/>
      <c r="X727" s="19">
        <v>540</v>
      </c>
      <c r="Y727" s="19">
        <v>730</v>
      </c>
      <c r="Z727" s="19">
        <v>850</v>
      </c>
      <c r="AA727" s="40">
        <v>6</v>
      </c>
      <c r="AB727" s="40">
        <v>12</v>
      </c>
      <c r="AC727" s="40">
        <v>18</v>
      </c>
      <c r="AD727" s="40">
        <v>30</v>
      </c>
      <c r="AE727" s="40">
        <v>45</v>
      </c>
      <c r="AF727" s="40">
        <v>60</v>
      </c>
      <c r="AG727" s="40">
        <v>96.5</v>
      </c>
      <c r="AH727" s="40">
        <v>97.5</v>
      </c>
      <c r="AI727" s="40">
        <v>97.9</v>
      </c>
      <c r="AJ727" s="40">
        <v>98.1</v>
      </c>
      <c r="AK727" s="40">
        <v>97.9</v>
      </c>
      <c r="AL727" s="40">
        <v>97.7</v>
      </c>
      <c r="AM727" s="40">
        <v>97.9</v>
      </c>
      <c r="AN727" s="40">
        <v>98.2</v>
      </c>
      <c r="AO727" s="40">
        <v>98.7</v>
      </c>
      <c r="AP727" s="40">
        <v>98.8</v>
      </c>
      <c r="AQ727" s="40">
        <v>98.8</v>
      </c>
      <c r="AR727" s="40">
        <v>98.7</v>
      </c>
      <c r="AS727" s="40">
        <v>98.5</v>
      </c>
      <c r="AT727" s="40">
        <v>98.7</v>
      </c>
      <c r="AU727" s="40">
        <v>98</v>
      </c>
      <c r="AV727" s="40">
        <v>98.6</v>
      </c>
      <c r="AW727" s="40">
        <v>98.7</v>
      </c>
      <c r="AX727" s="40">
        <v>98.7</v>
      </c>
      <c r="AY727" s="40">
        <v>98.5</v>
      </c>
      <c r="AZ727" s="40">
        <v>98.4</v>
      </c>
      <c r="BA727" s="40">
        <v>98.5</v>
      </c>
      <c r="BB727" s="174">
        <v>43009</v>
      </c>
      <c r="BC727" s="174">
        <v>43557</v>
      </c>
    </row>
    <row r="728" spans="1:55" ht="111" customHeight="1">
      <c r="A728" s="140" t="s">
        <v>507</v>
      </c>
      <c r="B728" s="18" t="s">
        <v>1123</v>
      </c>
      <c r="C728" s="23" t="s">
        <v>10</v>
      </c>
      <c r="D728" s="23" t="s">
        <v>11</v>
      </c>
      <c r="E728" s="23" t="s">
        <v>11</v>
      </c>
      <c r="F728" s="23" t="s">
        <v>11</v>
      </c>
      <c r="G728" s="147" t="s">
        <v>558</v>
      </c>
      <c r="H728" s="183">
        <v>507</v>
      </c>
      <c r="I728" s="19">
        <v>380</v>
      </c>
      <c r="J728" s="19">
        <v>96.5</v>
      </c>
      <c r="K728" s="21" t="s">
        <v>1217</v>
      </c>
      <c r="L728" s="49" t="s">
        <v>509</v>
      </c>
      <c r="M728" s="21" t="s">
        <v>510</v>
      </c>
      <c r="N728" s="174" t="s">
        <v>17</v>
      </c>
      <c r="O728" s="23" t="s">
        <v>17</v>
      </c>
      <c r="P728" s="23" t="s">
        <v>17</v>
      </c>
      <c r="Q728" s="23" t="s">
        <v>17</v>
      </c>
      <c r="R728" s="150" t="s">
        <v>508</v>
      </c>
      <c r="S728" s="20" t="s">
        <v>11</v>
      </c>
      <c r="T728" s="20" t="s">
        <v>11</v>
      </c>
      <c r="U728" s="19">
        <v>88.78</v>
      </c>
      <c r="V728" s="19"/>
      <c r="W728" s="19"/>
      <c r="X728" s="19">
        <v>545</v>
      </c>
      <c r="Y728" s="19">
        <v>615</v>
      </c>
      <c r="Z728" s="19">
        <v>820</v>
      </c>
      <c r="AA728" s="40">
        <v>50.7</v>
      </c>
      <c r="AB728" s="40">
        <v>101.4</v>
      </c>
      <c r="AC728" s="40">
        <v>152.1</v>
      </c>
      <c r="AD728" s="40">
        <v>253.5</v>
      </c>
      <c r="AE728" s="40">
        <v>380.25</v>
      </c>
      <c r="AF728" s="40">
        <v>507</v>
      </c>
      <c r="AG728" s="40">
        <v>93.6</v>
      </c>
      <c r="AH728" s="40">
        <v>96.1</v>
      </c>
      <c r="AI728" s="40">
        <v>96.7</v>
      </c>
      <c r="AJ728" s="40">
        <v>97.1</v>
      </c>
      <c r="AK728" s="40">
        <v>97.2</v>
      </c>
      <c r="AL728" s="40">
        <v>97.1</v>
      </c>
      <c r="AM728" s="40">
        <v>96.9</v>
      </c>
      <c r="AN728" s="40">
        <v>93.2</v>
      </c>
      <c r="AO728" s="40">
        <v>95.8</v>
      </c>
      <c r="AP728" s="40">
        <v>96.5</v>
      </c>
      <c r="AQ728" s="40">
        <v>96.9</v>
      </c>
      <c r="AR728" s="40">
        <v>97</v>
      </c>
      <c r="AS728" s="40">
        <v>97</v>
      </c>
      <c r="AT728" s="40">
        <v>96.7</v>
      </c>
      <c r="AU728" s="40">
        <v>92.1</v>
      </c>
      <c r="AV728" s="40">
        <v>95.3</v>
      </c>
      <c r="AW728" s="40">
        <v>96.1</v>
      </c>
      <c r="AX728" s="40">
        <v>96.6</v>
      </c>
      <c r="AY728" s="40">
        <v>96.8</v>
      </c>
      <c r="AZ728" s="40">
        <v>96.8</v>
      </c>
      <c r="BA728" s="40">
        <v>96.4</v>
      </c>
      <c r="BB728" s="176">
        <v>43146</v>
      </c>
      <c r="BC728" s="178"/>
    </row>
    <row r="729" spans="1:55" ht="55.5" customHeight="1">
      <c r="A729" s="140" t="s">
        <v>507</v>
      </c>
      <c r="B729" s="18" t="s">
        <v>1124</v>
      </c>
      <c r="C729" s="23" t="s">
        <v>10</v>
      </c>
      <c r="D729" s="23" t="s">
        <v>11</v>
      </c>
      <c r="E729" s="23" t="s">
        <v>11</v>
      </c>
      <c r="F729" s="23" t="s">
        <v>11</v>
      </c>
      <c r="G729" s="147" t="s">
        <v>557</v>
      </c>
      <c r="H729" s="183">
        <v>753.2</v>
      </c>
      <c r="I729" s="19">
        <v>380</v>
      </c>
      <c r="J729" s="19">
        <v>96.5</v>
      </c>
      <c r="K729" s="21" t="s">
        <v>1217</v>
      </c>
      <c r="L729" s="49" t="s">
        <v>509</v>
      </c>
      <c r="M729" s="21" t="s">
        <v>510</v>
      </c>
      <c r="N729" s="174" t="s">
        <v>17</v>
      </c>
      <c r="O729" s="23" t="s">
        <v>17</v>
      </c>
      <c r="P729" s="23" t="s">
        <v>17</v>
      </c>
      <c r="Q729" s="23" t="s">
        <v>17</v>
      </c>
      <c r="R729" s="150" t="s">
        <v>508</v>
      </c>
      <c r="S729" s="20" t="s">
        <v>11</v>
      </c>
      <c r="T729" s="20" t="s">
        <v>11</v>
      </c>
      <c r="U729" s="19">
        <v>122.55</v>
      </c>
      <c r="V729" s="19"/>
      <c r="W729" s="19"/>
      <c r="X729" s="19">
        <v>545</v>
      </c>
      <c r="Y729" s="19">
        <v>615</v>
      </c>
      <c r="Z729" s="19">
        <v>820</v>
      </c>
      <c r="AA729" s="40">
        <v>75.319999999999993</v>
      </c>
      <c r="AB729" s="40">
        <v>150.63999999999999</v>
      </c>
      <c r="AC729" s="40">
        <v>225.96</v>
      </c>
      <c r="AD729" s="40">
        <v>376.6</v>
      </c>
      <c r="AE729" s="40">
        <v>564.9</v>
      </c>
      <c r="AF729" s="40">
        <v>753.2</v>
      </c>
      <c r="AG729" s="40">
        <v>94</v>
      </c>
      <c r="AH729" s="40">
        <v>96.2</v>
      </c>
      <c r="AI729" s="40">
        <v>96.7</v>
      </c>
      <c r="AJ729" s="40">
        <v>97</v>
      </c>
      <c r="AK729" s="40">
        <v>97</v>
      </c>
      <c r="AL729" s="40">
        <v>96.9</v>
      </c>
      <c r="AM729" s="40">
        <v>96.8</v>
      </c>
      <c r="AN729" s="40">
        <v>93.7</v>
      </c>
      <c r="AO729" s="40">
        <v>96.2</v>
      </c>
      <c r="AP729" s="40">
        <v>96.7</v>
      </c>
      <c r="AQ729" s="40">
        <v>97.1</v>
      </c>
      <c r="AR729" s="40">
        <v>97.1</v>
      </c>
      <c r="AS729" s="40">
        <v>97</v>
      </c>
      <c r="AT729" s="40">
        <v>96.9</v>
      </c>
      <c r="AU729" s="40">
        <v>91.9</v>
      </c>
      <c r="AV729" s="40">
        <v>95.3</v>
      </c>
      <c r="AW729" s="40">
        <v>96.2</v>
      </c>
      <c r="AX729" s="40">
        <v>96.7</v>
      </c>
      <c r="AY729" s="40">
        <v>96.7</v>
      </c>
      <c r="AZ729" s="40">
        <v>96.8</v>
      </c>
      <c r="BA729" s="40">
        <v>96.4</v>
      </c>
      <c r="BB729" s="176">
        <v>43146</v>
      </c>
      <c r="BC729" s="178"/>
    </row>
    <row r="730" spans="1:55" ht="55.5" customHeight="1">
      <c r="A730" s="168" t="s">
        <v>507</v>
      </c>
      <c r="B730" s="168" t="s">
        <v>1631</v>
      </c>
      <c r="C730" s="158" t="s">
        <v>10</v>
      </c>
      <c r="D730" s="158" t="s">
        <v>10</v>
      </c>
      <c r="E730" s="158" t="s">
        <v>10</v>
      </c>
      <c r="F730" s="158" t="s">
        <v>11</v>
      </c>
      <c r="G730" s="168" t="s">
        <v>1632</v>
      </c>
      <c r="H730" s="182">
        <v>124.61755833333333</v>
      </c>
      <c r="I730" s="159">
        <v>600</v>
      </c>
      <c r="J730" s="164">
        <v>98.5</v>
      </c>
      <c r="K730" s="160" t="s">
        <v>1217</v>
      </c>
      <c r="L730" s="38" t="s">
        <v>1625</v>
      </c>
      <c r="M730" s="38" t="s">
        <v>1626</v>
      </c>
      <c r="N730" s="174">
        <v>43619</v>
      </c>
      <c r="O730" s="38" t="s">
        <v>1625</v>
      </c>
      <c r="P730" s="38" t="s">
        <v>17</v>
      </c>
      <c r="Q730" s="160" t="s">
        <v>17</v>
      </c>
      <c r="R730" s="170"/>
      <c r="S730" s="161" t="s">
        <v>11</v>
      </c>
      <c r="T730" s="161" t="s">
        <v>11</v>
      </c>
      <c r="U730" s="179">
        <v>3.8421052631578951</v>
      </c>
      <c r="V730" s="163"/>
      <c r="W730" s="163"/>
      <c r="X730" s="163">
        <v>860</v>
      </c>
      <c r="Y730" s="163">
        <v>1050</v>
      </c>
      <c r="Z730" s="163">
        <v>1250</v>
      </c>
      <c r="AA730" s="162">
        <v>12.461755833333335</v>
      </c>
      <c r="AB730" s="162">
        <v>24.92351166666667</v>
      </c>
      <c r="AC730" s="162">
        <v>37.385267499999998</v>
      </c>
      <c r="AD730" s="162">
        <v>62.308779166666667</v>
      </c>
      <c r="AE730" s="162">
        <v>93.463168749999994</v>
      </c>
      <c r="AF730" s="162">
        <v>124.61755833333333</v>
      </c>
      <c r="AG730" s="164">
        <v>98.421599999999998</v>
      </c>
      <c r="AH730" s="164">
        <v>98.869799999999984</v>
      </c>
      <c r="AI730" s="164">
        <v>98.943400000000011</v>
      </c>
      <c r="AJ730" s="164">
        <v>98.89439999999999</v>
      </c>
      <c r="AK730" s="164">
        <v>98.806200000000018</v>
      </c>
      <c r="AL730" s="164">
        <v>98.720399999999998</v>
      </c>
      <c r="AM730" s="164">
        <v>98.824692000000013</v>
      </c>
      <c r="AN730" s="164">
        <v>97.039800000000014</v>
      </c>
      <c r="AO730" s="164">
        <v>98.3964</v>
      </c>
      <c r="AP730" s="164">
        <v>98.442000000000007</v>
      </c>
      <c r="AQ730" s="164">
        <v>98.546199999999999</v>
      </c>
      <c r="AR730" s="164">
        <v>98.506400000000014</v>
      </c>
      <c r="AS730" s="164">
        <v>98.452200000000005</v>
      </c>
      <c r="AT730" s="164">
        <v>98.440156000000016</v>
      </c>
      <c r="AU730" s="164">
        <v>95.852200000000011</v>
      </c>
      <c r="AV730" s="164">
        <v>97.525600000000011</v>
      </c>
      <c r="AW730" s="164">
        <v>98.153399999999991</v>
      </c>
      <c r="AX730" s="164">
        <v>98.242800000000017</v>
      </c>
      <c r="AY730" s="164">
        <v>98.248999999999995</v>
      </c>
      <c r="AZ730" s="164">
        <v>98.262199999999979</v>
      </c>
      <c r="BA730" s="164">
        <v>98.104844</v>
      </c>
      <c r="BB730" s="178">
        <v>43619</v>
      </c>
      <c r="BC730" s="178"/>
    </row>
    <row r="731" spans="1:55" ht="55.5" customHeight="1">
      <c r="A731" s="168" t="s">
        <v>507</v>
      </c>
      <c r="B731" s="168" t="s">
        <v>1629</v>
      </c>
      <c r="C731" s="158" t="s">
        <v>10</v>
      </c>
      <c r="D731" s="158" t="s">
        <v>10</v>
      </c>
      <c r="E731" s="158" t="s">
        <v>10</v>
      </c>
      <c r="F731" s="158" t="s">
        <v>11</v>
      </c>
      <c r="G731" s="168" t="s">
        <v>1630</v>
      </c>
      <c r="H731" s="182">
        <v>124.61755833333333</v>
      </c>
      <c r="I731" s="159">
        <v>600</v>
      </c>
      <c r="J731" s="164">
        <v>98.5</v>
      </c>
      <c r="K731" s="160" t="s">
        <v>1217</v>
      </c>
      <c r="L731" s="38" t="s">
        <v>1625</v>
      </c>
      <c r="M731" s="38" t="s">
        <v>1626</v>
      </c>
      <c r="N731" s="174">
        <v>43619</v>
      </c>
      <c r="O731" s="38" t="s">
        <v>1625</v>
      </c>
      <c r="P731" s="38" t="s">
        <v>17</v>
      </c>
      <c r="Q731" s="160" t="s">
        <v>17</v>
      </c>
      <c r="R731" s="170"/>
      <c r="S731" s="161" t="s">
        <v>11</v>
      </c>
      <c r="T731" s="161" t="s">
        <v>11</v>
      </c>
      <c r="U731" s="179">
        <v>3.8421052631578951</v>
      </c>
      <c r="V731" s="163"/>
      <c r="W731" s="163"/>
      <c r="X731" s="163">
        <v>860</v>
      </c>
      <c r="Y731" s="163">
        <v>1050</v>
      </c>
      <c r="Z731" s="163">
        <v>1250</v>
      </c>
      <c r="AA731" s="162">
        <v>12.461755833333335</v>
      </c>
      <c r="AB731" s="162">
        <v>24.92351166666667</v>
      </c>
      <c r="AC731" s="162">
        <v>37.385267499999998</v>
      </c>
      <c r="AD731" s="162">
        <v>62.308779166666667</v>
      </c>
      <c r="AE731" s="162">
        <v>93.463168749999994</v>
      </c>
      <c r="AF731" s="162">
        <v>124.61755833333333</v>
      </c>
      <c r="AG731" s="164">
        <v>98.421599999999998</v>
      </c>
      <c r="AH731" s="164">
        <v>98.869799999999984</v>
      </c>
      <c r="AI731" s="164">
        <v>98.943400000000011</v>
      </c>
      <c r="AJ731" s="164">
        <v>98.89439999999999</v>
      </c>
      <c r="AK731" s="164">
        <v>98.806200000000018</v>
      </c>
      <c r="AL731" s="164">
        <v>98.720399999999998</v>
      </c>
      <c r="AM731" s="164">
        <v>98.824692000000013</v>
      </c>
      <c r="AN731" s="164">
        <v>97.039800000000014</v>
      </c>
      <c r="AO731" s="164">
        <v>98.3964</v>
      </c>
      <c r="AP731" s="164">
        <v>98.442000000000007</v>
      </c>
      <c r="AQ731" s="164">
        <v>98.546199999999999</v>
      </c>
      <c r="AR731" s="164">
        <v>98.506400000000014</v>
      </c>
      <c r="AS731" s="164">
        <v>98.452200000000005</v>
      </c>
      <c r="AT731" s="164">
        <v>98.440156000000016</v>
      </c>
      <c r="AU731" s="164">
        <v>95.852200000000011</v>
      </c>
      <c r="AV731" s="164">
        <v>97.525600000000011</v>
      </c>
      <c r="AW731" s="164">
        <v>98.153399999999991</v>
      </c>
      <c r="AX731" s="164">
        <v>98.242800000000017</v>
      </c>
      <c r="AY731" s="164">
        <v>98.248999999999995</v>
      </c>
      <c r="AZ731" s="164">
        <v>98.262199999999979</v>
      </c>
      <c r="BA731" s="164">
        <v>98.104844</v>
      </c>
      <c r="BB731" s="178">
        <v>43619</v>
      </c>
      <c r="BC731" s="178"/>
    </row>
    <row r="732" spans="1:55" s="99" customFormat="1" ht="150" customHeight="1">
      <c r="A732" s="168" t="s">
        <v>507</v>
      </c>
      <c r="B732" s="168" t="s">
        <v>1627</v>
      </c>
      <c r="C732" s="158" t="s">
        <v>10</v>
      </c>
      <c r="D732" s="158" t="s">
        <v>10</v>
      </c>
      <c r="E732" s="158" t="s">
        <v>10</v>
      </c>
      <c r="F732" s="158" t="s">
        <v>11</v>
      </c>
      <c r="G732" s="168" t="s">
        <v>1628</v>
      </c>
      <c r="H732" s="182">
        <v>150</v>
      </c>
      <c r="I732" s="159">
        <v>600</v>
      </c>
      <c r="J732" s="164">
        <v>98.5</v>
      </c>
      <c r="K732" s="160" t="s">
        <v>1217</v>
      </c>
      <c r="L732" s="38" t="s">
        <v>1625</v>
      </c>
      <c r="M732" s="38" t="s">
        <v>1626</v>
      </c>
      <c r="N732" s="174">
        <v>43619</v>
      </c>
      <c r="O732" s="38" t="s">
        <v>1625</v>
      </c>
      <c r="P732" s="38" t="s">
        <v>17</v>
      </c>
      <c r="Q732" s="160" t="s">
        <v>17</v>
      </c>
      <c r="R732" s="170"/>
      <c r="S732" s="161" t="s">
        <v>11</v>
      </c>
      <c r="T732" s="161" t="s">
        <v>11</v>
      </c>
      <c r="U732" s="179">
        <v>2.75</v>
      </c>
      <c r="V732" s="163"/>
      <c r="W732" s="163"/>
      <c r="X732" s="163">
        <v>860</v>
      </c>
      <c r="Y732" s="163">
        <v>1100</v>
      </c>
      <c r="Z732" s="163">
        <v>1250</v>
      </c>
      <c r="AA732" s="162">
        <v>15</v>
      </c>
      <c r="AB732" s="162">
        <v>30</v>
      </c>
      <c r="AC732" s="162">
        <v>45</v>
      </c>
      <c r="AD732" s="162">
        <v>75</v>
      </c>
      <c r="AE732" s="162">
        <v>112.5</v>
      </c>
      <c r="AF732" s="162">
        <v>150</v>
      </c>
      <c r="AG732" s="164">
        <v>98.468800000000002</v>
      </c>
      <c r="AH732" s="164">
        <v>98.933200000000014</v>
      </c>
      <c r="AI732" s="164">
        <v>98.986199999999982</v>
      </c>
      <c r="AJ732" s="164">
        <v>98.887199999999979</v>
      </c>
      <c r="AK732" s="164">
        <v>98.808799999999991</v>
      </c>
      <c r="AL732" s="164">
        <v>98.717999999999989</v>
      </c>
      <c r="AM732" s="164">
        <v>98.834631999999999</v>
      </c>
      <c r="AN732" s="164">
        <v>98.194800000000001</v>
      </c>
      <c r="AO732" s="164">
        <v>98.229799999999983</v>
      </c>
      <c r="AP732" s="164">
        <v>98.505399999999995</v>
      </c>
      <c r="AQ732" s="164">
        <v>98.542400000000001</v>
      </c>
      <c r="AR732" s="164">
        <v>98.497600000000006</v>
      </c>
      <c r="AS732" s="164">
        <v>98.38</v>
      </c>
      <c r="AT732" s="164">
        <v>98.476562000000001</v>
      </c>
      <c r="AU732" s="164">
        <v>98.259600000000006</v>
      </c>
      <c r="AV732" s="164">
        <v>98.259600000000006</v>
      </c>
      <c r="AW732" s="164">
        <v>98.278599999999997</v>
      </c>
      <c r="AX732" s="164">
        <v>98.368399999999994</v>
      </c>
      <c r="AY732" s="164">
        <v>98.298000000000002</v>
      </c>
      <c r="AZ732" s="164">
        <v>98.178000000000011</v>
      </c>
      <c r="BA732" s="164">
        <v>98.301000000000002</v>
      </c>
      <c r="BB732" s="178">
        <v>43619</v>
      </c>
      <c r="BC732" s="178"/>
    </row>
    <row r="733" spans="1:55" s="190" customFormat="1" ht="45">
      <c r="A733" s="168" t="s">
        <v>507</v>
      </c>
      <c r="B733" s="168" t="s">
        <v>1623</v>
      </c>
      <c r="C733" s="158" t="s">
        <v>10</v>
      </c>
      <c r="D733" s="158" t="s">
        <v>10</v>
      </c>
      <c r="E733" s="158" t="s">
        <v>10</v>
      </c>
      <c r="F733" s="158" t="s">
        <v>11</v>
      </c>
      <c r="G733" s="168" t="s">
        <v>1624</v>
      </c>
      <c r="H733" s="182">
        <v>165.13934</v>
      </c>
      <c r="I733" s="159">
        <v>600</v>
      </c>
      <c r="J733" s="164">
        <v>98.5</v>
      </c>
      <c r="K733" s="160" t="s">
        <v>1217</v>
      </c>
      <c r="L733" s="38" t="s">
        <v>1625</v>
      </c>
      <c r="M733" s="38" t="s">
        <v>1626</v>
      </c>
      <c r="N733" s="174">
        <v>43619</v>
      </c>
      <c r="O733" s="38" t="s">
        <v>1625</v>
      </c>
      <c r="P733" s="38" t="s">
        <v>17</v>
      </c>
      <c r="Q733" s="160" t="s">
        <v>17</v>
      </c>
      <c r="R733" s="170"/>
      <c r="S733" s="161" t="s">
        <v>11</v>
      </c>
      <c r="T733" s="161" t="s">
        <v>11</v>
      </c>
      <c r="U733" s="179">
        <v>3.8421052631578951</v>
      </c>
      <c r="V733" s="163"/>
      <c r="W733" s="163"/>
      <c r="X733" s="163">
        <v>860</v>
      </c>
      <c r="Y733" s="163">
        <v>1050</v>
      </c>
      <c r="Z733" s="163">
        <v>1250</v>
      </c>
      <c r="AA733" s="162">
        <v>16.513934000000003</v>
      </c>
      <c r="AB733" s="162">
        <v>33.027868000000005</v>
      </c>
      <c r="AC733" s="162">
        <v>49.541801999999997</v>
      </c>
      <c r="AD733" s="162">
        <v>82.569670000000002</v>
      </c>
      <c r="AE733" s="162">
        <v>123.854505</v>
      </c>
      <c r="AF733" s="162">
        <v>165.13934</v>
      </c>
      <c r="AG733" s="164">
        <v>98.551600000000008</v>
      </c>
      <c r="AH733" s="164">
        <v>99.010799999999989</v>
      </c>
      <c r="AI733" s="164">
        <v>99.026600000000002</v>
      </c>
      <c r="AJ733" s="164">
        <v>98.872199999999992</v>
      </c>
      <c r="AK733" s="164">
        <v>98.7684</v>
      </c>
      <c r="AL733" s="164">
        <v>98.602599999999995</v>
      </c>
      <c r="AM733" s="164">
        <v>98.816340000000011</v>
      </c>
      <c r="AN733" s="164">
        <v>97.598800000000011</v>
      </c>
      <c r="AO733" s="164">
        <v>98.605800000000002</v>
      </c>
      <c r="AP733" s="164">
        <v>98.669800000000009</v>
      </c>
      <c r="AQ733" s="164">
        <v>98.588800000000006</v>
      </c>
      <c r="AR733" s="164">
        <v>98.488599999999991</v>
      </c>
      <c r="AS733" s="164">
        <v>98.306599999999989</v>
      </c>
      <c r="AT733" s="164">
        <v>98.492553999999998</v>
      </c>
      <c r="AU733" s="164">
        <v>96.511999999999986</v>
      </c>
      <c r="AV733" s="164">
        <v>97.893600000000006</v>
      </c>
      <c r="AW733" s="164">
        <v>98.131599999999992</v>
      </c>
      <c r="AX733" s="164">
        <v>98.268999999999991</v>
      </c>
      <c r="AY733" s="164">
        <v>98.183400000000006</v>
      </c>
      <c r="AZ733" s="164">
        <v>98.080799999999996</v>
      </c>
      <c r="BA733" s="164">
        <v>98.108683999999997</v>
      </c>
      <c r="BB733" s="178">
        <v>43619</v>
      </c>
      <c r="BC733" s="178"/>
    </row>
  </sheetData>
  <sheetProtection algorithmName="SHA-512" hashValue="3cfF/9/1Wx1rs639O7RZMvtrnGkxRxf5lQLnNAtemMc5q+Uis9HLDXMP4DsgIgk/0Rqvjkm7DxTaOSskNnbEGw==" saltValue="q3BTWbBTBcivhm2WpH4FZQ==" spinCount="100000" sheet="1" objects="1" scenarios="1" sort="0" autoFilter="0"/>
  <autoFilter ref="A14:BC733">
    <sortState ref="A493:BC734">
      <sortCondition ref="A14:A734"/>
    </sortState>
  </autoFilter>
  <sortState ref="A15:BC733">
    <sortCondition ref="A15:A733"/>
    <sortCondition ref="B15:B733"/>
  </sortState>
  <conditionalFormatting sqref="B541:B542">
    <cfRule type="duplicateValues" dxfId="4" priority="11"/>
  </conditionalFormatting>
  <conditionalFormatting sqref="B543:B544">
    <cfRule type="duplicateValues" dxfId="3" priority="991"/>
  </conditionalFormatting>
  <conditionalFormatting sqref="B538:B540">
    <cfRule type="duplicateValues" dxfId="2" priority="993"/>
  </conditionalFormatting>
  <conditionalFormatting sqref="B257">
    <cfRule type="duplicateValues" dxfId="1" priority="9"/>
  </conditionalFormatting>
  <conditionalFormatting sqref="B261:B537 B15:B128 B258 B130:B227 B230:B234 B237:B240 B243 B246:B256">
    <cfRule type="duplicateValues" dxfId="0" priority="1102"/>
  </conditionalFormatting>
  <hyperlinks>
    <hyperlink ref="A5" r:id="rId1" display="http://www.gosolarcalifornia.ca.gov/equipment/documents/Prior_List_of_Eligible_Inverters.pdf"/>
    <hyperlink ref="A7" r:id="rId2"/>
  </hyperlinks>
  <pageMargins left="0.7" right="0.7" top="0.75" bottom="0.75" header="0.3" footer="0.3"/>
  <pageSetup scale="12" fitToHeight="9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e">
        <f>CONCATENATE("'",'Inverter-Full Data'!#REF!,"     ",'Inverter-Full Data'!#REF!,",",'Inverter-Full Data'!#REF!,",",'Inverter-Full Data'!#REF!,",",'Inverter-Full Data'!#REF!,"'")</f>
        <v>#REF!</v>
      </c>
    </row>
    <row r="4" spans="1:1">
      <c r="A4" s="2" t="e">
        <f>CONCATENATE("'",'Inverter-Full Data'!#REF!,"     ",'Inverter-Full Data'!#REF!,",",'Inverter-Full Data'!#REF!,",",'Inverter-Full Data'!#REF!,",",'Inverter-Full Data'!#REF!,"'")</f>
        <v>#REF!</v>
      </c>
    </row>
    <row r="5" spans="1:1">
      <c r="A5" s="2" t="e">
        <f>CONCATENATE("'",'Inverter-Full Data'!#REF!,"     ",'Inverter-Full Data'!#REF!,",",'Inverter-Full Data'!#REF!,",",'Inverter-Full Data'!#REF!,",",'Inverter-Full Data'!#REF!,"'")</f>
        <v>#REF!</v>
      </c>
    </row>
    <row r="6" spans="1:1">
      <c r="A6" s="2" t="e">
        <f>CONCATENATE("'",'Inverter-Full Data'!#REF!,"     ",'Inverter-Full Data'!#REF!,",",'Inverter-Full Data'!#REF!,",",'Inverter-Full Data'!#REF!,",",'Inverter-Full Data'!#REF!,"'")</f>
        <v>#REF!</v>
      </c>
    </row>
    <row r="7" spans="1:1">
      <c r="A7" s="2" t="e">
        <f>CONCATENATE("'",'Inverter-Full Data'!#REF!,"     ",'Inverter-Full Data'!#REF!,",",'Inverter-Full Data'!#REF!,",",'Inverter-Full Data'!#REF!,",",'Inverter-Full Data'!#REF!,"'")</f>
        <v>#REF!</v>
      </c>
    </row>
    <row r="8" spans="1:1">
      <c r="A8" s="2" t="e">
        <f>CONCATENATE("'",'Inverter-Full Data'!#REF!,"     ",'Inverter-Full Data'!#REF!,",",'Inverter-Full Data'!#REF!,",",'Inverter-Full Data'!#REF!,",",'Inverter-Full Data'!#REF!,"'")</f>
        <v>#REF!</v>
      </c>
    </row>
    <row r="9" spans="1:1">
      <c r="A9" s="2" t="e">
        <f>CONCATENATE("'",'Inverter-Full Data'!#REF!,"     ",'Inverter-Full Data'!#REF!,",",'Inverter-Full Data'!#REF!,",",'Inverter-Full Data'!#REF!,",",'Inverter-Full Data'!#REF!,"'")</f>
        <v>#REF!</v>
      </c>
    </row>
    <row r="10" spans="1:1">
      <c r="A10" s="2" t="e">
        <f>CONCATENATE("'",'Inverter-Full Data'!#REF!,"     ",'Inverter-Full Data'!#REF!,",",'Inverter-Full Data'!#REF!,",",'Inverter-Full Data'!#REF!,",",'Inverter-Full Data'!#REF!,"'")</f>
        <v>#REF!</v>
      </c>
    </row>
    <row r="11" spans="1:1">
      <c r="A11" s="2" t="e">
        <f>CONCATENATE("'",'Inverter-Full Data'!#REF!,"     ",'Inverter-Full Data'!#REF!,",",'Inverter-Full Data'!#REF!,",",'Inverter-Full Data'!#REF!,",",'Inverter-Full Data'!#REF!,"'")</f>
        <v>#REF!</v>
      </c>
    </row>
    <row r="12" spans="1:1">
      <c r="A12" s="2" t="e">
        <f>CONCATENATE("'",'Inverter-Full Data'!#REF!,"     ",'Inverter-Full Data'!#REF!,",",'Inverter-Full Data'!#REF!,",",'Inverter-Full Data'!#REF!,",",'Inverter-Full Data'!#REF!,"'")</f>
        <v>#REF!</v>
      </c>
    </row>
    <row r="13" spans="1:1">
      <c r="A13" s="2" t="e">
        <f>CONCATENATE("'",'Inverter-Full Data'!#REF!,"     ",'Inverter-Full Data'!#REF!,",",'Inverter-Full Data'!#REF!,",",'Inverter-Full Data'!#REF!,",",'Inverter-Full Data'!#REF!,"'")</f>
        <v>#REF!</v>
      </c>
    </row>
    <row r="14" spans="1:1">
      <c r="A14" s="2" t="e">
        <f>CONCATENATE("'",'Inverter-Full Data'!#REF!,"     ",'Inverter-Full Data'!#REF!,",",'Inverter-Full Data'!#REF!,",",'Inverter-Full Data'!#REF!,",",'Inverter-Full Data'!#REF!,"'")</f>
        <v>#REF!</v>
      </c>
    </row>
    <row r="15" spans="1:1">
      <c r="A15" s="2" t="e">
        <f>CONCATENATE("'",'Inverter-Full Data'!#REF!,"     ",'Inverter-Full Data'!#REF!,",",'Inverter-Full Data'!#REF!,",",'Inverter-Full Data'!#REF!,",",'Inverter-Full Data'!#REF!,"'")</f>
        <v>#REF!</v>
      </c>
    </row>
    <row r="16" spans="1:1">
      <c r="A16" s="2" t="e">
        <f>CONCATENATE("'",'Inverter-Full Data'!#REF!,"     ",'Inverter-Full Data'!#REF!,",",'Inverter-Full Data'!#REF!,",",'Inverter-Full Data'!#REF!,",",'Inverter-Full Data'!#REF!,"'")</f>
        <v>#REF!</v>
      </c>
    </row>
    <row r="17" spans="1:1">
      <c r="A17" s="2" t="e">
        <f>CONCATENATE("'",'Inverter-Full Data'!#REF!,"     ",'Inverter-Full Data'!#REF!,",",'Inverter-Full Data'!#REF!,",",'Inverter-Full Data'!#REF!,",",'Inverter-Full Data'!#REF!,"'")</f>
        <v>#REF!</v>
      </c>
    </row>
    <row r="18" spans="1:1">
      <c r="A18" s="2" t="e">
        <f>CONCATENATE("'",'Inverter-Full Data'!#REF!,"     ",'Inverter-Full Data'!#REF!,",",'Inverter-Full Data'!#REF!,",",'Inverter-Full Data'!#REF!,",",'Inverter-Full Data'!#REF!,"'")</f>
        <v>#REF!</v>
      </c>
    </row>
    <row r="19" spans="1:1">
      <c r="A19" s="2" t="e">
        <f>CONCATENATE("'",'Inverter-Full Data'!#REF!,"     ",'Inverter-Full Data'!#REF!,",",'Inverter-Full Data'!#REF!,",",'Inverter-Full Data'!#REF!,",",'Inverter-Full Data'!#REF!,"'")</f>
        <v>#REF!</v>
      </c>
    </row>
    <row r="20" spans="1:1">
      <c r="A20" s="2" t="e">
        <f>CONCATENATE("'",'Inverter-Full Data'!#REF!,"     ",'Inverter-Full Data'!#REF!,",",'Inverter-Full Data'!#REF!,",",'Inverter-Full Data'!#REF!,",",'Inverter-Full Data'!#REF!,"'")</f>
        <v>#REF!</v>
      </c>
    </row>
    <row r="21" spans="1:1">
      <c r="A21" s="2" t="e">
        <f>CONCATENATE("'",'Inverter-Full Data'!#REF!,"     ",'Inverter-Full Data'!#REF!,",",'Inverter-Full Data'!#REF!,",",'Inverter-Full Data'!#REF!,",",'Inverter-Full Data'!#REF!,"'")</f>
        <v>#REF!</v>
      </c>
    </row>
    <row r="22" spans="1:1">
      <c r="A22" s="2" t="e">
        <f>CONCATENATE("'",'Inverter-Full Data'!#REF!,"     ",'Inverter-Full Data'!#REF!,",",'Inverter-Full Data'!#REF!,",",'Inverter-Full Data'!#REF!,",",'Inverter-Full Data'!#REF!,"'")</f>
        <v>#REF!</v>
      </c>
    </row>
    <row r="23" spans="1:1">
      <c r="A23" s="2" t="e">
        <f>CONCATENATE("'",'Inverter-Full Data'!#REF!,"     ",'Inverter-Full Data'!#REF!,",",'Inverter-Full Data'!#REF!,",",'Inverter-Full Data'!#REF!,",",'Inverter-Full Data'!#REF!,"'")</f>
        <v>#REF!</v>
      </c>
    </row>
    <row r="24" spans="1:1">
      <c r="A24" s="2" t="e">
        <f>CONCATENATE("'",'Inverter-Full Data'!#REF!,"     ",'Inverter-Full Data'!#REF!,",",'Inverter-Full Data'!#REF!,",",'Inverter-Full Data'!#REF!,",",'Inverter-Full Data'!#REF!,"'")</f>
        <v>#REF!</v>
      </c>
    </row>
    <row r="25" spans="1:1">
      <c r="A25" s="2" t="e">
        <f>CONCATENATE("'",'Inverter-Full Data'!#REF!,"     ",'Inverter-Full Data'!#REF!,",",'Inverter-Full Data'!#REF!,",",'Inverter-Full Data'!#REF!,",",'Inverter-Full Data'!#REF!,"'")</f>
        <v>#REF!</v>
      </c>
    </row>
    <row r="26" spans="1:1">
      <c r="A26" s="2" t="e">
        <f>CONCATENATE("'",'Inverter-Full Data'!#REF!,"     ",'Inverter-Full Data'!#REF!,",",'Inverter-Full Data'!#REF!,",",'Inverter-Full Data'!#REF!,",",'Inverter-Full Data'!#REF!,"'")</f>
        <v>#REF!</v>
      </c>
    </row>
    <row r="27" spans="1:1">
      <c r="A27" s="2" t="e">
        <f>CONCATENATE("'",'Inverter-Full Data'!#REF!,"     ",'Inverter-Full Data'!#REF!,",",'Inverter-Full Data'!#REF!,",",'Inverter-Full Data'!#REF!,",",'Inverter-Full Data'!#REF!,"'")</f>
        <v>#REF!</v>
      </c>
    </row>
    <row r="28" spans="1:1">
      <c r="A28" s="2" t="e">
        <f>CONCATENATE("'",'Inverter-Full Data'!#REF!,"     ",'Inverter-Full Data'!#REF!,",",'Inverter-Full Data'!#REF!,",",'Inverter-Full Data'!#REF!,",",'Inverter-Full Data'!#REF!,"'")</f>
        <v>#REF!</v>
      </c>
    </row>
    <row r="29" spans="1:1">
      <c r="A29" s="2" t="e">
        <f>CONCATENATE("'",'Inverter-Full Data'!#REF!,"     ",'Inverter-Full Data'!#REF!,",",'Inverter-Full Data'!#REF!,",",'Inverter-Full Data'!#REF!,",",'Inverter-Full Data'!#REF!,"'")</f>
        <v>#REF!</v>
      </c>
    </row>
    <row r="30" spans="1:1">
      <c r="A30" s="2" t="e">
        <f>CONCATENATE("'",'Inverter-Full Data'!#REF!,"     ",'Inverter-Full Data'!#REF!,",",'Inverter-Full Data'!#REF!,",",'Inverter-Full Data'!#REF!,",",'Inverter-Full Data'!#REF!,"'")</f>
        <v>#REF!</v>
      </c>
    </row>
    <row r="31" spans="1:1">
      <c r="A31" s="2" t="e">
        <f>CONCATENATE("'",'Inverter-Full Data'!#REF!,"     ",'Inverter-Full Data'!#REF!,",",'Inverter-Full Data'!#REF!,",",'Inverter-Full Data'!#REF!,",",'Inverter-Full Data'!#REF!,"'")</f>
        <v>#REF!</v>
      </c>
    </row>
    <row r="32" spans="1:1">
      <c r="A32" s="2" t="e">
        <f>CONCATENATE("'",'Inverter-Full Data'!#REF!,"     ",'Inverter-Full Data'!#REF!,",",'Inverter-Full Data'!#REF!,",",'Inverter-Full Data'!#REF!,",",'Inverter-Full Data'!#REF!,"'")</f>
        <v>#REF!</v>
      </c>
    </row>
    <row r="33" spans="1:1">
      <c r="A33" s="2" t="e">
        <f>CONCATENATE("'",'Inverter-Full Data'!#REF!,"     ",'Inverter-Full Data'!#REF!,",",'Inverter-Full Data'!#REF!,",",'Inverter-Full Data'!#REF!,",",'Inverter-Full Data'!#REF!,"'")</f>
        <v>#REF!</v>
      </c>
    </row>
    <row r="34" spans="1:1">
      <c r="A34" s="2" t="e">
        <f>CONCATENATE("'",'Inverter-Full Data'!#REF!,"     ",'Inverter-Full Data'!#REF!,",",'Inverter-Full Data'!#REF!,",",'Inverter-Full Data'!#REF!,",",'Inverter-Full Data'!#REF!,"'")</f>
        <v>#REF!</v>
      </c>
    </row>
    <row r="35" spans="1:1">
      <c r="A35" s="2" t="e">
        <f>CONCATENATE("'",'Inverter-Full Data'!#REF!,"     ",'Inverter-Full Data'!#REF!,",",'Inverter-Full Data'!#REF!,",",'Inverter-Full Data'!#REF!,",",'Inverter-Full Data'!#REF!,"'")</f>
        <v>#REF!</v>
      </c>
    </row>
    <row r="36" spans="1:1">
      <c r="A36" s="2" t="e">
        <f>CONCATENATE("'",'Inverter-Full Data'!#REF!,"     ",'Inverter-Full Data'!#REF!,",",'Inverter-Full Data'!#REF!,",",'Inverter-Full Data'!#REF!,",",'Inverter-Full Data'!#REF!,"'")</f>
        <v>#REF!</v>
      </c>
    </row>
    <row r="37" spans="1:1">
      <c r="A37" s="2" t="e">
        <f>CONCATENATE("'",'Inverter-Full Data'!#REF!,"     ",'Inverter-Full Data'!#REF!,",",'Inverter-Full Data'!#REF!,",",'Inverter-Full Data'!#REF!,",",'Inverter-Full Data'!#REF!,"'")</f>
        <v>#REF!</v>
      </c>
    </row>
    <row r="38" spans="1:1">
      <c r="A38" s="2" t="e">
        <f>CONCATENATE("'",'Inverter-Full Data'!#REF!,"     ",'Inverter-Full Data'!#REF!,",",'Inverter-Full Data'!#REF!,",",'Inverter-Full Data'!#REF!,",",'Inverter-Full Data'!#REF!,"'")</f>
        <v>#REF!</v>
      </c>
    </row>
    <row r="39" spans="1:1">
      <c r="A39" s="2" t="e">
        <f>CONCATENATE("'",'Inverter-Full Data'!#REF!,"     ",'Inverter-Full Data'!#REF!,",",'Inverter-Full Data'!#REF!,",",'Inverter-Full Data'!#REF!,",",'Inverter-Full Data'!#REF!,"'")</f>
        <v>#REF!</v>
      </c>
    </row>
    <row r="40" spans="1:1">
      <c r="A40" s="2" t="e">
        <f>CONCATENATE("'",'Inverter-Full Data'!#REF!,"     ",'Inverter-Full Data'!#REF!,",",'Inverter-Full Data'!#REF!,",",'Inverter-Full Data'!#REF!,",",'Inverter-Full Data'!#REF!,"'")</f>
        <v>#REF!</v>
      </c>
    </row>
    <row r="41" spans="1:1">
      <c r="A41" s="2" t="e">
        <f>CONCATENATE("'",'Inverter-Full Data'!#REF!,"     ",'Inverter-Full Data'!#REF!,",",'Inverter-Full Data'!#REF!,",",'Inverter-Full Data'!#REF!,",",'Inverter-Full Data'!#REF!,"'")</f>
        <v>#REF!</v>
      </c>
    </row>
    <row r="42" spans="1:1">
      <c r="A42" s="2" t="e">
        <f>CONCATENATE("'",'Inverter-Full Data'!#REF!,"     ",'Inverter-Full Data'!#REF!,",",'Inverter-Full Data'!#REF!,",",'Inverter-Full Data'!#REF!,",",'Inverter-Full Data'!#REF!,"'")</f>
        <v>#REF!</v>
      </c>
    </row>
    <row r="43" spans="1:1">
      <c r="A43" s="2" t="e">
        <f>CONCATENATE("'",'Inverter-Full Data'!#REF!,"     ",'Inverter-Full Data'!#REF!,",",'Inverter-Full Data'!#REF!,",",'Inverter-Full Data'!#REF!,",",'Inverter-Full Data'!#REF!,"'")</f>
        <v>#REF!</v>
      </c>
    </row>
    <row r="44" spans="1:1">
      <c r="A44" s="2" t="e">
        <f>CONCATENATE("'",'Inverter-Full Data'!#REF!,"     ",'Inverter-Full Data'!#REF!,",",'Inverter-Full Data'!#REF!,",",'Inverter-Full Data'!#REF!,",",'Inverter-Full Data'!#REF!,"'")</f>
        <v>#REF!</v>
      </c>
    </row>
    <row r="45" spans="1:1">
      <c r="A45" s="2" t="e">
        <f>CONCATENATE("'",'Inverter-Full Data'!#REF!,"     ",'Inverter-Full Data'!#REF!,",",'Inverter-Full Data'!#REF!,",",'Inverter-Full Data'!#REF!,",",'Inverter-Full Data'!#REF!,"'")</f>
        <v>#REF!</v>
      </c>
    </row>
    <row r="46" spans="1:1">
      <c r="A46" s="2" t="e">
        <f>CONCATENATE("'",'Inverter-Full Data'!#REF!,"     ",'Inverter-Full Data'!#REF!,",",'Inverter-Full Data'!#REF!,",",'Inverter-Full Data'!#REF!,",",'Inverter-Full Data'!#REF!,"'")</f>
        <v>#REF!</v>
      </c>
    </row>
    <row r="47" spans="1:1">
      <c r="A47" s="2" t="e">
        <f>CONCATENATE("'",'Inverter-Full Data'!#REF!,"     ",'Inverter-Full Data'!#REF!,",",'Inverter-Full Data'!#REF!,",",'Inverter-Full Data'!#REF!,",",'Inverter-Full Data'!#REF!,"'")</f>
        <v>#REF!</v>
      </c>
    </row>
    <row r="48" spans="1:1">
      <c r="A48" s="2" t="str">
        <f>CONCATENATE("'",'Inverter-Full Data'!A15,"     ",'Inverter-Full Data'!B15,",",'Inverter-Full Data'!S15,",",'Inverter-Full Data'!J15,",",'Inverter-Full Data'!T15,"'")</f>
        <v>'ABB     PVI-3.0-OUTD-S-US-A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Data'!A16,"     ",'Inverter-Full Data'!B16,",",'Inverter-Full Data'!S16,",",'Inverter-Full Data'!J16,",",'Inverter-Full Data'!T16,"'")</f>
        <v>'ABB     PVI-3.0-OUTD-S-US-A [240V],Y,96,N'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Data'!A17,"     ",'Inverter-Full Data'!B17,",",'Inverter-Full Data'!S17,",",'Inverter-Full Data'!J17,",",'Inverter-Full Data'!T17,"'")</f>
        <v>'ABB     PVI-3.0-OUTD-S-US-A [277V],Y,96,N'</v>
      </c>
    </row>
    <row r="55" spans="1:1">
      <c r="A55" s="2" t="e">
        <f>CONCATENATE("'",'Inverter-Full Data'!#REF!,"     ",'Inverter-Full Data'!#REF!,",",'Inverter-Full Data'!#REF!,",",'Inverter-Full Data'!#REF!,",",'Inverter-Full Data'!#REF!,"'")</f>
        <v>#REF!</v>
      </c>
    </row>
    <row r="56" spans="1:1">
      <c r="A56" s="2" t="e">
        <f>CONCATENATE("'",'Inverter-Full Data'!#REF!,"     ",'Inverter-Full Data'!#REF!,",",'Inverter-Full Data'!#REF!,",",'Inverter-Full Data'!#REF!,",",'Inverter-Full Data'!#REF!,"'")</f>
        <v>#REF!</v>
      </c>
    </row>
    <row r="57" spans="1:1">
      <c r="A57" s="2" t="e">
        <f>CONCATENATE("'",'Inverter-Full Data'!#REF!,"     ",'Inverter-Full Data'!#REF!,",",'Inverter-Full Data'!#REF!,",",'Inverter-Full Data'!#REF!,",",'Inverter-Full Data'!#REF!,"'")</f>
        <v>#REF!</v>
      </c>
    </row>
    <row r="58" spans="1:1">
      <c r="A58" s="2" t="e">
        <f>CONCATENATE("'",'Inverter-Full Data'!#REF!,"     ",'Inverter-Full Data'!#REF!,",",'Inverter-Full Data'!#REF!,",",'Inverter-Full Data'!#REF!,",",'Inverter-Full Data'!#REF!,"'")</f>
        <v>#REF!</v>
      </c>
    </row>
    <row r="59" spans="1:1">
      <c r="A59" s="2" t="e">
        <f>CONCATENATE("'",'Inverter-Full Data'!#REF!,"     ",'Inverter-Full Data'!#REF!,",",'Inverter-Full Data'!#REF!,",",'Inverter-Full Data'!#REF!,",",'Inverter-Full Data'!#REF!,"'")</f>
        <v>#REF!</v>
      </c>
    </row>
    <row r="60" spans="1:1">
      <c r="A60" s="2" t="str">
        <f>CONCATENATE("'",'Inverter-Full Data'!A18,"     ",'Inverter-Full Data'!B18,",",'Inverter-Full Data'!S18,",",'Inverter-Full Data'!J18,",",'Inverter-Full Data'!T18,"'")</f>
        <v>'ABB     PVI-3.0-OUTD-S-US-Z-A [208V],Y,96,N'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Data'!A19,"     ",'Inverter-Full Data'!B19,",",'Inverter-Full Data'!S19,",",'Inverter-Full Data'!J19,",",'Inverter-Full Data'!T19,"'")</f>
        <v>'ABB     PVI-3.0-OUTD-S-US-Z-A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Data'!A20,"     ",'Inverter-Full Data'!B20,",",'Inverter-Full Data'!S20,",",'Inverter-Full Data'!J20,",",'Inverter-Full Data'!T20,"'")</f>
        <v>'ABB     PVI-3.0-OUTD-S-US-Z-A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Data'!A21,"     ",'Inverter-Full Data'!B21,",",'Inverter-Full Data'!S21,",",'Inverter-Full Data'!J21,",",'Inverter-Full Data'!T21,"'")</f>
        <v>'ABB     PVI-3.0-OUTD-S-US-Z-M-A [208V],Y,96,N'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Data'!A22,"     ",'Inverter-Full Data'!B22,",",'Inverter-Full Data'!S22,",",'Inverter-Full Data'!J22,",",'Inverter-Full Data'!T22,"'")</f>
        <v>'ABB     PVI-3.0-OUTD-S-US-Z-M-A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Data'!A23,"     ",'Inverter-Full Data'!B23,",",'Inverter-Full Data'!S23,",",'Inverter-Full Data'!J23,",",'Inverter-Full Data'!T23,"'")</f>
        <v>'ABB     PVI-3.0-OUTD-S-US-Z-M-A [277V],Y,96,N'</v>
      </c>
    </row>
    <row r="76" spans="1:1">
      <c r="A76" s="2" t="e">
        <f>CONCATENATE("'",'Inverter-Full Data'!#REF!,"     ",'Inverter-Full Data'!#REF!,",",'Inverter-Full Data'!#REF!,",",'Inverter-Full Data'!#REF!,",",'Inverter-Full Data'!#REF!,"'")</f>
        <v>#REF!</v>
      </c>
    </row>
    <row r="77" spans="1:1">
      <c r="A77" s="2" t="e">
        <f>CONCATENATE("'",'Inverter-Full Data'!#REF!,"     ",'Inverter-Full Data'!#REF!,",",'Inverter-Full Data'!#REF!,",",'Inverter-Full Data'!#REF!,",",'Inverter-Full Data'!#REF!,"'")</f>
        <v>#REF!</v>
      </c>
    </row>
    <row r="78" spans="1:1">
      <c r="A78" s="2" t="e">
        <f>CONCATENATE("'",'Inverter-Full Data'!#REF!,"     ",'Inverter-Full Data'!#REF!,",",'Inverter-Full Data'!#REF!,",",'Inverter-Full Data'!#REF!,",",'Inverter-Full Data'!#REF!,"'")</f>
        <v>#REF!</v>
      </c>
    </row>
    <row r="79" spans="1:1">
      <c r="A79" s="2" t="e">
        <f>CONCATENATE("'",'Inverter-Full Data'!#REF!,"     ",'Inverter-Full Data'!#REF!,",",'Inverter-Full Data'!#REF!,",",'Inverter-Full Data'!#REF!,",",'Inverter-Full Data'!#REF!,"'")</f>
        <v>#REF!</v>
      </c>
    </row>
    <row r="80" spans="1:1">
      <c r="A80" s="2" t="e">
        <f>CONCATENATE("'",'Inverter-Full Data'!#REF!,"     ",'Inverter-Full Data'!#REF!,",",'Inverter-Full Data'!#REF!,",",'Inverter-Full Data'!#REF!,",",'Inverter-Full Data'!#REF!,"'")</f>
        <v>#REF!</v>
      </c>
    </row>
    <row r="81" spans="1:1">
      <c r="A81" s="2" t="e">
        <f>CONCATENATE("'",'Inverter-Full Data'!#REF!,"     ",'Inverter-Full Data'!#REF!,",",'Inverter-Full Data'!#REF!,",",'Inverter-Full Data'!#REF!,",",'Inverter-Full Data'!#REF!,"'")</f>
        <v>#REF!</v>
      </c>
    </row>
    <row r="82" spans="1:1">
      <c r="A82" s="2" t="e">
        <f>CONCATENATE("'",'Inverter-Full Data'!#REF!,"     ",'Inverter-Full Data'!#REF!,",",'Inverter-Full Data'!#REF!,",",'Inverter-Full Data'!#REF!,",",'Inverter-Full Data'!#REF!,"'")</f>
        <v>#REF!</v>
      </c>
    </row>
    <row r="83" spans="1:1">
      <c r="A83" s="2" t="e">
        <f>CONCATENATE("'",'Inverter-Full Data'!#REF!,"     ",'Inverter-Full Data'!#REF!,",",'Inverter-Full Data'!#REF!,",",'Inverter-Full Data'!#REF!,",",'Inverter-Full Data'!#REF!,"'")</f>
        <v>#REF!</v>
      </c>
    </row>
    <row r="84" spans="1:1">
      <c r="A84" s="2" t="e">
        <f>CONCATENATE("'",'Inverter-Full Data'!#REF!,"     ",'Inverter-Full Data'!#REF!,",",'Inverter-Full Data'!#REF!,",",'Inverter-Full Data'!#REF!,",",'Inverter-Full Data'!#REF!,"'")</f>
        <v>#REF!</v>
      </c>
    </row>
    <row r="85" spans="1:1">
      <c r="A85" s="2" t="e">
        <f>CONCATENATE("'",'Inverter-Full Data'!#REF!,"     ",'Inverter-Full Data'!#REF!,",",'Inverter-Full Data'!#REF!,",",'Inverter-Full Data'!#REF!,",",'Inverter-Full Data'!#REF!,"'")</f>
        <v>#REF!</v>
      </c>
    </row>
    <row r="86" spans="1:1">
      <c r="A86" s="2" t="e">
        <f>CONCATENATE("'",'Inverter-Full Data'!#REF!,"     ",'Inverter-Full Data'!#REF!,",",'Inverter-Full Data'!#REF!,",",'Inverter-Full Data'!#REF!,",",'Inverter-Full Data'!#REF!,"'")</f>
        <v>#REF!</v>
      </c>
    </row>
    <row r="87" spans="1:1">
      <c r="A87" s="2" t="e">
        <f>CONCATENATE("'",'Inverter-Full Data'!#REF!,"     ",'Inverter-Full Data'!#REF!,",",'Inverter-Full Data'!#REF!,",",'Inverter-Full Data'!#REF!,",",'Inverter-Full Data'!#REF!,"'")</f>
        <v>#REF!</v>
      </c>
    </row>
    <row r="88" spans="1:1">
      <c r="A88" s="2" t="e">
        <f>CONCATENATE("'",'Inverter-Full Data'!#REF!,"     ",'Inverter-Full Data'!#REF!,",",'Inverter-Full Data'!#REF!,",",'Inverter-Full Data'!#REF!,",",'Inverter-Full Data'!#REF!,"'")</f>
        <v>#REF!</v>
      </c>
    </row>
    <row r="89" spans="1:1">
      <c r="A89" s="2" t="e">
        <f>CONCATENATE("'",'Inverter-Full Data'!#REF!,"     ",'Inverter-Full Data'!#REF!,",",'Inverter-Full Data'!#REF!,",",'Inverter-Full Data'!#REF!,",",'Inverter-Full Data'!#REF!,"'")</f>
        <v>#REF!</v>
      </c>
    </row>
    <row r="90" spans="1:1">
      <c r="A90" s="2" t="e">
        <f>CONCATENATE("'",'Inverter-Full Data'!#REF!,"     ",'Inverter-Full Data'!#REF!,",",'Inverter-Full Data'!#REF!,",",'Inverter-Full Data'!#REF!,",",'Inverter-Full Data'!#REF!,"'")</f>
        <v>#REF!</v>
      </c>
    </row>
    <row r="91" spans="1:1">
      <c r="A91" s="2" t="e">
        <f>CONCATENATE("'",'Inverter-Full Data'!#REF!,"     ",'Inverter-Full Data'!#REF!,",",'Inverter-Full Data'!#REF!,",",'Inverter-Full Data'!#REF!,",",'Inverter-Full Data'!#REF!,"'")</f>
        <v>#REF!</v>
      </c>
    </row>
    <row r="92" spans="1:1">
      <c r="A92" s="2" t="e">
        <f>CONCATENATE("'",'Inverter-Full Data'!#REF!,"     ",'Inverter-Full Data'!#REF!,",",'Inverter-Full Data'!#REF!,",",'Inverter-Full Data'!#REF!,",",'Inverter-Full Data'!#REF!,"'")</f>
        <v>#REF!</v>
      </c>
    </row>
    <row r="93" spans="1:1">
      <c r="A93" s="2" t="e">
        <f>CONCATENATE("'",'Inverter-Full Data'!#REF!,"     ",'Inverter-Full Data'!#REF!,",",'Inverter-Full Data'!#REF!,",",'Inverter-Full Data'!#REF!,",",'Inverter-Full Data'!#REF!,"'")</f>
        <v>#REF!</v>
      </c>
    </row>
    <row r="94" spans="1:1">
      <c r="A94" s="2" t="e">
        <f>CONCATENATE("'",'Inverter-Full Data'!#REF!,"     ",'Inverter-Full Data'!#REF!,",",'Inverter-Full Data'!#REF!,",",'Inverter-Full Data'!#REF!,",",'Inverter-Full Data'!#REF!,"'")</f>
        <v>#REF!</v>
      </c>
    </row>
    <row r="95" spans="1:1">
      <c r="A95" s="2" t="e">
        <f>CONCATENATE("'",'Inverter-Full Data'!#REF!,"     ",'Inverter-Full Data'!#REF!,",",'Inverter-Full Data'!#REF!,",",'Inverter-Full Data'!#REF!,",",'Inverter-Full Data'!#REF!,"'")</f>
        <v>#REF!</v>
      </c>
    </row>
    <row r="96" spans="1:1">
      <c r="A96" s="2" t="e">
        <f>CONCATENATE("'",'Inverter-Full Data'!#REF!,"     ",'Inverter-Full Data'!#REF!,",",'Inverter-Full Data'!#REF!,",",'Inverter-Full Data'!#REF!,",",'Inverter-Full Data'!#REF!,"'")</f>
        <v>#REF!</v>
      </c>
    </row>
    <row r="97" spans="1:1">
      <c r="A97" s="2" t="e">
        <f>CONCATENATE("'",'Inverter-Full Data'!#REF!,"     ",'Inverter-Full Data'!#REF!,",",'Inverter-Full Data'!#REF!,",",'Inverter-Full Data'!#REF!,",",'Inverter-Full Data'!#REF!,"'")</f>
        <v>#REF!</v>
      </c>
    </row>
    <row r="98" spans="1:1">
      <c r="A98" s="2" t="e">
        <f>CONCATENATE("'",'Inverter-Full Data'!#REF!,"     ",'Inverter-Full Data'!#REF!,",",'Inverter-Full Data'!#REF!,",",'Inverter-Full Data'!#REF!,",",'Inverter-Full Data'!#REF!,"'")</f>
        <v>#REF!</v>
      </c>
    </row>
    <row r="99" spans="1:1">
      <c r="A99" s="2" t="e">
        <f>CONCATENATE("'",'Inverter-Full Data'!#REF!,"     ",'Inverter-Full Data'!#REF!,",",'Inverter-Full Data'!#REF!,",",'Inverter-Full Data'!#REF!,",",'Inverter-Full Data'!#REF!,"'")</f>
        <v>#REF!</v>
      </c>
    </row>
    <row r="100" spans="1:1">
      <c r="A100" s="2" t="e">
        <f>CONCATENATE("'",'Inverter-Full Data'!#REF!,"     ",'Inverter-Full Data'!#REF!,",",'Inverter-Full Data'!#REF!,",",'Inverter-Full Data'!#REF!,",",'Inverter-Full Data'!#REF!,"'")</f>
        <v>#REF!</v>
      </c>
    </row>
    <row r="101" spans="1:1">
      <c r="A101" s="2" t="e">
        <f>CONCATENATE("'",'Inverter-Full Data'!#REF!,"     ",'Inverter-Full Data'!#REF!,",",'Inverter-Full Data'!#REF!,",",'Inverter-Full Data'!#REF!,",",'Inverter-Full Data'!#REF!,"'")</f>
        <v>#REF!</v>
      </c>
    </row>
    <row r="102" spans="1:1">
      <c r="A102" s="2" t="e">
        <f>CONCATENATE("'",'Inverter-Full Data'!#REF!,"     ",'Inverter-Full Data'!#REF!,",",'Inverter-Full Data'!#REF!,",",'Inverter-Full Data'!#REF!,",",'Inverter-Full Data'!#REF!,"'")</f>
        <v>#REF!</v>
      </c>
    </row>
    <row r="103" spans="1:1">
      <c r="A103" s="2" t="e">
        <f>CONCATENATE("'",'Inverter-Full Data'!#REF!,"     ",'Inverter-Full Data'!#REF!,",",'Inverter-Full Data'!#REF!,",",'Inverter-Full Data'!#REF!,",",'Inverter-Full Data'!#REF!,"'")</f>
        <v>#REF!</v>
      </c>
    </row>
    <row r="104" spans="1:1">
      <c r="A104" s="2" t="e">
        <f>CONCATENATE("'",'Inverter-Full Data'!#REF!,"     ",'Inverter-Full Data'!#REF!,",",'Inverter-Full Data'!#REF!,",",'Inverter-Full Data'!#REF!,",",'Inverter-Full Data'!#REF!,"'")</f>
        <v>#REF!</v>
      </c>
    </row>
    <row r="105" spans="1:1">
      <c r="A105" s="2" t="e">
        <f>CONCATENATE("'",'Inverter-Full Data'!#REF!,"     ",'Inverter-Full Data'!#REF!,",",'Inverter-Full Data'!#REF!,",",'Inverter-Full Data'!#REF!,",",'Inverter-Full Data'!#REF!,"'")</f>
        <v>#REF!</v>
      </c>
    </row>
    <row r="106" spans="1:1">
      <c r="A106" s="2" t="e">
        <f>CONCATENATE("'",'Inverter-Full Data'!#REF!,"     ",'Inverter-Full Data'!#REF!,",",'Inverter-Full Data'!#REF!,",",'Inverter-Full Data'!#REF!,",",'Inverter-Full Data'!#REF!,"'")</f>
        <v>#REF!</v>
      </c>
    </row>
    <row r="107" spans="1:1">
      <c r="A107" s="2" t="e">
        <f>CONCATENATE("'",'Inverter-Full Data'!#REF!,"     ",'Inverter-Full Data'!#REF!,",",'Inverter-Full Data'!#REF!,",",'Inverter-Full Data'!#REF!,",",'Inverter-Full Data'!#REF!,"'")</f>
        <v>#REF!</v>
      </c>
    </row>
    <row r="108" spans="1:1">
      <c r="A108" s="2" t="e">
        <f>CONCATENATE("'",'Inverter-Full Data'!#REF!,"     ",'Inverter-Full Data'!#REF!,",",'Inverter-Full Data'!#REF!,",",'Inverter-Full Data'!#REF!,",",'Inverter-Full Data'!#REF!,"'")</f>
        <v>#REF!</v>
      </c>
    </row>
    <row r="109" spans="1:1">
      <c r="A109" s="2" t="e">
        <f>CONCATENATE("'",'Inverter-Full Data'!#REF!,"     ",'Inverter-Full Data'!#REF!,",",'Inverter-Full Data'!#REF!,",",'Inverter-Full Data'!#REF!,",",'Inverter-Full Data'!#REF!,"'")</f>
        <v>#REF!</v>
      </c>
    </row>
    <row r="110" spans="1:1">
      <c r="A110" s="2" t="str">
        <f>CONCATENATE("'",'Inverter-Full Data'!A24,"     ",'Inverter-Full Data'!B24,",",'Inverter-Full Data'!S24,",",'Inverter-Full Data'!J24,",",'Inverter-Full Data'!T24,"'")</f>
        <v>'ABB     PVI-3.6-OUTD-S-US-A [208V],Y,96,N'</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str">
        <f>CONCATENATE("'",'Inverter-Full Data'!A25,"     ",'Inverter-Full Data'!B25,",",'Inverter-Full Data'!S25,",",'Inverter-Full Data'!J25,",",'Inverter-Full Data'!T25,"'")</f>
        <v>'ABB     PVI-3.6-OUTD-S-US-A [240V],Y,96,N'</v>
      </c>
    </row>
    <row r="115" spans="1:1">
      <c r="A115" s="2" t="str">
        <f>CONCATENATE("'",'Inverter-Full Data'!A26,"     ",'Inverter-Full Data'!B26,",",'Inverter-Full Data'!S26,",",'Inverter-Full Data'!J26,",",'Inverter-Full Data'!T26,"'")</f>
        <v>'ABB     PVI-3.6-OUTD-S-US-A [277V],Y,96,N'</v>
      </c>
    </row>
    <row r="116" spans="1:1">
      <c r="A116" s="2" t="str">
        <f>CONCATENATE("'",'Inverter-Full Data'!A27,"     ",'Inverter-Full Data'!B27,",",'Inverter-Full Data'!S27,",",'Inverter-Full Data'!J27,",",'Inverter-Full Data'!T27,"'")</f>
        <v>'ABB     PVI-3.6-OUTD-S-US-Z-A [208V],Y,96,N'</v>
      </c>
    </row>
    <row r="117" spans="1:1">
      <c r="A117" s="2" t="e">
        <f>CONCATENATE("'",'Inverter-Full Data'!#REF!,"     ",'Inverter-Full Data'!#REF!,",",'Inverter-Full Data'!#REF!,",",'Inverter-Full Data'!#REF!,",",'Inverter-Full Data'!#REF!,"'")</f>
        <v>#REF!</v>
      </c>
    </row>
    <row r="118" spans="1:1">
      <c r="A118" s="2" t="str">
        <f>CONCATENATE("'",'Inverter-Full Data'!A28,"     ",'Inverter-Full Data'!B28,",",'Inverter-Full Data'!S28,",",'Inverter-Full Data'!J28,",",'Inverter-Full Data'!T28,"'")</f>
        <v>'ABB     PVI-3.6-OUTD-S-US-Z-A [240V],Y,96,N'</v>
      </c>
    </row>
    <row r="119" spans="1:1">
      <c r="A119" s="2" t="e">
        <f>CONCATENATE("'",'Inverter-Full Data'!#REF!,"     ",'Inverter-Full Data'!#REF!,",",'Inverter-Full Data'!#REF!,",",'Inverter-Full Data'!#REF!,",",'Inverter-Full Data'!#REF!,"'")</f>
        <v>#REF!</v>
      </c>
    </row>
    <row r="120" spans="1:1">
      <c r="A120" s="2" t="str">
        <f>CONCATENATE("'",'Inverter-Full Data'!A29,"     ",'Inverter-Full Data'!B29,",",'Inverter-Full Data'!S29,",",'Inverter-Full Data'!J29,",",'Inverter-Full Data'!T29,"'")</f>
        <v>'ABB     PVI-3.6-OUTD-S-US-Z-A [277V],Y,96,N'</v>
      </c>
    </row>
    <row r="121" spans="1:1">
      <c r="A121" s="2" t="str">
        <f>CONCATENATE("'",'Inverter-Full Data'!A30,"     ",'Inverter-Full Data'!B30,",",'Inverter-Full Data'!S30,",",'Inverter-Full Data'!J30,",",'Inverter-Full Data'!T30,"'")</f>
        <v>'ABB     PVI-3.6-OUTD-S-US-Z-M-A [208V],Y,96,N'</v>
      </c>
    </row>
    <row r="122" spans="1:1">
      <c r="A122" s="2" t="e">
        <f>CONCATENATE("'",'Inverter-Full Data'!#REF!,"     ",'Inverter-Full Data'!#REF!,",",'Inverter-Full Data'!#REF!,",",'Inverter-Full Data'!#REF!,",",'Inverter-Full Data'!#REF!,"'")</f>
        <v>#REF!</v>
      </c>
    </row>
    <row r="123" spans="1:1">
      <c r="A123" s="2" t="str">
        <f>CONCATENATE("'",'Inverter-Full Data'!A31,"     ",'Inverter-Full Data'!B31,",",'Inverter-Full Data'!S31,",",'Inverter-Full Data'!J31,",",'Inverter-Full Data'!T31,"'")</f>
        <v>'ABB     PVI-3.6-OUTD-S-US-Z-M-A [240V],Y,96,N'</v>
      </c>
    </row>
    <row r="124" spans="1:1">
      <c r="A124" s="2" t="str">
        <f>CONCATENATE("'",'Inverter-Full Data'!A32,"     ",'Inverter-Full Data'!B32,",",'Inverter-Full Data'!S32,",",'Inverter-Full Data'!J32,",",'Inverter-Full Data'!T32,"'")</f>
        <v>'ABB     PVI-3.6-OUTD-S-US-Z-M-A [277V],Y,96,N'</v>
      </c>
    </row>
    <row r="125" spans="1:1">
      <c r="A125" s="2" t="e">
        <f>CONCATENATE("'",'Inverter-Full Data'!#REF!,"     ",'Inverter-Full Data'!#REF!,",",'Inverter-Full Data'!#REF!,",",'Inverter-Full Data'!#REF!,",",'Inverter-Full Data'!#REF!,"'")</f>
        <v>#REF!</v>
      </c>
    </row>
    <row r="126" spans="1:1">
      <c r="A126" s="2" t="str">
        <f>CONCATENATE("'",'Inverter-Full Data'!A33,"     ",'Inverter-Full Data'!B33,",",'Inverter-Full Data'!S33,",",'Inverter-Full Data'!J33,",",'Inverter-Full Data'!T33,"'")</f>
        <v>'ABB     PVI-3.8-OUTD-S-US-A [208V],Y,95.5,N'</v>
      </c>
    </row>
    <row r="127" spans="1:1">
      <c r="A127" s="2" t="str">
        <f>CONCATENATE("'",'Inverter-Full Data'!A34,"     ",'Inverter-Full Data'!B34,",",'Inverter-Full Data'!S34,",",'Inverter-Full Data'!J34,",",'Inverter-Full Data'!T34,"'")</f>
        <v>'ABB     PVI-3.8-OUTD-S-US-A [240V],Y,96,N'</v>
      </c>
    </row>
    <row r="128" spans="1:1">
      <c r="A128" s="2" t="str">
        <f>CONCATENATE("'",'Inverter-Full Data'!A35,"     ",'Inverter-Full Data'!B35,",",'Inverter-Full Data'!S35,",",'Inverter-Full Data'!J35,",",'Inverter-Full Data'!T35,"'")</f>
        <v>'ABB     PVI-3.8-OUTD-S-US-A [277V],Y,96,N'</v>
      </c>
    </row>
    <row r="129" spans="1:1">
      <c r="A129" s="2" t="e">
        <f>CONCATENATE("'",'Inverter-Full Data'!#REF!,"     ",'Inverter-Full Data'!#REF!,",",'Inverter-Full Data'!#REF!,",",'Inverter-Full Data'!#REF!,",",'Inverter-Full Data'!#REF!,"'")</f>
        <v>#REF!</v>
      </c>
    </row>
    <row r="130" spans="1:1">
      <c r="A130" s="2" t="e">
        <f>CONCATENATE("'",'Inverter-Full Data'!#REF!,"     ",'Inverter-Full Data'!#REF!,",",'Inverter-Full Data'!#REF!,",",'Inverter-Full Data'!#REF!,",",'Inverter-Full Data'!#REF!,"'")</f>
        <v>#REF!</v>
      </c>
    </row>
    <row r="131" spans="1:1">
      <c r="A131" s="2" t="e">
        <f>CONCATENATE("'",'Inverter-Full Data'!#REF!,"     ",'Inverter-Full Data'!#REF!,",",'Inverter-Full Data'!#REF!,",",'Inverter-Full Data'!#REF!,",",'Inverter-Full Data'!#REF!,"'")</f>
        <v>#REF!</v>
      </c>
    </row>
    <row r="132" spans="1:1">
      <c r="A132" s="2" t="e">
        <f>CONCATENATE("'",'Inverter-Full Data'!#REF!,"     ",'Inverter-Full Data'!#REF!,",",'Inverter-Full Data'!#REF!,",",'Inverter-Full Data'!#REF!,",",'Inverter-Full Data'!#REF!,"'")</f>
        <v>#REF!</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Data'!A36,"     ",'Inverter-Full Data'!B36,",",'Inverter-Full Data'!S36,",",'Inverter-Full Data'!J36,",",'Inverter-Full Data'!T36,"'")</f>
        <v>'ABB     PVI-3.8-OUTD-S-US-Z-A [208V],Y,95.5,N'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Data'!A37,"     ",'Inverter-Full Data'!B37,",",'Inverter-Full Data'!S37,",",'Inverter-Full Data'!J37,",",'Inverter-Full Data'!T37,"'")</f>
        <v>'ABB     PVI-3.8-OUTD-S-US-Z-A [240V],Y,96,N'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Data'!A38,"     ",'Inverter-Full Data'!B38,",",'Inverter-Full Data'!S38,",",'Inverter-Full Data'!J38,",",'Inverter-Full Data'!T38,"'")</f>
        <v>'ABB     PVI-3.8-OUTD-S-US-Z-A [277V],Y,96,N'</v>
      </c>
    </row>
    <row r="142" spans="1:1">
      <c r="A142" s="2" t="e">
        <f>CONCATENATE("'",'Inverter-Full Data'!#REF!,"     ",'Inverter-Full Data'!#REF!,",",'Inverter-Full Data'!#REF!,",",'Inverter-Full Data'!#REF!,",",'Inverter-Full Data'!#REF!,"'")</f>
        <v>#REF!</v>
      </c>
    </row>
    <row r="143" spans="1:1">
      <c r="A143" s="2" t="e">
        <f>CONCATENATE("'",'Inverter-Full Data'!#REF!,"     ",'Inverter-Full Data'!#REF!,",",'Inverter-Full Data'!#REF!,",",'Inverter-Full Data'!#REF!,",",'Inverter-Full Data'!#REF!,"'")</f>
        <v>#REF!</v>
      </c>
    </row>
    <row r="144" spans="1:1">
      <c r="A144" s="2" t="e">
        <f>CONCATENATE("'",'Inverter-Full Data'!#REF!,"     ",'Inverter-Full Data'!#REF!,",",'Inverter-Full Data'!#REF!,",",'Inverter-Full Data'!#REF!,",",'Inverter-Full Data'!#REF!,"'")</f>
        <v>#REF!</v>
      </c>
    </row>
    <row r="145" spans="1:1">
      <c r="A145" s="2" t="e">
        <f>CONCATENATE("'",'Inverter-Full Data'!#REF!,"     ",'Inverter-Full Data'!#REF!,",",'Inverter-Full Data'!#REF!,",",'Inverter-Full Data'!#REF!,",",'Inverter-Full Data'!#REF!,"'")</f>
        <v>#REF!</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Data'!A39,"     ",'Inverter-Full Data'!B39,",",'Inverter-Full Data'!S39,",",'Inverter-Full Data'!J39,",",'Inverter-Full Data'!T39,"'")</f>
        <v>'ABB     PVI-3.8-OUTD-S-US-Z-M-A [208V],Y,95.5,N'</v>
      </c>
    </row>
    <row r="149" spans="1:1">
      <c r="A149" s="2" t="e">
        <f>CONCATENATE("'",'Inverter-Full Data'!#REF!,"     ",'Inverter-Full Data'!#REF!,",",'Inverter-Full Data'!#REF!,",",'Inverter-Full Data'!#REF!,",",'Inverter-Full Data'!#REF!,"'")</f>
        <v>#REF!</v>
      </c>
    </row>
    <row r="150" spans="1:1">
      <c r="A150" s="2" t="str">
        <f>CONCATENATE("'",'Inverter-Full Data'!A40,"     ",'Inverter-Full Data'!B40,",",'Inverter-Full Data'!S40,",",'Inverter-Full Data'!J40,",",'Inverter-Full Data'!T40,"'")</f>
        <v>'ABB     PVI-3.8-OUTD-S-US-Z-M-A [240V],Y,96,N'</v>
      </c>
    </row>
    <row r="151" spans="1:1">
      <c r="A151" s="2" t="e">
        <f>CONCATENATE("'",'Inverter-Full Data'!#REF!,"     ",'Inverter-Full Data'!#REF!,",",'Inverter-Full Data'!#REF!,",",'Inverter-Full Data'!#REF!,",",'Inverter-Full Data'!#REF!,"'")</f>
        <v>#REF!</v>
      </c>
    </row>
    <row r="152" spans="1:1">
      <c r="A152" s="2" t="str">
        <f>CONCATENATE("'",'Inverter-Full Data'!A41,"     ",'Inverter-Full Data'!B41,",",'Inverter-Full Data'!S41,",",'Inverter-Full Data'!J41,",",'Inverter-Full Data'!T41,"'")</f>
        <v>'ABB     PVI-3.8-OUTD-S-US-Z-M-A [277V],Y,96,N'</v>
      </c>
    </row>
    <row r="153" spans="1:1">
      <c r="A153" s="2" t="e">
        <f>CONCATENATE("'",'Inverter-Full Data'!#REF!,"     ",'Inverter-Full Data'!#REF!,",",'Inverter-Full Data'!#REF!,",",'Inverter-Full Data'!#REF!,",",'Inverter-Full Data'!#REF!,"'")</f>
        <v>#REF!</v>
      </c>
    </row>
    <row r="154" spans="1:1">
      <c r="A154" s="2" t="str">
        <f>CONCATENATE("'",'Inverter-Full Data'!A42,"     ",'Inverter-Full Data'!B42,",",'Inverter-Full Data'!S42,",",'Inverter-Full Data'!J42,",",'Inverter-Full Data'!T42,"'")</f>
        <v>'ABB     PVI-4.2-OUTD-S-US-A [208V],Y,96,N'</v>
      </c>
    </row>
    <row r="155" spans="1:1">
      <c r="A155" s="2" t="e">
        <f>CONCATENATE("'",'Inverter-Full Data'!#REF!,"     ",'Inverter-Full Data'!#REF!,",",'Inverter-Full Data'!#REF!,",",'Inverter-Full Data'!#REF!,",",'Inverter-Full Data'!#REF!,"'")</f>
        <v>#REF!</v>
      </c>
    </row>
    <row r="156" spans="1:1">
      <c r="A156" s="2" t="str">
        <f>CONCATENATE("'",'Inverter-Full Data'!A43,"     ",'Inverter-Full Data'!B43,",",'Inverter-Full Data'!S43,",",'Inverter-Full Data'!J43,",",'Inverter-Full Data'!T43,"'")</f>
        <v>'ABB     PVI-4.2-OUTD-S-US-A [240V],Y,96,N'</v>
      </c>
    </row>
    <row r="157" spans="1:1">
      <c r="A157" s="2" t="e">
        <f>CONCATENATE("'",'Inverter-Full Data'!#REF!,"     ",'Inverter-Full Data'!#REF!,",",'Inverter-Full Data'!#REF!,",",'Inverter-Full Data'!#REF!,",",'Inverter-Full Data'!#REF!,"'")</f>
        <v>#REF!</v>
      </c>
    </row>
    <row r="158" spans="1:1">
      <c r="A158" s="2" t="str">
        <f>CONCATENATE("'",'Inverter-Full Data'!A44,"     ",'Inverter-Full Data'!B44,",",'Inverter-Full Data'!S44,",",'Inverter-Full Data'!J44,",",'Inverter-Full Data'!T44,"'")</f>
        <v>'ABB     PVI-4.2-OUTD-S-US-A [277V],Y,96,N'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e">
        <f>CONCATENATE("'",'Inverter-Full Data'!#REF!,"     ",'Inverter-Full Data'!#REF!,",",'Inverter-Full Data'!#REF!,",",'Inverter-Full Data'!#REF!,",",'Inverter-Full Data'!#REF!,"'")</f>
        <v>#REF!</v>
      </c>
    </row>
    <row r="163" spans="1:1">
      <c r="A163" s="2" t="e">
        <f>CONCATENATE("'",'Inverter-Full Data'!#REF!,"     ",'Inverter-Full Data'!#REF!,",",'Inverter-Full Data'!#REF!,",",'Inverter-Full Data'!#REF!,",",'Inverter-Full Data'!#REF!,"'")</f>
        <v>#REF!</v>
      </c>
    </row>
    <row r="164" spans="1:1">
      <c r="A164" s="2" t="e">
        <f>CONCATENATE("'",'Inverter-Full Data'!#REF!,"     ",'Inverter-Full Data'!#REF!,",",'Inverter-Full Data'!#REF!,",",'Inverter-Full Data'!#REF!,",",'Inverter-Full Data'!#REF!,"'")</f>
        <v>#REF!</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e">
        <f>CONCATENATE("'",'Inverter-Full Data'!#REF!,"     ",'Inverter-Full Data'!#REF!,",",'Inverter-Full Data'!#REF!,",",'Inverter-Full Data'!#REF!,",",'Inverter-Full Data'!#REF!,"'")</f>
        <v>#REF!</v>
      </c>
    </row>
    <row r="168" spans="1:1">
      <c r="A168" s="2" t="e">
        <f>CONCATENATE("'",'Inverter-Full Data'!#REF!,"     ",'Inverter-Full Data'!#REF!,",",'Inverter-Full Data'!#REF!,",",'Inverter-Full Data'!#REF!,",",'Inverter-Full Data'!#REF!,"'")</f>
        <v>#REF!</v>
      </c>
    </row>
    <row r="169" spans="1:1">
      <c r="A169" s="2" t="e">
        <f>CONCATENATE("'",'Inverter-Full Data'!#REF!,"     ",'Inverter-Full Data'!#REF!,",",'Inverter-Full Data'!#REF!,",",'Inverter-Full Data'!#REF!,",",'Inverter-Full Data'!#REF!,"'")</f>
        <v>#REF!</v>
      </c>
    </row>
    <row r="170" spans="1:1">
      <c r="A170" s="2" t="e">
        <f>CONCATENATE("'",'Inverter-Full Data'!#REF!,"     ",'Inverter-Full Data'!#REF!,",",'Inverter-Full Data'!#REF!,",",'Inverter-Full Data'!#REF!,",",'Inverter-Full Data'!#REF!,"'")</f>
        <v>#REF!</v>
      </c>
    </row>
    <row r="171" spans="1:1">
      <c r="A171" s="2" t="e">
        <f>CONCATENATE("'",'Inverter-Full Data'!#REF!,"     ",'Inverter-Full Data'!#REF!,",",'Inverter-Full Data'!#REF!,",",'Inverter-Full Data'!#REF!,",",'Inverter-Full Data'!#REF!,"'")</f>
        <v>#REF!</v>
      </c>
    </row>
    <row r="172" spans="1:1">
      <c r="A172" s="2" t="e">
        <f>CONCATENATE("'",'Inverter-Full Data'!#REF!,"     ",'Inverter-Full Data'!#REF!,",",'Inverter-Full Data'!#REF!,",",'Inverter-Full Data'!#REF!,",",'Inverter-Full Data'!#REF!,"'")</f>
        <v>#REF!</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Data'!A45,"     ",'Inverter-Full Data'!B45,",",'Inverter-Full Data'!S45,",",'Inverter-Full Data'!J45,",",'Inverter-Full Data'!T45,"'")</f>
        <v>'ABB     PVI-4.2-OUTD-S-US-Z-A [208V],Y,96,N'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Data'!A46,"     ",'Inverter-Full Data'!B46,",",'Inverter-Full Data'!S46,",",'Inverter-Full Data'!J46,",",'Inverter-Full Data'!T46,"'")</f>
        <v>'ABB     PVI-4.2-OUTD-S-US-Z-A [240V],Y,96,N'</v>
      </c>
    </row>
    <row r="179" spans="1:1">
      <c r="A179" s="2" t="e">
        <f>CONCATENATE("'",'Inverter-Full Data'!#REF!,"     ",'Inverter-Full Data'!#REF!,",",'Inverter-Full Data'!#REF!,",",'Inverter-Full Data'!#REF!,",",'Inverter-Full Data'!#REF!,"'")</f>
        <v>#REF!</v>
      </c>
    </row>
    <row r="180" spans="1:1">
      <c r="A180" s="2" t="str">
        <f>CONCATENATE("'",'Inverter-Full Data'!A47,"     ",'Inverter-Full Data'!B47,",",'Inverter-Full Data'!S47,",",'Inverter-Full Data'!J47,",",'Inverter-Full Data'!T47,"'")</f>
        <v>'ABB     PVI-4.2-OUTD-S-US-Z-A [277V],Y,96,N'</v>
      </c>
    </row>
    <row r="181" spans="1:1">
      <c r="A181" s="2" t="e">
        <f>CONCATENATE("'",'Inverter-Full Data'!#REF!,"     ",'Inverter-Full Data'!#REF!,",",'Inverter-Full Data'!#REF!,",",'Inverter-Full Data'!#REF!,",",'Inverter-Full Data'!#REF!,"'")</f>
        <v>#REF!</v>
      </c>
    </row>
    <row r="182" spans="1:1">
      <c r="A182" s="2" t="e">
        <f>CONCATENATE("'",'Inverter-Full Data'!#REF!,"     ",'Inverter-Full Data'!#REF!,",",'Inverter-Full Data'!#REF!,",",'Inverter-Full Data'!#REF!,",",'Inverter-Full Data'!#REF!,"'")</f>
        <v>#REF!</v>
      </c>
    </row>
    <row r="183" spans="1:1">
      <c r="A183" s="2" t="e">
        <f>CONCATENATE("'",'Inverter-Full Data'!#REF!,"     ",'Inverter-Full Data'!#REF!,",",'Inverter-Full Data'!#REF!,",",'Inverter-Full Data'!#REF!,",",'Inverter-Full Data'!#REF!,"'")</f>
        <v>#REF!</v>
      </c>
    </row>
    <row r="184" spans="1:1">
      <c r="A184" s="2" t="e">
        <f>CONCATENATE("'",'Inverter-Full Data'!#REF!,"     ",'Inverter-Full Data'!#REF!,",",'Inverter-Full Data'!#REF!,",",'Inverter-Full Data'!#REF!,",",'Inverter-Full Data'!#REF!,"'")</f>
        <v>#REF!</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Data'!A48,"     ",'Inverter-Full Data'!B48,",",'Inverter-Full Data'!S48,",",'Inverter-Full Data'!J48,",",'Inverter-Full Data'!T48,"'")</f>
        <v>'ABB     PVI-4.2-OUTD-S-US-Z-M-A [208V],Y,96,N'</v>
      </c>
    </row>
    <row r="188" spans="1:1">
      <c r="A188" s="2" t="e">
        <f>CONCATENATE("'",'Inverter-Full Data'!#REF!,"     ",'Inverter-Full Data'!#REF!,",",'Inverter-Full Data'!#REF!,",",'Inverter-Full Data'!#REF!,",",'Inverter-Full Data'!#REF!,"'")</f>
        <v>#REF!</v>
      </c>
    </row>
    <row r="189" spans="1:1">
      <c r="A189" s="2" t="str">
        <f>CONCATENATE("'",'Inverter-Full Data'!A49,"     ",'Inverter-Full Data'!B49,",",'Inverter-Full Data'!S49,",",'Inverter-Full Data'!J49,",",'Inverter-Full Data'!T49,"'")</f>
        <v>'ABB     PVI-4.2-OUTD-S-US-Z-M-A [240V],Y,96,N'</v>
      </c>
    </row>
    <row r="190" spans="1:1">
      <c r="A190" s="2" t="e">
        <f>CONCATENATE("'",'Inverter-Full Data'!#REF!,"     ",'Inverter-Full Data'!#REF!,",",'Inverter-Full Data'!#REF!,",",'Inverter-Full Data'!#REF!,",",'Inverter-Full Data'!#REF!,"'")</f>
        <v>#REF!</v>
      </c>
    </row>
    <row r="191" spans="1:1">
      <c r="A191" s="2" t="str">
        <f>CONCATENATE("'",'Inverter-Full Data'!A50,"     ",'Inverter-Full Data'!B50,",",'Inverter-Full Data'!S50,",",'Inverter-Full Data'!J50,",",'Inverter-Full Data'!T50,"'")</f>
        <v>'ABB     PVI-4.2-OUTD-S-US-Z-M-A [277V],Y,96,N'</v>
      </c>
    </row>
    <row r="192" spans="1:1">
      <c r="A192" s="2" t="e">
        <f>CONCATENATE("'",'Inverter-Full Data'!#REF!,"     ",'Inverter-Full Data'!#REF!,",",'Inverter-Full Data'!#REF!,",",'Inverter-Full Data'!#REF!,",",'Inverter-Full Data'!#REF!,"'")</f>
        <v>#REF!</v>
      </c>
    </row>
    <row r="193" spans="1:1">
      <c r="A193" s="2" t="str">
        <f>CONCATENATE("'",'Inverter-Full Data'!A51,"     ",'Inverter-Full Data'!B51,",",'Inverter-Full Data'!S51,",",'Inverter-Full Data'!J51,",",'Inverter-Full Data'!T51,"'")</f>
        <v>'ABB     PVI-5000-OUTD-US-A [208V],Y,96,N'</v>
      </c>
    </row>
    <row r="194" spans="1:1">
      <c r="A194" s="2" t="e">
        <f>CONCATENATE("'",'Inverter-Full Data'!#REF!,"     ",'Inverter-Full Data'!#REF!,",",'Inverter-Full Data'!#REF!,",",'Inverter-Full Data'!#REF!,",",'Inverter-Full Data'!#REF!,"'")</f>
        <v>#REF!</v>
      </c>
    </row>
    <row r="195" spans="1:1">
      <c r="A195" s="2" t="str">
        <f>CONCATENATE("'",'Inverter-Full Data'!A52,"     ",'Inverter-Full Data'!B52,",",'Inverter-Full Data'!S52,",",'Inverter-Full Data'!J52,",",'Inverter-Full Data'!T52,"'")</f>
        <v>'ABB     PVI-5000-OUTD-US-A [240V],Y,96.5,N'</v>
      </c>
    </row>
    <row r="196" spans="1:1">
      <c r="A196" s="2" t="e">
        <f>CONCATENATE("'",'Inverter-Full Data'!#REF!,"     ",'Inverter-Full Data'!#REF!,",",'Inverter-Full Data'!#REF!,",",'Inverter-Full Data'!#REF!,",",'Inverter-Full Data'!#REF!,"'")</f>
        <v>#REF!</v>
      </c>
    </row>
    <row r="197" spans="1:1">
      <c r="A197" s="2" t="str">
        <f>CONCATENATE("'",'Inverter-Full Data'!A53,"     ",'Inverter-Full Data'!B53,",",'Inverter-Full Data'!S53,",",'Inverter-Full Data'!J53,",",'Inverter-Full Data'!T53,"'")</f>
        <v>'ABB     PVI-5000-OUTD-US-A [277V],Y,96.5,N'</v>
      </c>
    </row>
    <row r="198" spans="1:1">
      <c r="A198" s="2" t="e">
        <f>CONCATENATE("'",'Inverter-Full Data'!#REF!,"     ",'Inverter-Full Data'!#REF!,",",'Inverter-Full Data'!#REF!,",",'Inverter-Full Data'!#REF!,",",'Inverter-Full Data'!#REF!,"'")</f>
        <v>#REF!</v>
      </c>
    </row>
    <row r="199" spans="1:1">
      <c r="A199" s="2" t="e">
        <f>CONCATENATE("'",'Inverter-Full Data'!#REF!,"     ",'Inverter-Full Data'!#REF!,",",'Inverter-Full Data'!#REF!,",",'Inverter-Full Data'!#REF!,",",'Inverter-Full Data'!#REF!,"'")</f>
        <v>#REF!</v>
      </c>
    </row>
    <row r="200" spans="1:1">
      <c r="A200" s="2" t="e">
        <f>CONCATENATE("'",'Inverter-Full Data'!#REF!,"     ",'Inverter-Full Data'!#REF!,",",'Inverter-Full Data'!#REF!,",",'Inverter-Full Data'!#REF!,",",'Inverter-Full Data'!#REF!,"'")</f>
        <v>#REF!</v>
      </c>
    </row>
    <row r="201" spans="1:1">
      <c r="A201" s="2" t="e">
        <f>CONCATENATE("'",'Inverter-Full Data'!#REF!,"     ",'Inverter-Full Data'!#REF!,",",'Inverter-Full Data'!#REF!,",",'Inverter-Full Data'!#REF!,",",'Inverter-Full Data'!#REF!,"'")</f>
        <v>#REF!</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Data'!A54,"     ",'Inverter-Full Data'!B54,",",'Inverter-Full Data'!S54,",",'Inverter-Full Data'!J54,",",'Inverter-Full Data'!T54,"'")</f>
        <v>'ABB     PVI-5000-OUTD-US-Z-A [208V],Y,96,N'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Data'!A55,"     ",'Inverter-Full Data'!B55,",",'Inverter-Full Data'!S55,",",'Inverter-Full Data'!J55,",",'Inverter-Full Data'!T55,"'")</f>
        <v>'ABB     PVI-5000-OUTD-US-Z-A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Data'!A56,"     ",'Inverter-Full Data'!B56,",",'Inverter-Full Data'!S56,",",'Inverter-Full Data'!J56,",",'Inverter-Full Data'!T56,"'")</f>
        <v>'ABB     PVI-5000-OUTD-US-Z-A [277V],Y,96.5,N'</v>
      </c>
    </row>
    <row r="214" spans="1:1">
      <c r="A214" s="2" t="e">
        <f>CONCATENATE("'",'Inverter-Full Data'!#REF!,"     ",'Inverter-Full Data'!#REF!,",",'Inverter-Full Data'!#REF!,",",'Inverter-Full Data'!#REF!,",",'Inverter-Full Data'!#REF!,"'")</f>
        <v>#REF!</v>
      </c>
    </row>
    <row r="215" spans="1:1">
      <c r="A215" s="2" t="str">
        <f>CONCATENATE("'",'Inverter-Full Data'!A57,"     ",'Inverter-Full Data'!B57,",",'Inverter-Full Data'!S57,",",'Inverter-Full Data'!J57,",",'Inverter-Full Data'!T57,"'")</f>
        <v>'ABB     PVI-5000-OUTD-US-Z-M-A [208V],Y,96,N'</v>
      </c>
    </row>
    <row r="216" spans="1:1">
      <c r="A216" s="2" t="e">
        <f>CONCATENATE("'",'Inverter-Full Data'!#REF!,"     ",'Inverter-Full Data'!#REF!,",",'Inverter-Full Data'!#REF!,",",'Inverter-Full Data'!#REF!,",",'Inverter-Full Data'!#REF!,"'")</f>
        <v>#REF!</v>
      </c>
    </row>
    <row r="217" spans="1:1">
      <c r="A217" s="2" t="e">
        <f>CONCATENATE("'",'Inverter-Full Data'!#REF!,"     ",'Inverter-Full Data'!#REF!,",",'Inverter-Full Data'!#REF!,",",'Inverter-Full Data'!#REF!,",",'Inverter-Full Data'!#REF!,"'")</f>
        <v>#REF!</v>
      </c>
    </row>
    <row r="218" spans="1:1">
      <c r="A218" s="2" t="e">
        <f>CONCATENATE("'",'Inverter-Full Data'!#REF!,"     ",'Inverter-Full Data'!#REF!,",",'Inverter-Full Data'!#REF!,",",'Inverter-Full Data'!#REF!,",",'Inverter-Full Data'!#REF!,"'")</f>
        <v>#REF!</v>
      </c>
    </row>
    <row r="219" spans="1:1">
      <c r="A219" s="2" t="e">
        <f>CONCATENATE("'",'Inverter-Full Data'!#REF!,"     ",'Inverter-Full Data'!#REF!,",",'Inverter-Full Data'!#REF!,",",'Inverter-Full Data'!#REF!,",",'Inverter-Full Data'!#REF!,"'")</f>
        <v>#REF!</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Data'!A58,"     ",'Inverter-Full Data'!B58,",",'Inverter-Full Data'!S58,",",'Inverter-Full Data'!J58,",",'Inverter-Full Data'!T58,"'")</f>
        <v>'ABB     PVI-5000-OUTD-US-Z-M-A [240V],Y,96.5,N'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Data'!A59,"     ",'Inverter-Full Data'!B59,",",'Inverter-Full Data'!S59,",",'Inverter-Full Data'!J59,",",'Inverter-Full Data'!T59,"'")</f>
        <v>'ABB     PVI-5000-OUTD-US-Z-M-A [277V],Y,96.5,N'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Data'!A60,"     ",'Inverter-Full Data'!B60,",",'Inverter-Full Data'!S60,",",'Inverter-Full Data'!J60,",",'Inverter-Full Data'!T60,"'")</f>
        <v>'ABB     PVI-6000-OUTD-US-A [208V],Y,96,N'</v>
      </c>
    </row>
    <row r="229" spans="1:1">
      <c r="A229" s="2" t="e">
        <f>CONCATENATE("'",'Inverter-Full Data'!#REF!,"     ",'Inverter-Full Data'!#REF!,",",'Inverter-Full Data'!#REF!,",",'Inverter-Full Data'!#REF!,",",'Inverter-Full Data'!#REF!,"'")</f>
        <v>#REF!</v>
      </c>
    </row>
    <row r="230" spans="1:1">
      <c r="A230" s="2" t="e">
        <f>CONCATENATE("'",'Inverter-Full Data'!#REF!,"     ",'Inverter-Full Data'!#REF!,",",'Inverter-Full Data'!#REF!,",",'Inverter-Full Data'!#REF!,",",'Inverter-Full Data'!#REF!,"'")</f>
        <v>#REF!</v>
      </c>
    </row>
    <row r="231" spans="1:1">
      <c r="A231" s="2" t="e">
        <f>CONCATENATE("'",'Inverter-Full Data'!#REF!,"     ",'Inverter-Full Data'!#REF!,",",'Inverter-Full Data'!#REF!,",",'Inverter-Full Data'!#REF!,",",'Inverter-Full Data'!#REF!,"'")</f>
        <v>#REF!</v>
      </c>
    </row>
    <row r="232" spans="1:1">
      <c r="A232" s="2" t="e">
        <f>CONCATENATE("'",'Inverter-Full Data'!#REF!,"     ",'Inverter-Full Data'!#REF!,",",'Inverter-Full Data'!#REF!,",",'Inverter-Full Data'!#REF!,",",'Inverter-Full Data'!#REF!,"'")</f>
        <v>#REF!</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Data'!A61,"     ",'Inverter-Full Data'!B61,",",'Inverter-Full Data'!S61,",",'Inverter-Full Data'!J61,",",'Inverter-Full Data'!T61,"'")</f>
        <v>'ABB     PVI-6000-OUTD-US-A [240V],Y,96.5,N'</v>
      </c>
    </row>
    <row r="236" spans="1:1">
      <c r="A236" s="2" t="e">
        <f>CONCATENATE("'",'Inverter-Full Data'!#REF!,"     ",'Inverter-Full Data'!#REF!,",",'Inverter-Full Data'!#REF!,",",'Inverter-Full Data'!#REF!,",",'Inverter-Full Data'!#REF!,"'")</f>
        <v>#REF!</v>
      </c>
    </row>
    <row r="237" spans="1:1">
      <c r="A237" s="2" t="str">
        <f>CONCATENATE("'",'Inverter-Full Data'!A62,"     ",'Inverter-Full Data'!B62,",",'Inverter-Full Data'!S62,",",'Inverter-Full Data'!J62,",",'Inverter-Full Data'!T62,"'")</f>
        <v>'ABB     PVI-6000-OUTD-US-A [277V],Y,96.5,N'</v>
      </c>
    </row>
    <row r="238" spans="1:1">
      <c r="A238" s="2" t="e">
        <f>CONCATENATE("'",'Inverter-Full Data'!#REF!,"     ",'Inverter-Full Data'!#REF!,",",'Inverter-Full Data'!#REF!,",",'Inverter-Full Data'!#REF!,",",'Inverter-Full Data'!#REF!,"'")</f>
        <v>#REF!</v>
      </c>
    </row>
    <row r="239" spans="1:1">
      <c r="A239" s="2" t="str">
        <f>CONCATENATE("'",'Inverter-Full Data'!A63,"     ",'Inverter-Full Data'!B63,",",'Inverter-Full Data'!S63,",",'Inverter-Full Data'!J63,",",'Inverter-Full Data'!T63,"'")</f>
        <v>'ABB     PVI-6000-OUTD-US-Z-A [208V],Y,96,N'</v>
      </c>
    </row>
    <row r="240" spans="1:1">
      <c r="A240" s="2" t="e">
        <f>CONCATENATE("'",'Inverter-Full Data'!#REF!,"     ",'Inverter-Full Data'!#REF!,",",'Inverter-Full Data'!#REF!,",",'Inverter-Full Data'!#REF!,",",'Inverter-Full Data'!#REF!,"'")</f>
        <v>#REF!</v>
      </c>
    </row>
    <row r="241" spans="1:1">
      <c r="A241" s="2" t="str">
        <f>CONCATENATE("'",'Inverter-Full Data'!A64,"     ",'Inverter-Full Data'!B64,",",'Inverter-Full Data'!S64,",",'Inverter-Full Data'!J64,",",'Inverter-Full Data'!T64,"'")</f>
        <v>'ABB     PVI-6000-OUTD-US-Z-A [240V],Y,96.5,N'</v>
      </c>
    </row>
    <row r="242" spans="1:1">
      <c r="A242" s="2" t="e">
        <f>CONCATENATE("'",'Inverter-Full Data'!#REF!,"     ",'Inverter-Full Data'!#REF!,",",'Inverter-Full Data'!#REF!,",",'Inverter-Full Data'!#REF!,",",'Inverter-Full Data'!#REF!,"'")</f>
        <v>#REF!</v>
      </c>
    </row>
    <row r="243" spans="1:1">
      <c r="A243" s="2" t="str">
        <f>CONCATENATE("'",'Inverter-Full Data'!A65,"     ",'Inverter-Full Data'!B65,",",'Inverter-Full Data'!S65,",",'Inverter-Full Data'!J65,",",'Inverter-Full Data'!T65,"'")</f>
        <v>'ABB     PVI-6000-OUTD-US-Z-A [277V],Y,96.5,N'</v>
      </c>
    </row>
    <row r="244" spans="1:1">
      <c r="A244" s="2" t="e">
        <f>CONCATENATE("'",'Inverter-Full Data'!#REF!,"     ",'Inverter-Full Data'!#REF!,",",'Inverter-Full Data'!#REF!,",",'Inverter-Full Data'!#REF!,",",'Inverter-Full Data'!#REF!,"'")</f>
        <v>#REF!</v>
      </c>
    </row>
    <row r="245" spans="1:1">
      <c r="A245" s="2" t="str">
        <f>CONCATENATE("'",'Inverter-Full Data'!A66,"     ",'Inverter-Full Data'!B66,",",'Inverter-Full Data'!S66,",",'Inverter-Full Data'!J66,",",'Inverter-Full Data'!T66,"'")</f>
        <v>'ABB     PVI-6000-OUTD-US-Z-M-A [208V],Y,96,N'</v>
      </c>
    </row>
    <row r="246" spans="1:1">
      <c r="A246" s="2" t="e">
        <f>CONCATENATE("'",'Inverter-Full Data'!#REF!,"     ",'Inverter-Full Data'!#REF!,",",'Inverter-Full Data'!#REF!,",",'Inverter-Full Data'!#REF!,",",'Inverter-Full Data'!#REF!,"'")</f>
        <v>#REF!</v>
      </c>
    </row>
    <row r="247" spans="1:1">
      <c r="A247" s="2" t="e">
        <f>CONCATENATE("'",'Inverter-Full Data'!#REF!,"     ",'Inverter-Full Data'!#REF!,",",'Inverter-Full Data'!#REF!,",",'Inverter-Full Data'!#REF!,",",'Inverter-Full Data'!#REF!,"'")</f>
        <v>#REF!</v>
      </c>
    </row>
    <row r="248" spans="1:1">
      <c r="A248" s="2" t="e">
        <f>CONCATENATE("'",'Inverter-Full Data'!#REF!,"     ",'Inverter-Full Data'!#REF!,",",'Inverter-Full Data'!#REF!,",",'Inverter-Full Data'!#REF!,",",'Inverter-Full Data'!#REF!,"'")</f>
        <v>#REF!</v>
      </c>
    </row>
    <row r="249" spans="1:1">
      <c r="A249" s="2" t="str">
        <f>CONCATENATE("'",'Inverter-Full Data'!A67,"     ",'Inverter-Full Data'!B67,",",'Inverter-Full Data'!S67,",",'Inverter-Full Data'!J67,",",'Inverter-Full Data'!T67,"'")</f>
        <v>'ABB     PVI-6000-OUTD-US-Z-M-A [240V],Y,96.5,N'</v>
      </c>
    </row>
    <row r="250" spans="1:1">
      <c r="A250" s="2" t="str">
        <f>CONCATENATE("'",'Inverter-Full Data'!A68,"     ",'Inverter-Full Data'!B68,",",'Inverter-Full Data'!S68,",",'Inverter-Full Data'!J68,",",'Inverter-Full Data'!T68,"'")</f>
        <v>'ABB     PVI-6000-OUTD-US-Z-M-A [277V],Y,96.5,N'</v>
      </c>
    </row>
    <row r="251" spans="1:1">
      <c r="A251" s="2" t="str">
        <f>CONCATENATE("'",'Inverter-Full Data'!A69,"     ",'Inverter-Full Data'!B69,",",'Inverter-Full Data'!S69,",",'Inverter-Full Data'!J69,",",'Inverter-Full Data'!T69,"'")</f>
        <v>'ABB     PVS-60-TL-SC-US [480V],Y,98,N'</v>
      </c>
    </row>
    <row r="252" spans="1:1">
      <c r="A252" s="2" t="str">
        <f>CONCATENATE("'",'Inverter-Full Data'!A70,"     ",'Inverter-Full Data'!B70,",",'Inverter-Full Data'!S70,",",'Inverter-Full Data'!J70,",",'Inverter-Full Data'!T70,"'")</f>
        <v>'ABB     PVS-60-TL-S-US [480V],Y,98,N'</v>
      </c>
    </row>
    <row r="253" spans="1:1">
      <c r="A253" s="2" t="e">
        <f>CONCATENATE("'",'Inverter-Full Data'!#REF!,"     ",'Inverter-Full Data'!#REF!,",",'Inverter-Full Data'!#REF!,",",'Inverter-Full Data'!#REF!,",",'Inverter-Full Data'!#REF!,"'")</f>
        <v>#REF!</v>
      </c>
    </row>
    <row r="254" spans="1:1">
      <c r="A254" s="2" t="e">
        <f>CONCATENATE("'",'Inverter-Full Data'!#REF!,"     ",'Inverter-Full Data'!#REF!,",",'Inverter-Full Data'!#REF!,",",'Inverter-Full Data'!#REF!,",",'Inverter-Full Data'!#REF!,"'")</f>
        <v>#REF!</v>
      </c>
    </row>
    <row r="255" spans="1:1">
      <c r="A255" s="2" t="e">
        <f>CONCATENATE("'",'Inverter-Full Data'!#REF!,"     ",'Inverter-Full Data'!#REF!,",",'Inverter-Full Data'!#REF!,",",'Inverter-Full Data'!#REF!,",",'Inverter-Full Data'!#REF!,"'")</f>
        <v>#REF!</v>
      </c>
    </row>
    <row r="256" spans="1:1">
      <c r="A256" s="2" t="e">
        <f>CONCATENATE("'",'Inverter-Full Data'!#REF!,"     ",'Inverter-Full Data'!#REF!,",",'Inverter-Full Data'!#REF!,",",'Inverter-Full Data'!#REF!,",",'Inverter-Full Data'!#REF!,"'")</f>
        <v>#REF!</v>
      </c>
    </row>
    <row r="257" spans="1:1">
      <c r="A257" s="2" t="e">
        <f>CONCATENATE("'",'Inverter-Full Data'!#REF!,"     ",'Inverter-Full Data'!#REF!,",",'Inverter-Full Data'!#REF!,",",'Inverter-Full Data'!#REF!,",",'Inverter-Full Data'!#REF!,"'")</f>
        <v>#REF!</v>
      </c>
    </row>
    <row r="258" spans="1:1">
      <c r="A258" s="2" t="e">
        <f>CONCATENATE("'",'Inverter-Full Data'!#REF!,"     ",'Inverter-Full Data'!#REF!,",",'Inverter-Full Data'!#REF!,",",'Inverter-Full Data'!#REF!,",",'Inverter-Full Data'!#REF!,"'")</f>
        <v>#REF!</v>
      </c>
    </row>
    <row r="259" spans="1:1">
      <c r="A259" s="2" t="e">
        <f>CONCATENATE("'",'Inverter-Full Data'!#REF!,"     ",'Inverter-Full Data'!#REF!,",",'Inverter-Full Data'!#REF!,",",'Inverter-Full Data'!#REF!,",",'Inverter-Full Data'!#REF!,"'")</f>
        <v>#REF!</v>
      </c>
    </row>
    <row r="260" spans="1:1">
      <c r="A260" s="2" t="str">
        <f>CONCATENATE("'",'Inverter-Full Data'!A71,"     ",'Inverter-Full Data'!B71,",",'Inverter-Full Data'!S71,",",'Inverter-Full Data'!J71,",",'Inverter-Full Data'!T71,"'")</f>
        <v>'ABB     PVS-60-TL-US [480V],Y,98,N'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Data'!A72,"     ",'Inverter-Full Data'!B72,",",'Inverter-Full Data'!S72,",",'Inverter-Full Data'!J72,",",'Inverter-Full Data'!T72,"'")</f>
        <v>'ABB     TRIO-50.0-TL-OUTD-US-480 [480V],Y,98,N'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Data'!A73,"     ",'Inverter-Full Data'!B73,",",'Inverter-Full Data'!S73,",",'Inverter-Full Data'!J73,",",'Inverter-Full Data'!T73,"'")</f>
        <v>'ABB     TRIO-60.0-TL-OUTD-US-480 [480V],Y,98,N'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Data'!A74,"     ",'Inverter-Full Data'!B74,",",'Inverter-Full Data'!S74,",",'Inverter-Full Data'!J74,",",'Inverter-Full Data'!T74,"'")</f>
        <v>'ABB     TRIO-TM-60.0-US-480 [480V],Y,98,N'</v>
      </c>
    </row>
    <row r="270" spans="1:1">
      <c r="A270" s="2" t="str">
        <f>CONCATENATE("'",'Inverter-Full Data'!A75,"     ",'Inverter-Full Data'!B75,",",'Inverter-Full Data'!S75,",",'Inverter-Full Data'!J75,",",'Inverter-Full Data'!T75,"'")</f>
        <v>'ABB     UNO-7.6-TL-OUTD-S-US-A [208V],Y,97,N'</v>
      </c>
    </row>
    <row r="271" spans="1:1">
      <c r="A271" s="2" t="str">
        <f>CONCATENATE("'",'Inverter-Full Data'!A76,"     ",'Inverter-Full Data'!B76,",",'Inverter-Full Data'!S76,",",'Inverter-Full Data'!J76,",",'Inverter-Full Data'!T76,"'")</f>
        <v>'ABB     UNO-7.6-TL-OUTD-S-US-A [240V],Y,97,N'</v>
      </c>
    </row>
    <row r="272" spans="1:1">
      <c r="A272" s="2" t="str">
        <f>CONCATENATE("'",'Inverter-Full Data'!A77,"     ",'Inverter-Full Data'!B77,",",'Inverter-Full Data'!S77,",",'Inverter-Full Data'!J77,",",'Inverter-Full Data'!T77,"'")</f>
        <v>'ABB     UNO-7.6-TL-OUTD-S-US-A [277V],Y,97,N'</v>
      </c>
    </row>
    <row r="273" spans="1:1">
      <c r="A273" s="2" t="str">
        <f>CONCATENATE("'",'Inverter-Full Data'!A78,"     ",'Inverter-Full Data'!B78,",",'Inverter-Full Data'!S78,",",'Inverter-Full Data'!J78,",",'Inverter-Full Data'!T78,"'")</f>
        <v>'ABB     UNO-7.6-TL-OUTD-S-US-Z-A [208V],Y,97,N'</v>
      </c>
    </row>
    <row r="274" spans="1:1">
      <c r="A274" s="2" t="e">
        <f>CONCATENATE("'",'Inverter-Full Data'!#REF!,"     ",'Inverter-Full Data'!#REF!,",",'Inverter-Full Data'!#REF!,",",'Inverter-Full Data'!#REF!,",",'Inverter-Full Data'!#REF!,"'")</f>
        <v>#REF!</v>
      </c>
    </row>
    <row r="275" spans="1:1">
      <c r="A275" s="2" t="e">
        <f>CONCATENATE("'",'Inverter-Full Data'!#REF!,"     ",'Inverter-Full Data'!#REF!,",",'Inverter-Full Data'!#REF!,",",'Inverter-Full Data'!#REF!,",",'Inverter-Full Data'!#REF!,"'")</f>
        <v>#REF!</v>
      </c>
    </row>
    <row r="276" spans="1:1">
      <c r="A276" s="2" t="e">
        <f>CONCATENATE("'",'Inverter-Full Data'!#REF!,"     ",'Inverter-Full Data'!#REF!,",",'Inverter-Full Data'!#REF!,",",'Inverter-Full Data'!#REF!,",",'Inverter-Full Data'!#REF!,"'")</f>
        <v>#REF!</v>
      </c>
    </row>
    <row r="277" spans="1:1">
      <c r="A277" s="2" t="e">
        <f>CONCATENATE("'",'Inverter-Full Data'!#REF!,"     ",'Inverter-Full Data'!#REF!,",",'Inverter-Full Data'!#REF!,",",'Inverter-Full Data'!#REF!,",",'Inverter-Full Data'!#REF!,"'")</f>
        <v>#REF!</v>
      </c>
    </row>
    <row r="278" spans="1:1">
      <c r="A278" s="2" t="e">
        <f>CONCATENATE("'",'Inverter-Full Data'!#REF!,"     ",'Inverter-Full Data'!#REF!,",",'Inverter-Full Data'!#REF!,",",'Inverter-Full Data'!#REF!,",",'Inverter-Full Data'!#REF!,"'")</f>
        <v>#REF!</v>
      </c>
    </row>
    <row r="279" spans="1:1">
      <c r="A279" s="2" t="e">
        <f>CONCATENATE("'",'Inverter-Full Data'!#REF!,"     ",'Inverter-Full Data'!#REF!,",",'Inverter-Full Data'!#REF!,",",'Inverter-Full Data'!#REF!,",",'Inverter-Full Data'!#REF!,"'")</f>
        <v>#REF!</v>
      </c>
    </row>
    <row r="280" spans="1:1">
      <c r="A280" s="2" t="e">
        <f>CONCATENATE("'",'Inverter-Full Data'!#REF!,"     ",'Inverter-Full Data'!#REF!,",",'Inverter-Full Data'!#REF!,",",'Inverter-Full Data'!#REF!,",",'Inverter-Full Data'!#REF!,"'")</f>
        <v>#REF!</v>
      </c>
    </row>
    <row r="281" spans="1:1">
      <c r="A281" s="2" t="e">
        <f>CONCATENATE("'",'Inverter-Full Data'!#REF!,"     ",'Inverter-Full Data'!#REF!,",",'Inverter-Full Data'!#REF!,",",'Inverter-Full Data'!#REF!,",",'Inverter-Full Data'!#REF!,"'")</f>
        <v>#REF!</v>
      </c>
    </row>
    <row r="282" spans="1:1">
      <c r="A282" s="2" t="e">
        <f>CONCATENATE("'",'Inverter-Full Data'!#REF!,"     ",'Inverter-Full Data'!#REF!,",",'Inverter-Full Data'!#REF!,",",'Inverter-Full Data'!#REF!,",",'Inverter-Full Data'!#REF!,"'")</f>
        <v>#REF!</v>
      </c>
    </row>
    <row r="283" spans="1:1">
      <c r="A283" s="2" t="e">
        <f>CONCATENATE("'",'Inverter-Full Data'!#REF!,"     ",'Inverter-Full Data'!#REF!,",",'Inverter-Full Data'!#REF!,",",'Inverter-Full Data'!#REF!,",",'Inverter-Full Data'!#REF!,"'")</f>
        <v>#REF!</v>
      </c>
    </row>
    <row r="284" spans="1:1">
      <c r="A284" s="2" t="e">
        <f>CONCATENATE("'",'Inverter-Full Data'!#REF!,"     ",'Inverter-Full Data'!#REF!,",",'Inverter-Full Data'!#REF!,",",'Inverter-Full Data'!#REF!,",",'Inverter-Full Data'!#REF!,"'")</f>
        <v>#REF!</v>
      </c>
    </row>
    <row r="285" spans="1:1">
      <c r="A285" s="2" t="e">
        <f>CONCATENATE("'",'Inverter-Full Data'!#REF!,"     ",'Inverter-Full Data'!#REF!,",",'Inverter-Full Data'!#REF!,",",'Inverter-Full Data'!#REF!,",",'Inverter-Full Data'!#REF!,"'")</f>
        <v>#REF!</v>
      </c>
    </row>
    <row r="286" spans="1:1">
      <c r="A286" s="2" t="e">
        <f>CONCATENATE("'",'Inverter-Full Data'!#REF!,"     ",'Inverter-Full Data'!#REF!,",",'Inverter-Full Data'!#REF!,",",'Inverter-Full Data'!#REF!,",",'Inverter-Full Data'!#REF!,"'")</f>
        <v>#REF!</v>
      </c>
    </row>
    <row r="287" spans="1:1">
      <c r="A287" s="2" t="e">
        <f>CONCATENATE("'",'Inverter-Full Data'!#REF!,"     ",'Inverter-Full Data'!#REF!,",",'Inverter-Full Data'!#REF!,",",'Inverter-Full Data'!#REF!,",",'Inverter-Full Data'!#REF!,"'")</f>
        <v>#REF!</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Data'!A79,"     ",'Inverter-Full Data'!B79,",",'Inverter-Full Data'!S79,",",'Inverter-Full Data'!J79,",",'Inverter-Full Data'!T79,"'")</f>
        <v>'ABB     UNO-7.6-TL-OUTD-S-US-Z-A [240V],Y,97,N'</v>
      </c>
    </row>
    <row r="291" spans="1:1">
      <c r="A291" s="2" t="e">
        <f>CONCATENATE("'",'Inverter-Full Data'!#REF!,"     ",'Inverter-Full Data'!#REF!,",",'Inverter-Full Data'!#REF!,",",'Inverter-Full Data'!#REF!,",",'Inverter-Full Data'!#REF!,"'")</f>
        <v>#REF!</v>
      </c>
    </row>
    <row r="292" spans="1:1">
      <c r="A292" s="2" t="str">
        <f>CONCATENATE("'",'Inverter-Full Data'!A80,"     ",'Inverter-Full Data'!B80,",",'Inverter-Full Data'!S80,",",'Inverter-Full Data'!J80,",",'Inverter-Full Data'!T80,"'")</f>
        <v>'ABB     UNO-7.6-TL-OUTD-S-US-Z-A [277V],Y,97,N'</v>
      </c>
    </row>
    <row r="293" spans="1:1">
      <c r="A293" s="2" t="e">
        <f>CONCATENATE("'",'Inverter-Full Data'!#REF!,"     ",'Inverter-Full Data'!#REF!,",",'Inverter-Full Data'!#REF!,",",'Inverter-Full Data'!#REF!,",",'Inverter-Full Data'!#REF!,"'")</f>
        <v>#REF!</v>
      </c>
    </row>
    <row r="294" spans="1:1">
      <c r="A294" s="2" t="str">
        <f>CONCATENATE("'",'Inverter-Full Data'!A81,"     ",'Inverter-Full Data'!B81,",",'Inverter-Full Data'!S81,",",'Inverter-Full Data'!J81,",",'Inverter-Full Data'!T81,"'")</f>
        <v>'ABB     UNO-7.6-TL-OUTD-S-US-Z-M-A [208V],Y,97,N'</v>
      </c>
    </row>
    <row r="295" spans="1:1">
      <c r="A295" s="2" t="e">
        <f>CONCATENATE("'",'Inverter-Full Data'!#REF!,"     ",'Inverter-Full Data'!#REF!,",",'Inverter-Full Data'!#REF!,",",'Inverter-Full Data'!#REF!,",",'Inverter-Full Data'!#REF!,"'")</f>
        <v>#REF!</v>
      </c>
    </row>
    <row r="296" spans="1:1">
      <c r="A296" s="2" t="e">
        <f>CONCATENATE("'",'Inverter-Full Data'!#REF!,"     ",'Inverter-Full Data'!#REF!,",",'Inverter-Full Data'!#REF!,",",'Inverter-Full Data'!#REF!,",",'Inverter-Full Data'!#REF!,"'")</f>
        <v>#REF!</v>
      </c>
    </row>
    <row r="297" spans="1:1">
      <c r="A297" s="2" t="e">
        <f>CONCATENATE("'",'Inverter-Full Data'!#REF!,"     ",'Inverter-Full Data'!#REF!,",",'Inverter-Full Data'!#REF!,",",'Inverter-Full Data'!#REF!,",",'Inverter-Full Data'!#REF!,"'")</f>
        <v>#REF!</v>
      </c>
    </row>
    <row r="298" spans="1:1">
      <c r="A298" s="2" t="e">
        <f>CONCATENATE("'",'Inverter-Full Data'!#REF!,"     ",'Inverter-Full Data'!#REF!,",",'Inverter-Full Data'!#REF!,",",'Inverter-Full Data'!#REF!,",",'Inverter-Full Data'!#REF!,"'")</f>
        <v>#REF!</v>
      </c>
    </row>
    <row r="299" spans="1:1">
      <c r="A299" s="2" t="str">
        <f>CONCATENATE("'",'Inverter-Full Data'!A82,"     ",'Inverter-Full Data'!B82,",",'Inverter-Full Data'!S82,",",'Inverter-Full Data'!J82,",",'Inverter-Full Data'!T82,"'")</f>
        <v>'ABB     UNO-7.6-TL-OUTD-S-US-Z-M-A [240V],Y,97,N'</v>
      </c>
    </row>
    <row r="300" spans="1:1">
      <c r="A300" s="2" t="e">
        <f>CONCATENATE("'",'Inverter-Full Data'!#REF!,"     ",'Inverter-Full Data'!#REF!,",",'Inverter-Full Data'!#REF!,",",'Inverter-Full Data'!#REF!,",",'Inverter-Full Data'!#REF!,"'")</f>
        <v>#REF!</v>
      </c>
    </row>
    <row r="301" spans="1:1">
      <c r="A301" s="2" t="str">
        <f>CONCATENATE("'",'Inverter-Full Data'!A83,"     ",'Inverter-Full Data'!B83,",",'Inverter-Full Data'!S83,",",'Inverter-Full Data'!J83,",",'Inverter-Full Data'!T83,"'")</f>
        <v>'ABB     UNO-7.6-TL-OUTD-S-US-Z-M-A [277V],Y,97,N'</v>
      </c>
    </row>
    <row r="302" spans="1:1">
      <c r="A302" s="2" t="e">
        <f>CONCATENATE("'",'Inverter-Full Data'!#REF!,"     ",'Inverter-Full Data'!#REF!,",",'Inverter-Full Data'!#REF!,",",'Inverter-Full Data'!#REF!,",",'Inverter-Full Data'!#REF!,"'")</f>
        <v>#REF!</v>
      </c>
    </row>
    <row r="303" spans="1:1">
      <c r="A303" s="2" t="str">
        <f>CONCATENATE("'",'Inverter-Full Data'!A84,"     ",'Inverter-Full Data'!B84,",",'Inverter-Full Data'!S84,",",'Inverter-Full Data'!J84,",",'Inverter-Full Data'!T84,"'")</f>
        <v>'ABB     UNO-8.6-TL-OUTD-S-US-A [240V],Y,97,N'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Data'!A85,"     ",'Inverter-Full Data'!B85,",",'Inverter-Full Data'!S85,",",'Inverter-Full Data'!J85,",",'Inverter-Full Data'!T85,"'")</f>
        <v>'ABB     UNO-8.6-TL-OUTD-S-US-A [277V],Y,97,N'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Data'!A86,"     ",'Inverter-Full Data'!B86,",",'Inverter-Full Data'!S86,",",'Inverter-Full Data'!J86,",",'Inverter-Full Data'!T86,"'")</f>
        <v>'ABB     UNO-8.6-TL-OUTD-S-US-Z-A [240V],Y,97,N'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Data'!A87,"     ",'Inverter-Full Data'!B87,",",'Inverter-Full Data'!S87,",",'Inverter-Full Data'!J87,",",'Inverter-Full Data'!T87,"'")</f>
        <v>'ABB     UNO-8.6-TL-OUTD-S-US-Z-A [277V],Y,97,N'</v>
      </c>
    </row>
    <row r="313" spans="1:1">
      <c r="A313" s="2" t="str">
        <f>CONCATENATE("'",'Inverter-Full Data'!A88,"     ",'Inverter-Full Data'!B88,",",'Inverter-Full Data'!S88,",",'Inverter-Full Data'!J88,",",'Inverter-Full Data'!T88,"'")</f>
        <v>'ABB     UNO-8.6-TL-OUTD-S-US-Z-M-A [240V],Y,97,N'</v>
      </c>
    </row>
    <row r="314" spans="1:1">
      <c r="A314" s="2" t="str">
        <f>CONCATENATE("'",'Inverter-Full Data'!A89,"     ",'Inverter-Full Data'!B89,",",'Inverter-Full Data'!S89,",",'Inverter-Full Data'!J89,",",'Inverter-Full Data'!T89,"'")</f>
        <v>'ABB     UNO-8.6-TL-OUTD-S-US-Z-M-A [277V],Y,97,N'</v>
      </c>
    </row>
    <row r="315" spans="1:1">
      <c r="A315" s="2" t="str">
        <f>CONCATENATE("'",'Inverter-Full Data'!A90,"     ",'Inverter-Full Data'!B90,",",'Inverter-Full Data'!S90,",",'Inverter-Full Data'!J90,",",'Inverter-Full Data'!T90,"'")</f>
        <v>'ABB     UNO-DM-3.3-TL-PLUS-US-SB-RA [208V],Y,96,N'</v>
      </c>
    </row>
    <row r="316" spans="1:1">
      <c r="A316" s="2" t="e">
        <f>CONCATENATE("'",'Inverter-Full Data'!#REF!,"     ",'Inverter-Full Data'!#REF!,",",'Inverter-Full Data'!#REF!,",",'Inverter-Full Data'!#REF!,",",'Inverter-Full Data'!#REF!,"'")</f>
        <v>#REF!</v>
      </c>
    </row>
    <row r="317" spans="1:1">
      <c r="A317" s="2" t="str">
        <f>CONCATENATE("'",'Inverter-Full Data'!A91,"     ",'Inverter-Full Data'!B91,",",'Inverter-Full Data'!S91,",",'Inverter-Full Data'!J91,",",'Inverter-Full Data'!T91,"'")</f>
        <v>'ABB     UNO-DM-3.3-TL-PLUS-US-SB-RA [240V],Y,96.5,N'</v>
      </c>
    </row>
    <row r="318" spans="1:1">
      <c r="A318" s="2" t="e">
        <f>CONCATENATE("'",'Inverter-Full Data'!#REF!,"     ",'Inverter-Full Data'!#REF!,",",'Inverter-Full Data'!#REF!,",",'Inverter-Full Data'!#REF!,",",'Inverter-Full Data'!#REF!,"'")</f>
        <v>#REF!</v>
      </c>
    </row>
    <row r="319" spans="1:1">
      <c r="A319" s="2" t="e">
        <f>CONCATENATE("'",'Inverter-Full Data'!#REF!,"     ",'Inverter-Full Data'!#REF!,",",'Inverter-Full Data'!#REF!,",",'Inverter-Full Data'!#REF!,",",'Inverter-Full Data'!#REF!,"'")</f>
        <v>#REF!</v>
      </c>
    </row>
    <row r="320" spans="1:1">
      <c r="A320" s="2" t="e">
        <f>CONCATENATE("'",'Inverter-Full Data'!#REF!,"     ",'Inverter-Full Data'!#REF!,",",'Inverter-Full Data'!#REF!,",",'Inverter-Full Data'!#REF!,",",'Inverter-Full Data'!#REF!,"'")</f>
        <v>#REF!</v>
      </c>
    </row>
    <row r="321" spans="1:1">
      <c r="A321" s="2" t="e">
        <f>CONCATENATE("'",'Inverter-Full Data'!#REF!,"     ",'Inverter-Full Data'!#REF!,",",'Inverter-Full Data'!#REF!,",",'Inverter-Full Data'!#REF!,",",'Inverter-Full Data'!#REF!,"'")</f>
        <v>#REF!</v>
      </c>
    </row>
    <row r="322" spans="1:1">
      <c r="A322" s="2" t="e">
        <f>CONCATENATE("'",'Inverter-Full Data'!#REF!,"     ",'Inverter-Full Data'!#REF!,",",'Inverter-Full Data'!#REF!,",",'Inverter-Full Data'!#REF!,",",'Inverter-Full Data'!#REF!,"'")</f>
        <v>#REF!</v>
      </c>
    </row>
    <row r="323" spans="1:1">
      <c r="A323" s="2" t="e">
        <f>CONCATENATE("'",'Inverter-Full Data'!#REF!,"     ",'Inverter-Full Data'!#REF!,",",'Inverter-Full Data'!#REF!,",",'Inverter-Full Data'!#REF!,",",'Inverter-Full Data'!#REF!,"'")</f>
        <v>#REF!</v>
      </c>
    </row>
    <row r="324" spans="1:1">
      <c r="A324" s="2" t="e">
        <f>CONCATENATE("'",'Inverter-Full Data'!#REF!,"     ",'Inverter-Full Data'!#REF!,",",'Inverter-Full Data'!#REF!,",",'Inverter-Full Data'!#REF!,",",'Inverter-Full Data'!#REF!,"'")</f>
        <v>#REF!</v>
      </c>
    </row>
    <row r="325" spans="1:1">
      <c r="A325" s="2" t="e">
        <f>CONCATENATE("'",'Inverter-Full Data'!#REF!,"     ",'Inverter-Full Data'!#REF!,",",'Inverter-Full Data'!#REF!,",",'Inverter-Full Data'!#REF!,",",'Inverter-Full Data'!#REF!,"'")</f>
        <v>#REF!</v>
      </c>
    </row>
    <row r="326" spans="1:1">
      <c r="A326" s="2" t="e">
        <f>CONCATENATE("'",'Inverter-Full Data'!#REF!,"     ",'Inverter-Full Data'!#REF!,",",'Inverter-Full Data'!#REF!,",",'Inverter-Full Data'!#REF!,",",'Inverter-Full Data'!#REF!,"'")</f>
        <v>#REF!</v>
      </c>
    </row>
    <row r="327" spans="1:1">
      <c r="A327" s="2" t="e">
        <f>CONCATENATE("'",'Inverter-Full Data'!#REF!,"     ",'Inverter-Full Data'!#REF!,",",'Inverter-Full Data'!#REF!,",",'Inverter-Full Data'!#REF!,",",'Inverter-Full Data'!#REF!,"'")</f>
        <v>#REF!</v>
      </c>
    </row>
    <row r="328" spans="1:1">
      <c r="A328" s="2" t="e">
        <f>CONCATENATE("'",'Inverter-Full Data'!#REF!,"     ",'Inverter-Full Data'!#REF!,",",'Inverter-Full Data'!#REF!,",",'Inverter-Full Data'!#REF!,",",'Inverter-Full Data'!#REF!,"'")</f>
        <v>#REF!</v>
      </c>
    </row>
    <row r="329" spans="1:1">
      <c r="A329" s="2" t="e">
        <f>CONCATENATE("'",'Inverter-Full Data'!#REF!,"     ",'Inverter-Full Data'!#REF!,",",'Inverter-Full Data'!#REF!,",",'Inverter-Full Data'!#REF!,",",'Inverter-Full Data'!#REF!,"'")</f>
        <v>#REF!</v>
      </c>
    </row>
    <row r="330" spans="1:1">
      <c r="A330" s="2" t="e">
        <f>CONCATENATE("'",'Inverter-Full Data'!#REF!,"     ",'Inverter-Full Data'!#REF!,",",'Inverter-Full Data'!#REF!,",",'Inverter-Full Data'!#REF!,",",'Inverter-Full Data'!#REF!,"'")</f>
        <v>#REF!</v>
      </c>
    </row>
    <row r="331" spans="1:1">
      <c r="A331" s="2" t="e">
        <f>CONCATENATE("'",'Inverter-Full Data'!#REF!,"     ",'Inverter-Full Data'!#REF!,",",'Inverter-Full Data'!#REF!,",",'Inverter-Full Data'!#REF!,",",'Inverter-Full Data'!#REF!,"'")</f>
        <v>#REF!</v>
      </c>
    </row>
    <row r="332" spans="1:1">
      <c r="A332" s="2" t="e">
        <f>CONCATENATE("'",'Inverter-Full Data'!#REF!,"     ",'Inverter-Full Data'!#REF!,",",'Inverter-Full Data'!#REF!,",",'Inverter-Full Data'!#REF!,",",'Inverter-Full Data'!#REF!,"'")</f>
        <v>#REF!</v>
      </c>
    </row>
    <row r="333" spans="1:1">
      <c r="A333" s="2" t="e">
        <f>CONCATENATE("'",'Inverter-Full Data'!#REF!,"     ",'Inverter-Full Data'!#REF!,",",'Inverter-Full Data'!#REF!,",",'Inverter-Full Data'!#REF!,",",'Inverter-Full Data'!#REF!,"'")</f>
        <v>#REF!</v>
      </c>
    </row>
    <row r="334" spans="1:1">
      <c r="A334" s="2" t="e">
        <f>CONCATENATE("'",'Inverter-Full Data'!#REF!,"     ",'Inverter-Full Data'!#REF!,",",'Inverter-Full Data'!#REF!,",",'Inverter-Full Data'!#REF!,",",'Inverter-Full Data'!#REF!,"'")</f>
        <v>#REF!</v>
      </c>
    </row>
    <row r="335" spans="1:1">
      <c r="A335" s="2" t="e">
        <f>CONCATENATE("'",'Inverter-Full Data'!#REF!,"     ",'Inverter-Full Data'!#REF!,",",'Inverter-Full Data'!#REF!,",",'Inverter-Full Data'!#REF!,",",'Inverter-Full Data'!#REF!,"'")</f>
        <v>#REF!</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Data'!A92,"     ",'Inverter-Full Data'!B92,",",'Inverter-Full Data'!S92,",",'Inverter-Full Data'!J92,",",'Inverter-Full Data'!T92,"'")</f>
        <v>'ABB     UNO-DM-3.3-TL-PLUS-US-SE-RA [208V],Y,96,N'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Data'!A93,"     ",'Inverter-Full Data'!B93,",",'Inverter-Full Data'!S93,",",'Inverter-Full Data'!J93,",",'Inverter-Full Data'!T93,"'")</f>
        <v>'ABB     UNO-DM-3.3-TL-PLUS-US-SE-RA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Data'!A94,"     ",'Inverter-Full Data'!B94,",",'Inverter-Full Data'!S94,",",'Inverter-Full Data'!J94,",",'Inverter-Full Data'!T94,"'")</f>
        <v>'ABB     UNO-DM-3.3-TL-PLUS-US-SZM-RA [208V],Y,96,N'</v>
      </c>
    </row>
    <row r="345" spans="1:1">
      <c r="A345" s="2" t="e">
        <f>CONCATENATE("'",'Inverter-Full Data'!#REF!,"     ",'Inverter-Full Data'!#REF!,",",'Inverter-Full Data'!#REF!,",",'Inverter-Full Data'!#REF!,",",'Inverter-Full Data'!#REF!,"'")</f>
        <v>#REF!</v>
      </c>
    </row>
    <row r="346" spans="1:1">
      <c r="A346" s="2" t="e">
        <f>CONCATENATE("'",'Inverter-Full Data'!#REF!,"     ",'Inverter-Full Data'!#REF!,",",'Inverter-Full Data'!#REF!,",",'Inverter-Full Data'!#REF!,",",'Inverter-Full Data'!#REF!,"'")</f>
        <v>#REF!</v>
      </c>
    </row>
    <row r="347" spans="1:1">
      <c r="A347" s="2" t="e">
        <f>CONCATENATE("'",'Inverter-Full Data'!#REF!,"     ",'Inverter-Full Data'!#REF!,",",'Inverter-Full Data'!#REF!,",",'Inverter-Full Data'!#REF!,",",'Inverter-Full Data'!#REF!,"'")</f>
        <v>#REF!</v>
      </c>
    </row>
    <row r="348" spans="1:1">
      <c r="A348" s="2" t="e">
        <f>CONCATENATE("'",'Inverter-Full Data'!#REF!,"     ",'Inverter-Full Data'!#REF!,",",'Inverter-Full Data'!#REF!,",",'Inverter-Full Data'!#REF!,",",'Inverter-Full Data'!#REF!,"'")</f>
        <v>#REF!</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Data'!A95,"     ",'Inverter-Full Data'!B95,",",'Inverter-Full Data'!S95,",",'Inverter-Full Data'!J95,",",'Inverter-Full Data'!T95,"'")</f>
        <v>'ABB     UNO-DM-3.3-TL-PLUS-US-SZM-RA [240V],Y,96.5,N'</v>
      </c>
    </row>
    <row r="352" spans="1:1">
      <c r="A352" s="2" t="e">
        <f>CONCATENATE("'",'Inverter-Full Data'!#REF!,"     ",'Inverter-Full Data'!#REF!,",",'Inverter-Full Data'!#REF!,",",'Inverter-Full Data'!#REF!,",",'Inverter-Full Data'!#REF!,"'")</f>
        <v>#REF!</v>
      </c>
    </row>
    <row r="353" spans="1:1">
      <c r="A353" s="2" t="str">
        <f>CONCATENATE("'",'Inverter-Full Data'!A96,"     ",'Inverter-Full Data'!B96,",",'Inverter-Full Data'!S96,",",'Inverter-Full Data'!J96,",",'Inverter-Full Data'!T96,"'")</f>
        <v>'ABB     UNO-DM-3.3-TL-PLUS-US-SZ-RA [208V],Y,96,N'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Data'!A97,"     ",'Inverter-Full Data'!B97,",",'Inverter-Full Data'!S97,",",'Inverter-Full Data'!J97,",",'Inverter-Full Data'!T97,"'")</f>
        <v>'ABB     UNO-DM-3.3-TL-PLUS-US-SZ-RA [240V],Y,96.5,N'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Data'!A98,"     ",'Inverter-Full Data'!B98,",",'Inverter-Full Data'!S98,",",'Inverter-Full Data'!J98,",",'Inverter-Full Data'!T98,"'")</f>
        <v>'ABB     UNO-DM-3.8-TL-PLUS-US-SB-RA [208V],Y,96,N'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Data'!A99,"     ",'Inverter-Full Data'!B99,",",'Inverter-Full Data'!S99,",",'Inverter-Full Data'!J99,",",'Inverter-Full Data'!T99,"'")</f>
        <v>'ABB     UNO-DM-3.8-TL-PLUS-US-SB-RA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Data'!A100,"     ",'Inverter-Full Data'!B100,",",'Inverter-Full Data'!S100,",",'Inverter-Full Data'!J100,",",'Inverter-Full Data'!T100,"'")</f>
        <v>'ABB     UNO-DM-3.8-TL-PLUS-US-SE-RA [208V],Y,96,N'</v>
      </c>
    </row>
    <row r="366" spans="1:1">
      <c r="A366" s="2" t="str">
        <f>CONCATENATE("'",'Inverter-Full Data'!A101,"     ",'Inverter-Full Data'!B101,",",'Inverter-Full Data'!S101,",",'Inverter-Full Data'!J101,",",'Inverter-Full Data'!T101,"'")</f>
        <v>'ABB     UNO-DM-3.8-TL-PLUS-US-SE-RA [240V],Y,96.5,N'</v>
      </c>
    </row>
    <row r="367" spans="1:1">
      <c r="A367" s="2" t="e">
        <f>CONCATENATE("'",'Inverter-Full Data'!#REF!,"     ",'Inverter-Full Data'!#REF!,",",'Inverter-Full Data'!#REF!,",",'Inverter-Full Data'!#REF!,",",'Inverter-Full Data'!#REF!,"'")</f>
        <v>#REF!</v>
      </c>
    </row>
    <row r="368" spans="1:1">
      <c r="A368" s="2" t="str">
        <f>CONCATENATE("'",'Inverter-Full Data'!A102,"     ",'Inverter-Full Data'!B102,",",'Inverter-Full Data'!S102,",",'Inverter-Full Data'!J102,",",'Inverter-Full Data'!T102,"'")</f>
        <v>'ABB     UNO-DM-3.8-TL-PLUS-US-SZM-RA [208V],Y,96,N'</v>
      </c>
    </row>
    <row r="369" spans="1:1">
      <c r="A369" s="2" t="str">
        <f>CONCATENATE("'",'Inverter-Full Data'!A103,"     ",'Inverter-Full Data'!B103,",",'Inverter-Full Data'!S103,",",'Inverter-Full Data'!J103,",",'Inverter-Full Data'!T103,"'")</f>
        <v>'ABB     UNO-DM-3.8-TL-PLUS-US-SZM-RA [240V],Y,96.5,N'</v>
      </c>
    </row>
    <row r="370" spans="1:1">
      <c r="A370" s="2" t="e">
        <f>CONCATENATE("'",'Inverter-Full Data'!#REF!,"     ",'Inverter-Full Data'!#REF!,",",'Inverter-Full Data'!#REF!,",",'Inverter-Full Data'!#REF!,",",'Inverter-Full Data'!#REF!,"'")</f>
        <v>#REF!</v>
      </c>
    </row>
    <row r="371" spans="1:1">
      <c r="A371" s="2" t="str">
        <f>CONCATENATE("'",'Inverter-Full Data'!A104,"     ",'Inverter-Full Data'!B104,",",'Inverter-Full Data'!S104,",",'Inverter-Full Data'!J104,",",'Inverter-Full Data'!T104,"'")</f>
        <v>'ABB     UNO-DM-3.8-TL-PLUS-US-SZ-RA [208V],Y,96,N'</v>
      </c>
    </row>
    <row r="372" spans="1:1">
      <c r="A372" s="2" t="str">
        <f>CONCATENATE("'",'Inverter-Full Data'!A105,"     ",'Inverter-Full Data'!B105,",",'Inverter-Full Data'!S105,",",'Inverter-Full Data'!J105,",",'Inverter-Full Data'!T105,"'")</f>
        <v>'ABB     UNO-DM-3.8-TL-PLUS-US-SZ-RA [240V],Y,96.5,N'</v>
      </c>
    </row>
    <row r="373" spans="1:1">
      <c r="A373" s="2" t="e">
        <f>CONCATENATE("'",'Inverter-Full Data'!#REF!,"     ",'Inverter-Full Data'!#REF!,",",'Inverter-Full Data'!#REF!,",",'Inverter-Full Data'!#REF!,",",'Inverter-Full Data'!#REF!,"'")</f>
        <v>#REF!</v>
      </c>
    </row>
    <row r="374" spans="1:1">
      <c r="A374" s="2" t="str">
        <f>CONCATENATE("'",'Inverter-Full Data'!A106,"     ",'Inverter-Full Data'!B106,",",'Inverter-Full Data'!S106,",",'Inverter-Full Data'!J106,",",'Inverter-Full Data'!T106,"'")</f>
        <v>'ABB     UNO-DM-4.6-TL-PLUS-US-SB-RA [208V],Y,96,N'</v>
      </c>
    </row>
    <row r="375" spans="1:1">
      <c r="A375" s="2" t="str">
        <f>CONCATENATE("'",'Inverter-Full Data'!A107,"     ",'Inverter-Full Data'!B107,",",'Inverter-Full Data'!S107,",",'Inverter-Full Data'!J107,",",'Inverter-Full Data'!T107,"'")</f>
        <v>'ABB     UNO-DM-4.6-TL-PLUS-US-SB-RA [240V],Y,96.5,N'</v>
      </c>
    </row>
    <row r="376" spans="1:1">
      <c r="A376" s="2" t="str">
        <f>CONCATENATE("'",'Inverter-Full Data'!A108,"     ",'Inverter-Full Data'!B108,",",'Inverter-Full Data'!S108,",",'Inverter-Full Data'!J108,",",'Inverter-Full Data'!T108,"'")</f>
        <v>'ABB     UNO-DM-4.6-TL-PLUS-US-SE-RA [208V],Y,96,N'</v>
      </c>
    </row>
    <row r="377" spans="1:1">
      <c r="A377" s="2" t="str">
        <f>CONCATENATE("'",'Inverter-Full Data'!A109,"     ",'Inverter-Full Data'!B109,",",'Inverter-Full Data'!S109,",",'Inverter-Full Data'!J109,",",'Inverter-Full Data'!T109,"'")</f>
        <v>'ABB     UNO-DM-4.6-TL-PLUS-US-SE-RA [240V],Y,96.5,N'</v>
      </c>
    </row>
    <row r="378" spans="1:1">
      <c r="A378" s="2" t="e">
        <f>CONCATENATE("'",'Inverter-Full Data'!#REF!,"     ",'Inverter-Full Data'!#REF!,",",'Inverter-Full Data'!#REF!,",",'Inverter-Full Data'!#REF!,",",'Inverter-Full Data'!#REF!,"'")</f>
        <v>#REF!</v>
      </c>
    </row>
    <row r="379" spans="1:1">
      <c r="A379" s="2" t="str">
        <f>CONCATENATE("'",'Inverter-Full Data'!A110,"     ",'Inverter-Full Data'!B110,",",'Inverter-Full Data'!S110,",",'Inverter-Full Data'!J110,",",'Inverter-Full Data'!T110,"'")</f>
        <v>'ABB     UNO-DM-4.6-TL-PLUS-US-SZM-RA [208V],Y,96,N'</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Data'!A111,"     ",'Inverter-Full Data'!B111,",",'Inverter-Full Data'!S111,",",'Inverter-Full Data'!J111,",",'Inverter-Full Data'!T111,"'")</f>
        <v>'ABB     UNO-DM-4.6-TL-PLUS-US-SZM-RA [240V],Y,96.5,N'</v>
      </c>
    </row>
    <row r="383" spans="1:1">
      <c r="A383" s="2" t="e">
        <f>CONCATENATE("'",'Inverter-Full Data'!#REF!,"     ",'Inverter-Full Data'!#REF!,",",'Inverter-Full Data'!#REF!,",",'Inverter-Full Data'!#REF!,",",'Inverter-Full Data'!#REF!,"'")</f>
        <v>#REF!</v>
      </c>
    </row>
    <row r="384" spans="1:1">
      <c r="A384" s="2" t="str">
        <f>CONCATENATE("'",'Inverter-Full Data'!A112,"     ",'Inverter-Full Data'!B112,",",'Inverter-Full Data'!S112,",",'Inverter-Full Data'!J112,",",'Inverter-Full Data'!T112,"'")</f>
        <v>'ABB     UNO-DM-4.6-TL-PLUS-US-SZ-RA [208V],Y,96,N'</v>
      </c>
    </row>
    <row r="385" spans="1:1">
      <c r="A385" s="2" t="e">
        <f>CONCATENATE("'",'Inverter-Full Data'!#REF!,"     ",'Inverter-Full Data'!#REF!,",",'Inverter-Full Data'!#REF!,",",'Inverter-Full Data'!#REF!,",",'Inverter-Full Data'!#REF!,"'")</f>
        <v>#REF!</v>
      </c>
    </row>
    <row r="386" spans="1:1">
      <c r="A386" s="2" t="str">
        <f>CONCATENATE("'",'Inverter-Full Data'!A113,"     ",'Inverter-Full Data'!B113,",",'Inverter-Full Data'!S113,",",'Inverter-Full Data'!J113,",",'Inverter-Full Data'!T113,"'")</f>
        <v>'ABB     UNO-DM-4.6-TL-PLUS-US-SZ-RA [240V],Y,96.5,N'</v>
      </c>
    </row>
    <row r="387" spans="1:1">
      <c r="A387" s="2" t="e">
        <f>CONCATENATE("'",'Inverter-Full Data'!#REF!,"     ",'Inverter-Full Data'!#REF!,",",'Inverter-Full Data'!#REF!,",",'Inverter-Full Data'!#REF!,",",'Inverter-Full Data'!#REF!,"'")</f>
        <v>#REF!</v>
      </c>
    </row>
    <row r="388" spans="1:1">
      <c r="A388" s="2" t="str">
        <f>CONCATENATE("'",'Inverter-Full Data'!A114,"     ",'Inverter-Full Data'!B114,",",'Inverter-Full Data'!S114,",",'Inverter-Full Data'!J114,",",'Inverter-Full Data'!T114,"'")</f>
        <v>'ABB     UNO-DM-5.0-TL-PLUS-US-SB-RA [208V],Y,96.5,N'</v>
      </c>
    </row>
    <row r="389" spans="1:1">
      <c r="A389" s="2" t="e">
        <f>CONCATENATE("'",'Inverter-Full Data'!#REF!,"     ",'Inverter-Full Data'!#REF!,",",'Inverter-Full Data'!#REF!,",",'Inverter-Full Data'!#REF!,",",'Inverter-Full Data'!#REF!,"'")</f>
        <v>#REF!</v>
      </c>
    </row>
    <row r="390" spans="1:1">
      <c r="A390" s="2" t="str">
        <f>CONCATENATE("'",'Inverter-Full Data'!A115,"     ",'Inverter-Full Data'!B115,",",'Inverter-Full Data'!S115,",",'Inverter-Full Data'!J115,",",'Inverter-Full Data'!T115,"'")</f>
        <v>'ABB     UNO-DM-5.0-TL-PLUS-US-SB-RA [240V],Y,96.5,N'</v>
      </c>
    </row>
    <row r="391" spans="1:1">
      <c r="A391" s="2" t="e">
        <f>CONCATENATE("'",'Inverter-Full Data'!#REF!,"     ",'Inverter-Full Data'!#REF!,",",'Inverter-Full Data'!#REF!,",",'Inverter-Full Data'!#REF!,",",'Inverter-Full Data'!#REF!,"'")</f>
        <v>#REF!</v>
      </c>
    </row>
    <row r="392" spans="1:1">
      <c r="A392" s="2" t="str">
        <f>CONCATENATE("'",'Inverter-Full Data'!A116,"     ",'Inverter-Full Data'!B116,",",'Inverter-Full Data'!S116,",",'Inverter-Full Data'!J116,",",'Inverter-Full Data'!T116,"'")</f>
        <v>'ABB     UNO-DM-5.0-TL-PLUS-US-SE-RA [208V],Y,96.5,N'</v>
      </c>
    </row>
    <row r="393" spans="1:1">
      <c r="A393" s="2" t="e">
        <f>CONCATENATE("'",'Inverter-Full Data'!#REF!,"     ",'Inverter-Full Data'!#REF!,",",'Inverter-Full Data'!#REF!,",",'Inverter-Full Data'!#REF!,",",'Inverter-Full Data'!#REF!,"'")</f>
        <v>#REF!</v>
      </c>
    </row>
    <row r="394" spans="1:1">
      <c r="A394" s="2" t="e">
        <f>CONCATENATE("'",'Inverter-Full Data'!#REF!,"     ",'Inverter-Full Data'!#REF!,",",'Inverter-Full Data'!#REF!,",",'Inverter-Full Data'!#REF!,",",'Inverter-Full Data'!#REF!,"'")</f>
        <v>#REF!</v>
      </c>
    </row>
    <row r="395" spans="1:1">
      <c r="A395" s="2" t="e">
        <f>CONCATENATE("'",'Inverter-Full Data'!#REF!,"     ",'Inverter-Full Data'!#REF!,",",'Inverter-Full Data'!#REF!,",",'Inverter-Full Data'!#REF!,",",'Inverter-Full Data'!#REF!,"'")</f>
        <v>#REF!</v>
      </c>
    </row>
    <row r="396" spans="1:1">
      <c r="A396" s="2" t="e">
        <f>CONCATENATE("'",'Inverter-Full Data'!#REF!,"     ",'Inverter-Full Data'!#REF!,",",'Inverter-Full Data'!#REF!,",",'Inverter-Full Data'!#REF!,",",'Inverter-Full Data'!#REF!,"'")</f>
        <v>#REF!</v>
      </c>
    </row>
    <row r="397" spans="1:1">
      <c r="A397" s="2" t="str">
        <f>CONCATENATE("'",'Inverter-Full Data'!A117,"     ",'Inverter-Full Data'!B117,",",'Inverter-Full Data'!S117,",",'Inverter-Full Data'!J117,",",'Inverter-Full Data'!T117,"'")</f>
        <v>'ABB     UNO-DM-5.0-TL-PLUS-US-SE-RA [240V],Y,96.5,N'</v>
      </c>
    </row>
    <row r="398" spans="1:1">
      <c r="A398" s="2" t="e">
        <f>CONCATENATE("'",'Inverter-Full Data'!#REF!,"     ",'Inverter-Full Data'!#REF!,",",'Inverter-Full Data'!#REF!,",",'Inverter-Full Data'!#REF!,",",'Inverter-Full Data'!#REF!,"'")</f>
        <v>#REF!</v>
      </c>
    </row>
    <row r="399" spans="1:1">
      <c r="A399" s="2" t="str">
        <f>CONCATENATE("'",'Inverter-Full Data'!A118,"     ",'Inverter-Full Data'!B118,",",'Inverter-Full Data'!S118,",",'Inverter-Full Data'!J118,",",'Inverter-Full Data'!T118,"'")</f>
        <v>'ABB     UNO-DM-5.0-TL-PLUS-US-SZM-RA [208V],Y,96.5,N'</v>
      </c>
    </row>
    <row r="400" spans="1:1">
      <c r="A400" s="2" t="e">
        <f>CONCATENATE("'",'Inverter-Full Data'!#REF!,"     ",'Inverter-Full Data'!#REF!,",",'Inverter-Full Data'!#REF!,",",'Inverter-Full Data'!#REF!,",",'Inverter-Full Data'!#REF!,"'")</f>
        <v>#REF!</v>
      </c>
    </row>
    <row r="401" spans="1:1">
      <c r="A401" s="2" t="str">
        <f>CONCATENATE("'",'Inverter-Full Data'!A119,"     ",'Inverter-Full Data'!B119,",",'Inverter-Full Data'!S119,",",'Inverter-Full Data'!J119,",",'Inverter-Full Data'!T119,"'")</f>
        <v>'ABB     UNO-DM-5.0-TL-PLUS-US-SZM-RA [240V],Y,96.5,N'</v>
      </c>
    </row>
    <row r="402" spans="1:1">
      <c r="A402" s="2" t="e">
        <f>CONCATENATE("'",'Inverter-Full Data'!#REF!,"     ",'Inverter-Full Data'!#REF!,",",'Inverter-Full Data'!#REF!,",",'Inverter-Full Data'!#REF!,",",'Inverter-Full Data'!#REF!,"'")</f>
        <v>#REF!</v>
      </c>
    </row>
    <row r="403" spans="1:1">
      <c r="A403" s="2" t="str">
        <f>CONCATENATE("'",'Inverter-Full Data'!A120,"     ",'Inverter-Full Data'!B120,",",'Inverter-Full Data'!S120,",",'Inverter-Full Data'!J120,",",'Inverter-Full Data'!T120,"'")</f>
        <v>'ABB     UNO-DM-5.0-TL-PLUS-US-SZ-RA [208V],Y,96.5,N'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Data'!A121,"     ",'Inverter-Full Data'!B121,",",'Inverter-Full Data'!S121,",",'Inverter-Full Data'!J121,",",'Inverter-Full Data'!T121,"'")</f>
        <v>'ABB     UNO-DM-5.0-TL-PLUS-US-SZ-RA [240V],Y,96.5,N'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Data'!A122,"     ",'Inverter-Full Data'!B122,",",'Inverter-Full Data'!S122,",",'Inverter-Full Data'!J122,",",'Inverter-Full Data'!T122,"'")</f>
        <v>'ABB     UNO-DM-6.0-TL-PLUS-US-SB-RA [208V],Y,97,N'</v>
      </c>
    </row>
    <row r="410" spans="1:1">
      <c r="A410" s="2" t="e">
        <f>CONCATENATE("'",'Inverter-Full Data'!#REF!,"     ",'Inverter-Full Data'!#REF!,",",'Inverter-Full Data'!#REF!,",",'Inverter-Full Data'!#REF!,",",'Inverter-Full Data'!#REF!,"'")</f>
        <v>#REF!</v>
      </c>
    </row>
    <row r="411" spans="1:1">
      <c r="A411" s="2" t="str">
        <f>CONCATENATE("'",'Inverter-Full Data'!A123,"     ",'Inverter-Full Data'!B123,",",'Inverter-Full Data'!S123,",",'Inverter-Full Data'!J123,",",'Inverter-Full Data'!T123,"'")</f>
        <v>'ABB     UNO-DM-6.0-TL-PLUS-US-SB-RA [240V],Y,97,N'</v>
      </c>
    </row>
    <row r="412" spans="1:1">
      <c r="A412" s="2" t="e">
        <f>CONCATENATE("'",'Inverter-Full Data'!#REF!,"     ",'Inverter-Full Data'!#REF!,",",'Inverter-Full Data'!#REF!,",",'Inverter-Full Data'!#REF!,",",'Inverter-Full Data'!#REF!,"'")</f>
        <v>#REF!</v>
      </c>
    </row>
    <row r="413" spans="1:1">
      <c r="A413" s="2" t="e">
        <f>CONCATENATE("'",'Inverter-Full Data'!#REF!,"     ",'Inverter-Full Data'!#REF!,",",'Inverter-Full Data'!#REF!,",",'Inverter-Full Data'!#REF!,",",'Inverter-Full Data'!#REF!,"'")</f>
        <v>#REF!</v>
      </c>
    </row>
    <row r="414" spans="1:1">
      <c r="A414" s="2" t="e">
        <f>CONCATENATE("'",'Inverter-Full Data'!#REF!,"     ",'Inverter-Full Data'!#REF!,",",'Inverter-Full Data'!#REF!,",",'Inverter-Full Data'!#REF!,",",'Inverter-Full Data'!#REF!,"'")</f>
        <v>#REF!</v>
      </c>
    </row>
    <row r="415" spans="1:1">
      <c r="A415" s="2" t="str">
        <f>CONCATENATE("'",'Inverter-Full Data'!A124,"     ",'Inverter-Full Data'!B124,",",'Inverter-Full Data'!S124,",",'Inverter-Full Data'!J124,",",'Inverter-Full Data'!T124,"'")</f>
        <v>'ABB     UNO-DM-6.0-TL-PLUS-US-SC-RA [208V],Y,97,N'</v>
      </c>
    </row>
    <row r="416" spans="1:1">
      <c r="A416" s="2" t="e">
        <f>CONCATENATE("'",'Inverter-Full Data'!#REF!,"     ",'Inverter-Full Data'!#REF!,",",'Inverter-Full Data'!#REF!,",",'Inverter-Full Data'!#REF!,",",'Inverter-Full Data'!#REF!,"'")</f>
        <v>#REF!</v>
      </c>
    </row>
    <row r="417" spans="1:1">
      <c r="A417" s="2" t="str">
        <f>CONCATENATE("'",'Inverter-Full Data'!A125,"     ",'Inverter-Full Data'!B125,",",'Inverter-Full Data'!S125,",",'Inverter-Full Data'!J125,",",'Inverter-Full Data'!T125,"'")</f>
        <v>'ABB     UNO-DM-6.0-TL-PLUS-US-SC-RA [240V],Y,97,N'</v>
      </c>
    </row>
    <row r="418" spans="1:1">
      <c r="A418" s="2" t="e">
        <f>CONCATENATE("'",'Inverter-Full Data'!#REF!,"     ",'Inverter-Full Data'!#REF!,",",'Inverter-Full Data'!#REF!,",",'Inverter-Full Data'!#REF!,",",'Inverter-Full Data'!#REF!,"'")</f>
        <v>#REF!</v>
      </c>
    </row>
    <row r="419" spans="1:1">
      <c r="A419" s="2" t="e">
        <f>CONCATENATE("'",'Inverter-Full Data'!#REF!,"     ",'Inverter-Full Data'!#REF!,",",'Inverter-Full Data'!#REF!,",",'Inverter-Full Data'!#REF!,",",'Inverter-Full Data'!#REF!,"'")</f>
        <v>#REF!</v>
      </c>
    </row>
    <row r="420" spans="1:1">
      <c r="A420" s="2" t="e">
        <f>CONCATENATE("'",'Inverter-Full Data'!#REF!,"     ",'Inverter-Full Data'!#REF!,",",'Inverter-Full Data'!#REF!,",",'Inverter-Full Data'!#REF!,",",'Inverter-Full Data'!#REF!,"'")</f>
        <v>#REF!</v>
      </c>
    </row>
    <row r="421" spans="1:1">
      <c r="A421" s="2" t="e">
        <f>CONCATENATE("'",'Inverter-Full Data'!#REF!,"     ",'Inverter-Full Data'!#REF!,",",'Inverter-Full Data'!#REF!,",",'Inverter-Full Data'!#REF!,",",'Inverter-Full Data'!#REF!,"'")</f>
        <v>#REF!</v>
      </c>
    </row>
    <row r="422" spans="1:1">
      <c r="A422" s="2" t="e">
        <f>CONCATENATE("'",'Inverter-Full Data'!#REF!,"     ",'Inverter-Full Data'!#REF!,",",'Inverter-Full Data'!#REF!,",",'Inverter-Full Data'!#REF!,",",'Inverter-Full Data'!#REF!,"'")</f>
        <v>#REF!</v>
      </c>
    </row>
    <row r="423" spans="1:1">
      <c r="A423" s="2" t="e">
        <f>CONCATENATE("'",'Inverter-Full Data'!#REF!,"     ",'Inverter-Full Data'!#REF!,",",'Inverter-Full Data'!#REF!,",",'Inverter-Full Data'!#REF!,",",'Inverter-Full Data'!#REF!,"'")</f>
        <v>#REF!</v>
      </c>
    </row>
    <row r="424" spans="1:1">
      <c r="A424" s="2" t="e">
        <f>CONCATENATE("'",'Inverter-Full Data'!#REF!,"     ",'Inverter-Full Data'!#REF!,",",'Inverter-Full Data'!#REF!,",",'Inverter-Full Data'!#REF!,",",'Inverter-Full Data'!#REF!,"'")</f>
        <v>#REF!</v>
      </c>
    </row>
    <row r="425" spans="1:1">
      <c r="A425" s="2" t="e">
        <f>CONCATENATE("'",'Inverter-Full Data'!#REF!,"     ",'Inverter-Full Data'!#REF!,",",'Inverter-Full Data'!#REF!,",",'Inverter-Full Data'!#REF!,",",'Inverter-Full Data'!#REF!,"'")</f>
        <v>#REF!</v>
      </c>
    </row>
    <row r="426" spans="1:1">
      <c r="A426" s="2" t="e">
        <f>CONCATENATE("'",'Inverter-Full Data'!#REF!,"     ",'Inverter-Full Data'!#REF!,",",'Inverter-Full Data'!#REF!,",",'Inverter-Full Data'!#REF!,",",'Inverter-Full Data'!#REF!,"'")</f>
        <v>#REF!</v>
      </c>
    </row>
    <row r="427" spans="1:1">
      <c r="A427" s="2" t="e">
        <f>CONCATENATE("'",'Inverter-Full Data'!#REF!,"     ",'Inverter-Full Data'!#REF!,",",'Inverter-Full Data'!#REF!,",",'Inverter-Full Data'!#REF!,",",'Inverter-Full Data'!#REF!,"'")</f>
        <v>#REF!</v>
      </c>
    </row>
    <row r="428" spans="1:1">
      <c r="A428" s="2" t="e">
        <f>CONCATENATE("'",'Inverter-Full Data'!#REF!,"     ",'Inverter-Full Data'!#REF!,",",'Inverter-Full Data'!#REF!,",",'Inverter-Full Data'!#REF!,",",'Inverter-Full Data'!#REF!,"'")</f>
        <v>#REF!</v>
      </c>
    </row>
    <row r="429" spans="1:1">
      <c r="A429" s="2" t="e">
        <f>CONCATENATE("'",'Inverter-Full Data'!#REF!,"     ",'Inverter-Full Data'!#REF!,",",'Inverter-Full Data'!#REF!,",",'Inverter-Full Data'!#REF!,",",'Inverter-Full Data'!#REF!,"'")</f>
        <v>#REF!</v>
      </c>
    </row>
    <row r="430" spans="1:1">
      <c r="A430" s="2" t="e">
        <f>CONCATENATE("'",'Inverter-Full Data'!#REF!,"     ",'Inverter-Full Data'!#REF!,",",'Inverter-Full Data'!#REF!,",",'Inverter-Full Data'!#REF!,",",'Inverter-Full Data'!#REF!,"'")</f>
        <v>#REF!</v>
      </c>
    </row>
    <row r="431" spans="1:1">
      <c r="A431" s="2" t="e">
        <f>CONCATENATE("'",'Inverter-Full Data'!#REF!,"     ",'Inverter-Full Data'!#REF!,",",'Inverter-Full Data'!#REF!,",",'Inverter-Full Data'!#REF!,",",'Inverter-Full Data'!#REF!,"'")</f>
        <v>#REF!</v>
      </c>
    </row>
    <row r="432" spans="1:1">
      <c r="A432" s="2" t="str">
        <f>CONCATENATE("'",'Inverter-Full Data'!A126,"     ",'Inverter-Full Data'!B126,",",'Inverter-Full Data'!S126,",",'Inverter-Full Data'!J126,",",'Inverter-Full Data'!T126,"'")</f>
        <v>'ABB     UNO-DM-6.0-TL-PLUS-US-SE-RA [208V],Y,97,N'</v>
      </c>
    </row>
    <row r="433" spans="1:1">
      <c r="A433" s="2" t="e">
        <f>CONCATENATE("'",'Inverter-Full Data'!#REF!,"     ",'Inverter-Full Data'!#REF!,",",'Inverter-Full Data'!#REF!,",",'Inverter-Full Data'!#REF!,",",'Inverter-Full Data'!#REF!,"'")</f>
        <v>#REF!</v>
      </c>
    </row>
    <row r="434" spans="1:1">
      <c r="A434" s="2" t="str">
        <f>CONCATENATE("'",'Inverter-Full Data'!A127,"     ",'Inverter-Full Data'!B127,",",'Inverter-Full Data'!S127,",",'Inverter-Full Data'!J127,",",'Inverter-Full Data'!T127,"'")</f>
        <v>'ABB     UNO-DM-6.0-TL-PLUS-US-SE-RA [240V],Y,97,N'</v>
      </c>
    </row>
    <row r="435" spans="1:1">
      <c r="A435" s="2" t="str">
        <f>CONCATENATE("'",'Inverter-Full Data'!A128,"     ",'Inverter-Full Data'!B128,",",'Inverter-Full Data'!S128,",",'Inverter-Full Data'!J128,",",'Inverter-Full Data'!T128,"'")</f>
        <v>'ABB     UNO-DM-6.0-TL-PLUS-US-S-XRA [208V],Y,97,N'</v>
      </c>
    </row>
    <row r="436" spans="1:1">
      <c r="A436" s="2" t="e">
        <f>CONCATENATE("'",'Inverter-Full Data'!#REF!,"     ",'Inverter-Full Data'!#REF!,",",'Inverter-Full Data'!#REF!,",",'Inverter-Full Data'!#REF!,",",'Inverter-Full Data'!#REF!,"'")</f>
        <v>#REF!</v>
      </c>
    </row>
    <row r="437" spans="1:1">
      <c r="A437" s="2" t="e">
        <f>CONCATENATE("'",'Inverter-Full Data'!#REF!,"     ",'Inverter-Full Data'!#REF!,",",'Inverter-Full Data'!#REF!,",",'Inverter-Full Data'!#REF!,",",'Inverter-Full Data'!#REF!,"'")</f>
        <v>#REF!</v>
      </c>
    </row>
    <row r="438" spans="1:1">
      <c r="A438" s="2" t="e">
        <f>CONCATENATE("'",'Inverter-Full Data'!#REF!,"     ",'Inverter-Full Data'!#REF!,",",'Inverter-Full Data'!#REF!,",",'Inverter-Full Data'!#REF!,",",'Inverter-Full Data'!#REF!,"'")</f>
        <v>#REF!</v>
      </c>
    </row>
    <row r="439" spans="1:1">
      <c r="A439" s="2" t="e">
        <f>CONCATENATE("'",'Inverter-Full Data'!#REF!,"     ",'Inverter-Full Data'!#REF!,",",'Inverter-Full Data'!#REF!,",",'Inverter-Full Data'!#REF!,",",'Inverter-Full Data'!#REF!,"'")</f>
        <v>#REF!</v>
      </c>
    </row>
    <row r="440" spans="1:1">
      <c r="A440" s="2" t="e">
        <f>CONCATENATE("'",'Inverter-Full Data'!#REF!,"     ",'Inverter-Full Data'!#REF!,",",'Inverter-Full Data'!#REF!,",",'Inverter-Full Data'!#REF!,",",'Inverter-Full Data'!#REF!,"'")</f>
        <v>#REF!</v>
      </c>
    </row>
    <row r="441" spans="1:1">
      <c r="A441" s="2" t="e">
        <f>CONCATENATE("'",'Inverter-Full Data'!#REF!,"     ",'Inverter-Full Data'!#REF!,",",'Inverter-Full Data'!#REF!,",",'Inverter-Full Data'!#REF!,",",'Inverter-Full Data'!#REF!,"'")</f>
        <v>#REF!</v>
      </c>
    </row>
    <row r="442" spans="1:1">
      <c r="A442" s="2" t="e">
        <f>CONCATENATE("'",'Inverter-Full Data'!#REF!,"     ",'Inverter-Full Data'!#REF!,",",'Inverter-Full Data'!#REF!,",",'Inverter-Full Data'!#REF!,",",'Inverter-Full Data'!#REF!,"'")</f>
        <v>#REF!</v>
      </c>
    </row>
    <row r="443" spans="1:1">
      <c r="A443" s="2" t="e">
        <f>CONCATENATE("'",'Inverter-Full Data'!#REF!,"     ",'Inverter-Full Data'!#REF!,",",'Inverter-Full Data'!#REF!,",",'Inverter-Full Data'!#REF!,",",'Inverter-Full Data'!#REF!,"'")</f>
        <v>#REF!</v>
      </c>
    </row>
    <row r="444" spans="1:1">
      <c r="A444" s="2" t="e">
        <f>CONCATENATE("'",'Inverter-Full Data'!#REF!,"     ",'Inverter-Full Data'!#REF!,",",'Inverter-Full Data'!#REF!,",",'Inverter-Full Data'!#REF!,",",'Inverter-Full Data'!#REF!,"'")</f>
        <v>#REF!</v>
      </c>
    </row>
    <row r="445" spans="1:1">
      <c r="A445" s="2" t="e">
        <f>CONCATENATE("'",'Inverter-Full Data'!#REF!,"     ",'Inverter-Full Data'!#REF!,",",'Inverter-Full Data'!#REF!,",",'Inverter-Full Data'!#REF!,",",'Inverter-Full Data'!#REF!,"'")</f>
        <v>#REF!</v>
      </c>
    </row>
    <row r="446" spans="1:1">
      <c r="A446" s="2" t="e">
        <f>CONCATENATE("'",'Inverter-Full Data'!#REF!,"     ",'Inverter-Full Data'!#REF!,",",'Inverter-Full Data'!#REF!,",",'Inverter-Full Data'!#REF!,",",'Inverter-Full Data'!#REF!,"'")</f>
        <v>#REF!</v>
      </c>
    </row>
    <row r="447" spans="1:1">
      <c r="A447" s="2" t="e">
        <f>CONCATENATE("'",'Inverter-Full Data'!#REF!,"     ",'Inverter-Full Data'!#REF!,",",'Inverter-Full Data'!#REF!,",",'Inverter-Full Data'!#REF!,",",'Inverter-Full Data'!#REF!,"'")</f>
        <v>#REF!</v>
      </c>
    </row>
    <row r="448" spans="1:1">
      <c r="A448" s="2" t="e">
        <f>CONCATENATE("'",'Inverter-Full Data'!#REF!,"     ",'Inverter-Full Data'!#REF!,",",'Inverter-Full Data'!#REF!,",",'Inverter-Full Data'!#REF!,",",'Inverter-Full Data'!#REF!,"'")</f>
        <v>#REF!</v>
      </c>
    </row>
    <row r="449" spans="1:1">
      <c r="A449" s="2" t="e">
        <f>CONCATENATE("'",'Inverter-Full Data'!#REF!,"     ",'Inverter-Full Data'!#REF!,",",'Inverter-Full Data'!#REF!,",",'Inverter-Full Data'!#REF!,",",'Inverter-Full Data'!#REF!,"'")</f>
        <v>#REF!</v>
      </c>
    </row>
    <row r="450" spans="1:1">
      <c r="A450" s="2" t="e">
        <f>CONCATENATE("'",'Inverter-Full Data'!#REF!,"     ",'Inverter-Full Data'!#REF!,",",'Inverter-Full Data'!#REF!,",",'Inverter-Full Data'!#REF!,",",'Inverter-Full Data'!#REF!,"'")</f>
        <v>#REF!</v>
      </c>
    </row>
    <row r="451" spans="1:1">
      <c r="A451" s="2" t="e">
        <f>CONCATENATE("'",'Inverter-Full Data'!#REF!,"     ",'Inverter-Full Data'!#REF!,",",'Inverter-Full Data'!#REF!,",",'Inverter-Full Data'!#REF!,",",'Inverter-Full Data'!#REF!,"'")</f>
        <v>#REF!</v>
      </c>
    </row>
    <row r="452" spans="1:1">
      <c r="A452" s="2" t="e">
        <f>CONCATENATE("'",'Inverter-Full Data'!#REF!,"     ",'Inverter-Full Data'!#REF!,",",'Inverter-Full Data'!#REF!,",",'Inverter-Full Data'!#REF!,",",'Inverter-Full Data'!#REF!,"'")</f>
        <v>#REF!</v>
      </c>
    </row>
    <row r="453" spans="1:1">
      <c r="A453" s="2" t="e">
        <f>CONCATENATE("'",'Inverter-Full Data'!#REF!,"     ",'Inverter-Full Data'!#REF!,",",'Inverter-Full Data'!#REF!,",",'Inverter-Full Data'!#REF!,",",'Inverter-Full Data'!#REF!,"'")</f>
        <v>#REF!</v>
      </c>
    </row>
    <row r="454" spans="1:1">
      <c r="A454" s="2" t="e">
        <f>CONCATENATE("'",'Inverter-Full Data'!#REF!,"     ",'Inverter-Full Data'!#REF!,",",'Inverter-Full Data'!#REF!,",",'Inverter-Full Data'!#REF!,",",'Inverter-Full Data'!#REF!,"'")</f>
        <v>#REF!</v>
      </c>
    </row>
    <row r="455" spans="1:1">
      <c r="A455" s="2" t="e">
        <f>CONCATENATE("'",'Inverter-Full Data'!#REF!,"     ",'Inverter-Full Data'!#REF!,",",'Inverter-Full Data'!#REF!,",",'Inverter-Full Data'!#REF!,",",'Inverter-Full Data'!#REF!,"'")</f>
        <v>#REF!</v>
      </c>
    </row>
    <row r="456" spans="1:1">
      <c r="A456" s="2" t="e">
        <f>CONCATENATE("'",'Inverter-Full Data'!#REF!,"     ",'Inverter-Full Data'!#REF!,",",'Inverter-Full Data'!#REF!,",",'Inverter-Full Data'!#REF!,",",'Inverter-Full Data'!#REF!,"'")</f>
        <v>#REF!</v>
      </c>
    </row>
    <row r="457" spans="1:1">
      <c r="A457" s="2" t="e">
        <f>CONCATENATE("'",'Inverter-Full Data'!#REF!,"     ",'Inverter-Full Data'!#REF!,",",'Inverter-Full Data'!#REF!,",",'Inverter-Full Data'!#REF!,",",'Inverter-Full Data'!#REF!,"'")</f>
        <v>#REF!</v>
      </c>
    </row>
    <row r="458" spans="1:1">
      <c r="A458" s="2" t="e">
        <f>CONCATENATE("'",'Inverter-Full Data'!#REF!,"     ",'Inverter-Full Data'!#REF!,",",'Inverter-Full Data'!#REF!,",",'Inverter-Full Data'!#REF!,",",'Inverter-Full Data'!#REF!,"'")</f>
        <v>#REF!</v>
      </c>
    </row>
    <row r="459" spans="1:1">
      <c r="A459" s="2" t="e">
        <f>CONCATENATE("'",'Inverter-Full Data'!#REF!,"     ",'Inverter-Full Data'!#REF!,",",'Inverter-Full Data'!#REF!,",",'Inverter-Full Data'!#REF!,",",'Inverter-Full Data'!#REF!,"'")</f>
        <v>#REF!</v>
      </c>
    </row>
    <row r="460" spans="1:1">
      <c r="A460" s="2" t="e">
        <f>CONCATENATE("'",'Inverter-Full Data'!#REF!,"     ",'Inverter-Full Data'!#REF!,",",'Inverter-Full Data'!#REF!,",",'Inverter-Full Data'!#REF!,",",'Inverter-Full Data'!#REF!,"'")</f>
        <v>#REF!</v>
      </c>
    </row>
    <row r="461" spans="1:1">
      <c r="A461" s="2" t="e">
        <f>CONCATENATE("'",'Inverter-Full Data'!#REF!,"     ",'Inverter-Full Data'!#REF!,",",'Inverter-Full Data'!#REF!,",",'Inverter-Full Data'!#REF!,",",'Inverter-Full Data'!#REF!,"'")</f>
        <v>#REF!</v>
      </c>
    </row>
    <row r="462" spans="1:1">
      <c r="A462" s="2" t="e">
        <f>CONCATENATE("'",'Inverter-Full Data'!#REF!,"     ",'Inverter-Full Data'!#REF!,",",'Inverter-Full Data'!#REF!,",",'Inverter-Full Data'!#REF!,",",'Inverter-Full Data'!#REF!,"'")</f>
        <v>#REF!</v>
      </c>
    </row>
    <row r="463" spans="1:1">
      <c r="A463" s="2" t="e">
        <f>CONCATENATE("'",'Inverter-Full Data'!#REF!,"     ",'Inverter-Full Data'!#REF!,",",'Inverter-Full Data'!#REF!,",",'Inverter-Full Data'!#REF!,",",'Inverter-Full Data'!#REF!,"'")</f>
        <v>#REF!</v>
      </c>
    </row>
    <row r="464" spans="1:1">
      <c r="A464" s="2" t="e">
        <f>CONCATENATE("'",'Inverter-Full Data'!#REF!,"     ",'Inverter-Full Data'!#REF!,",",'Inverter-Full Data'!#REF!,",",'Inverter-Full Data'!#REF!,",",'Inverter-Full Data'!#REF!,"'")</f>
        <v>#REF!</v>
      </c>
    </row>
    <row r="465" spans="1:1">
      <c r="A465" s="2" t="e">
        <f>CONCATENATE("'",'Inverter-Full Data'!#REF!,"     ",'Inverter-Full Data'!#REF!,",",'Inverter-Full Data'!#REF!,",",'Inverter-Full Data'!#REF!,",",'Inverter-Full Data'!#REF!,"'")</f>
        <v>#REF!</v>
      </c>
    </row>
    <row r="466" spans="1:1">
      <c r="A466" s="2" t="e">
        <f>CONCATENATE("'",'Inverter-Full Data'!#REF!,"     ",'Inverter-Full Data'!#REF!,",",'Inverter-Full Data'!#REF!,",",'Inverter-Full Data'!#REF!,",",'Inverter-Full Data'!#REF!,"'")</f>
        <v>#REF!</v>
      </c>
    </row>
    <row r="467" spans="1:1">
      <c r="A467" s="2" t="e">
        <f>CONCATENATE("'",'Inverter-Full Data'!#REF!,"     ",'Inverter-Full Data'!#REF!,",",'Inverter-Full Data'!#REF!,",",'Inverter-Full Data'!#REF!,",",'Inverter-Full Data'!#REF!,"'")</f>
        <v>#REF!</v>
      </c>
    </row>
    <row r="468" spans="1:1">
      <c r="A468" s="2" t="e">
        <f>CONCATENATE("'",'Inverter-Full Data'!#REF!,"     ",'Inverter-Full Data'!#REF!,",",'Inverter-Full Data'!#REF!,",",'Inverter-Full Data'!#REF!,",",'Inverter-Full Data'!#REF!,"'")</f>
        <v>#REF!</v>
      </c>
    </row>
    <row r="469" spans="1:1">
      <c r="A469" s="2" t="e">
        <f>CONCATENATE("'",'Inverter-Full Data'!#REF!,"     ",'Inverter-Full Data'!#REF!,",",'Inverter-Full Data'!#REF!,",",'Inverter-Full Data'!#REF!,",",'Inverter-Full Data'!#REF!,"'")</f>
        <v>#REF!</v>
      </c>
    </row>
    <row r="470" spans="1:1">
      <c r="A470" s="2" t="e">
        <f>CONCATENATE("'",'Inverter-Full Data'!#REF!,"     ",'Inverter-Full Data'!#REF!,",",'Inverter-Full Data'!#REF!,",",'Inverter-Full Data'!#REF!,",",'Inverter-Full Data'!#REF!,"'")</f>
        <v>#REF!</v>
      </c>
    </row>
    <row r="471" spans="1:1">
      <c r="A471" s="2" t="e">
        <f>CONCATENATE("'",'Inverter-Full Data'!#REF!,"     ",'Inverter-Full Data'!#REF!,",",'Inverter-Full Data'!#REF!,",",'Inverter-Full Data'!#REF!,",",'Inverter-Full Data'!#REF!,"'")</f>
        <v>#REF!</v>
      </c>
    </row>
    <row r="472" spans="1:1">
      <c r="A472" s="2" t="e">
        <f>CONCATENATE("'",'Inverter-Full Data'!#REF!,"     ",'Inverter-Full Data'!#REF!,",",'Inverter-Full Data'!#REF!,",",'Inverter-Full Data'!#REF!,",",'Inverter-Full Data'!#REF!,"'")</f>
        <v>#REF!</v>
      </c>
    </row>
    <row r="473" spans="1:1">
      <c r="A473" s="2" t="e">
        <f>CONCATENATE("'",'Inverter-Full Data'!#REF!,"     ",'Inverter-Full Data'!#REF!,",",'Inverter-Full Data'!#REF!,",",'Inverter-Full Data'!#REF!,",",'Inverter-Full Data'!#REF!,"'")</f>
        <v>#REF!</v>
      </c>
    </row>
    <row r="474" spans="1:1">
      <c r="A474" s="2" t="e">
        <f>CONCATENATE("'",'Inverter-Full Data'!#REF!,"     ",'Inverter-Full Data'!#REF!,",",'Inverter-Full Data'!#REF!,",",'Inverter-Full Data'!#REF!,",",'Inverter-Full Data'!#REF!,"'")</f>
        <v>#REF!</v>
      </c>
    </row>
    <row r="475" spans="1:1">
      <c r="A475" s="2" t="e">
        <f>CONCATENATE("'",'Inverter-Full Data'!#REF!,"     ",'Inverter-Full Data'!#REF!,",",'Inverter-Full Data'!#REF!,",",'Inverter-Full Data'!#REF!,",",'Inverter-Full Data'!#REF!,"'")</f>
        <v>#REF!</v>
      </c>
    </row>
    <row r="476" spans="1:1">
      <c r="A476" s="2" t="e">
        <f>CONCATENATE("'",'Inverter-Full Data'!#REF!,"     ",'Inverter-Full Data'!#REF!,",",'Inverter-Full Data'!#REF!,",",'Inverter-Full Data'!#REF!,",",'Inverter-Full Data'!#REF!,"'")</f>
        <v>#REF!</v>
      </c>
    </row>
    <row r="477" spans="1:1">
      <c r="A477" s="2" t="e">
        <f>CONCATENATE("'",'Inverter-Full Data'!#REF!,"     ",'Inverter-Full Data'!#REF!,",",'Inverter-Full Data'!#REF!,",",'Inverter-Full Data'!#REF!,",",'Inverter-Full Data'!#REF!,"'")</f>
        <v>#REF!</v>
      </c>
    </row>
    <row r="478" spans="1:1">
      <c r="A478" s="2" t="e">
        <f>CONCATENATE("'",'Inverter-Full Data'!#REF!,"     ",'Inverter-Full Data'!#REF!,",",'Inverter-Full Data'!#REF!,",",'Inverter-Full Data'!#REF!,",",'Inverter-Full Data'!#REF!,"'")</f>
        <v>#REF!</v>
      </c>
    </row>
    <row r="479" spans="1:1">
      <c r="A479" s="2" t="e">
        <f>CONCATENATE("'",'Inverter-Full Data'!#REF!,"     ",'Inverter-Full Data'!#REF!,",",'Inverter-Full Data'!#REF!,",",'Inverter-Full Data'!#REF!,",",'Inverter-Full Data'!#REF!,"'")</f>
        <v>#REF!</v>
      </c>
    </row>
    <row r="480" spans="1:1">
      <c r="A480" s="2" t="e">
        <f>CONCATENATE("'",'Inverter-Full Data'!#REF!,"     ",'Inverter-Full Data'!#REF!,",",'Inverter-Full Data'!#REF!,",",'Inverter-Full Data'!#REF!,",",'Inverter-Full Data'!#REF!,"'")</f>
        <v>#REF!</v>
      </c>
    </row>
    <row r="481" spans="1:1">
      <c r="A481" s="2" t="e">
        <f>CONCATENATE("'",'Inverter-Full Data'!#REF!,"     ",'Inverter-Full Data'!#REF!,",",'Inverter-Full Data'!#REF!,",",'Inverter-Full Data'!#REF!,",",'Inverter-Full Data'!#REF!,"'")</f>
        <v>#REF!</v>
      </c>
    </row>
    <row r="482" spans="1:1">
      <c r="A482" s="2" t="e">
        <f>CONCATENATE("'",'Inverter-Full Data'!#REF!,"     ",'Inverter-Full Data'!#REF!,",",'Inverter-Full Data'!#REF!,",",'Inverter-Full Data'!#REF!,",",'Inverter-Full Data'!#REF!,"'")</f>
        <v>#REF!</v>
      </c>
    </row>
    <row r="483" spans="1:1">
      <c r="A483" s="2" t="e">
        <f>CONCATENATE("'",'Inverter-Full Data'!#REF!,"     ",'Inverter-Full Data'!#REF!,",",'Inverter-Full Data'!#REF!,",",'Inverter-Full Data'!#REF!,",",'Inverter-Full Data'!#REF!,"'")</f>
        <v>#REF!</v>
      </c>
    </row>
    <row r="484" spans="1:1">
      <c r="A484" s="2" t="e">
        <f>CONCATENATE("'",'Inverter-Full Data'!#REF!,"     ",'Inverter-Full Data'!#REF!,",",'Inverter-Full Data'!#REF!,",",'Inverter-Full Data'!#REF!,",",'Inverter-Full Data'!#REF!,"'")</f>
        <v>#REF!</v>
      </c>
    </row>
    <row r="485" spans="1:1">
      <c r="A485" s="2" t="e">
        <f>CONCATENATE("'",'Inverter-Full Data'!#REF!,"     ",'Inverter-Full Data'!#REF!,",",'Inverter-Full Data'!#REF!,",",'Inverter-Full Data'!#REF!,",",'Inverter-Full Data'!#REF!,"'")</f>
        <v>#REF!</v>
      </c>
    </row>
    <row r="486" spans="1:1">
      <c r="A486" s="2" t="e">
        <f>CONCATENATE("'",'Inverter-Full Data'!#REF!,"     ",'Inverter-Full Data'!#REF!,",",'Inverter-Full Data'!#REF!,",",'Inverter-Full Data'!#REF!,",",'Inverter-Full Data'!#REF!,"'")</f>
        <v>#REF!</v>
      </c>
    </row>
    <row r="487" spans="1:1">
      <c r="A487" s="2" t="e">
        <f>CONCATENATE("'",'Inverter-Full Data'!#REF!,"     ",'Inverter-Full Data'!#REF!,",",'Inverter-Full Data'!#REF!,",",'Inverter-Full Data'!#REF!,",",'Inverter-Full Data'!#REF!,"'")</f>
        <v>#REF!</v>
      </c>
    </row>
    <row r="488" spans="1:1">
      <c r="A488" s="2" t="e">
        <f>CONCATENATE("'",'Inverter-Full Data'!#REF!,"     ",'Inverter-Full Data'!#REF!,",",'Inverter-Full Data'!#REF!,",",'Inverter-Full Data'!#REF!,",",'Inverter-Full Data'!#REF!,"'")</f>
        <v>#REF!</v>
      </c>
    </row>
    <row r="489" spans="1:1">
      <c r="A489" s="2" t="e">
        <f>CONCATENATE("'",'Inverter-Full Data'!#REF!,"     ",'Inverter-Full Data'!#REF!,",",'Inverter-Full Data'!#REF!,",",'Inverter-Full Data'!#REF!,",",'Inverter-Full Data'!#REF!,"'")</f>
        <v>#REF!</v>
      </c>
    </row>
    <row r="490" spans="1:1">
      <c r="A490" s="2" t="e">
        <f>CONCATENATE("'",'Inverter-Full Data'!#REF!,"     ",'Inverter-Full Data'!#REF!,",",'Inverter-Full Data'!#REF!,",",'Inverter-Full Data'!#REF!,",",'Inverter-Full Data'!#REF!,"'")</f>
        <v>#REF!</v>
      </c>
    </row>
    <row r="491" spans="1:1">
      <c r="A491" s="2" t="e">
        <f>CONCATENATE("'",'Inverter-Full Data'!#REF!,"     ",'Inverter-Full Data'!#REF!,",",'Inverter-Full Data'!#REF!,",",'Inverter-Full Data'!#REF!,",",'Inverter-Full Data'!#REF!,"'")</f>
        <v>#REF!</v>
      </c>
    </row>
    <row r="492" spans="1:1">
      <c r="A492" s="2" t="e">
        <f>CONCATENATE("'",'Inverter-Full Data'!#REF!,"     ",'Inverter-Full Data'!#REF!,",",'Inverter-Full Data'!#REF!,",",'Inverter-Full Data'!#REF!,",",'Inverter-Full Data'!#REF!,"'")</f>
        <v>#REF!</v>
      </c>
    </row>
    <row r="493" spans="1:1">
      <c r="A493" s="2" t="e">
        <f>CONCATENATE("'",'Inverter-Full Data'!#REF!,"     ",'Inverter-Full Data'!#REF!,",",'Inverter-Full Data'!#REF!,",",'Inverter-Full Data'!#REF!,",",'Inverter-Full Data'!#REF!,"'")</f>
        <v>#REF!</v>
      </c>
    </row>
    <row r="494" spans="1:1">
      <c r="A494" s="2" t="e">
        <f>CONCATENATE("'",'Inverter-Full Data'!#REF!,"     ",'Inverter-Full Data'!#REF!,",",'Inverter-Full Data'!#REF!,",",'Inverter-Full Data'!#REF!,",",'Inverter-Full Data'!#REF!,"'")</f>
        <v>#REF!</v>
      </c>
    </row>
    <row r="495" spans="1:1">
      <c r="A495" s="2" t="e">
        <f>CONCATENATE("'",'Inverter-Full Data'!#REF!,"     ",'Inverter-Full Data'!#REF!,",",'Inverter-Full Data'!#REF!,",",'Inverter-Full Data'!#REF!,",",'Inverter-Full Data'!#REF!,"'")</f>
        <v>#REF!</v>
      </c>
    </row>
    <row r="496" spans="1:1">
      <c r="A496" s="2" t="e">
        <f>CONCATENATE("'",'Inverter-Full Data'!#REF!,"     ",'Inverter-Full Data'!#REF!,",",'Inverter-Full Data'!#REF!,",",'Inverter-Full Data'!#REF!,",",'Inverter-Full Data'!#REF!,"'")</f>
        <v>#REF!</v>
      </c>
    </row>
    <row r="497" spans="1:1">
      <c r="A497" s="2" t="e">
        <f>CONCATENATE("'",'Inverter-Full Data'!#REF!,"     ",'Inverter-Full Data'!#REF!,",",'Inverter-Full Data'!#REF!,",",'Inverter-Full Data'!#REF!,",",'Inverter-Full Data'!#REF!,"'")</f>
        <v>#REF!</v>
      </c>
    </row>
    <row r="498" spans="1:1">
      <c r="A498" s="2" t="e">
        <f>CONCATENATE("'",'Inverter-Full Data'!#REF!,"     ",'Inverter-Full Data'!#REF!,",",'Inverter-Full Data'!#REF!,",",'Inverter-Full Data'!#REF!,",",'Inverter-Full Data'!#REF!,"'")</f>
        <v>#REF!</v>
      </c>
    </row>
    <row r="499" spans="1:1">
      <c r="A499" s="2" t="e">
        <f>CONCATENATE("'",'Inverter-Full Data'!#REF!,"     ",'Inverter-Full Data'!#REF!,",",'Inverter-Full Data'!#REF!,",",'Inverter-Full Data'!#REF!,",",'Inverter-Full Data'!#REF!,"'")</f>
        <v>#REF!</v>
      </c>
    </row>
    <row r="500" spans="1:1">
      <c r="A500" s="2" t="e">
        <f>CONCATENATE("'",'Inverter-Full Data'!#REF!,"     ",'Inverter-Full Data'!#REF!,",",'Inverter-Full Data'!#REF!,",",'Inverter-Full Data'!#REF!,",",'Inverter-Full Data'!#REF!,"'")</f>
        <v>#REF!</v>
      </c>
    </row>
    <row r="501" spans="1:1">
      <c r="A501" s="2" t="e">
        <f>CONCATENATE("'",'Inverter-Full Data'!#REF!,"     ",'Inverter-Full Data'!#REF!,",",'Inverter-Full Data'!#REF!,",",'Inverter-Full Data'!#REF!,",",'Inverter-Full Data'!#REF!,"'")</f>
        <v>#REF!</v>
      </c>
    </row>
    <row r="502" spans="1:1">
      <c r="A502" s="2" t="e">
        <f>CONCATENATE("'",'Inverter-Full Data'!#REF!,"     ",'Inverter-Full Data'!#REF!,",",'Inverter-Full Data'!#REF!,",",'Inverter-Full Data'!#REF!,",",'Inverter-Full Data'!#REF!,"'")</f>
        <v>#REF!</v>
      </c>
    </row>
    <row r="503" spans="1:1">
      <c r="A503" s="2" t="e">
        <f>CONCATENATE("'",'Inverter-Full Data'!#REF!,"     ",'Inverter-Full Data'!#REF!,",",'Inverter-Full Data'!#REF!,",",'Inverter-Full Data'!#REF!,",",'Inverter-Full Data'!#REF!,"'")</f>
        <v>#REF!</v>
      </c>
    </row>
    <row r="504" spans="1:1">
      <c r="A504" s="2" t="e">
        <f>CONCATENATE("'",'Inverter-Full Data'!#REF!,"     ",'Inverter-Full Data'!#REF!,",",'Inverter-Full Data'!#REF!,",",'Inverter-Full Data'!#REF!,",",'Inverter-Full Data'!#REF!,"'")</f>
        <v>#REF!</v>
      </c>
    </row>
    <row r="505" spans="1:1">
      <c r="A505" s="2" t="e">
        <f>CONCATENATE("'",'Inverter-Full Data'!#REF!,"     ",'Inverter-Full Data'!#REF!,",",'Inverter-Full Data'!#REF!,",",'Inverter-Full Data'!#REF!,",",'Inverter-Full Data'!#REF!,"'")</f>
        <v>#REF!</v>
      </c>
    </row>
    <row r="506" spans="1:1">
      <c r="A506" s="2" t="e">
        <f>CONCATENATE("'",'Inverter-Full Data'!#REF!,"     ",'Inverter-Full Data'!#REF!,",",'Inverter-Full Data'!#REF!,",",'Inverter-Full Data'!#REF!,",",'Inverter-Full Data'!#REF!,"'")</f>
        <v>#REF!</v>
      </c>
    </row>
    <row r="507" spans="1:1">
      <c r="A507" s="2" t="e">
        <f>CONCATENATE("'",'Inverter-Full Data'!#REF!,"     ",'Inverter-Full Data'!#REF!,",",'Inverter-Full Data'!#REF!,",",'Inverter-Full Data'!#REF!,",",'Inverter-Full Data'!#REF!,"'")</f>
        <v>#REF!</v>
      </c>
    </row>
    <row r="508" spans="1:1">
      <c r="A508" s="2" t="e">
        <f>CONCATENATE("'",'Inverter-Full Data'!#REF!,"     ",'Inverter-Full Data'!#REF!,",",'Inverter-Full Data'!#REF!,",",'Inverter-Full Data'!#REF!,",",'Inverter-Full Data'!#REF!,"'")</f>
        <v>#REF!</v>
      </c>
    </row>
    <row r="509" spans="1:1">
      <c r="A509" s="2" t="e">
        <f>CONCATENATE("'",'Inverter-Full Data'!#REF!,"     ",'Inverter-Full Data'!#REF!,",",'Inverter-Full Data'!#REF!,",",'Inverter-Full Data'!#REF!,",",'Inverter-Full Data'!#REF!,"'")</f>
        <v>#REF!</v>
      </c>
    </row>
    <row r="510" spans="1:1">
      <c r="A510" s="2" t="e">
        <f>CONCATENATE("'",'Inverter-Full Data'!#REF!,"     ",'Inverter-Full Data'!#REF!,",",'Inverter-Full Data'!#REF!,",",'Inverter-Full Data'!#REF!,",",'Inverter-Full Data'!#REF!,"'")</f>
        <v>#REF!</v>
      </c>
    </row>
    <row r="511" spans="1:1">
      <c r="A511" s="2" t="e">
        <f>CONCATENATE("'",'Inverter-Full Data'!#REF!,"     ",'Inverter-Full Data'!#REF!,",",'Inverter-Full Data'!#REF!,",",'Inverter-Full Data'!#REF!,",",'Inverter-Full Data'!#REF!,"'")</f>
        <v>#REF!</v>
      </c>
    </row>
    <row r="512" spans="1:1">
      <c r="A512" s="2" t="e">
        <f>CONCATENATE("'",'Inverter-Full Data'!#REF!,"     ",'Inverter-Full Data'!#REF!,",",'Inverter-Full Data'!#REF!,",",'Inverter-Full Data'!#REF!,",",'Inverter-Full Data'!#REF!,"'")</f>
        <v>#REF!</v>
      </c>
    </row>
    <row r="513" spans="1:1">
      <c r="A513" s="2" t="e">
        <f>CONCATENATE("'",'Inverter-Full Data'!#REF!,"     ",'Inverter-Full Data'!#REF!,",",'Inverter-Full Data'!#REF!,",",'Inverter-Full Data'!#REF!,",",'Inverter-Full Data'!#REF!,"'")</f>
        <v>#REF!</v>
      </c>
    </row>
    <row r="514" spans="1:1">
      <c r="A514" s="2" t="e">
        <f>CONCATENATE("'",'Inverter-Full Data'!#REF!,"     ",'Inverter-Full Data'!#REF!,",",'Inverter-Full Data'!#REF!,",",'Inverter-Full Data'!#REF!,",",'Inverter-Full Data'!#REF!,"'")</f>
        <v>#REF!</v>
      </c>
    </row>
    <row r="515" spans="1:1">
      <c r="A515" s="2" t="e">
        <f>CONCATENATE("'",'Inverter-Full Data'!#REF!,"     ",'Inverter-Full Data'!#REF!,",",'Inverter-Full Data'!#REF!,",",'Inverter-Full Data'!#REF!,",",'Inverter-Full Data'!#REF!,"'")</f>
        <v>#REF!</v>
      </c>
    </row>
    <row r="516" spans="1:1">
      <c r="A516" s="2" t="e">
        <f>CONCATENATE("'",'Inverter-Full Data'!#REF!,"     ",'Inverter-Full Data'!#REF!,",",'Inverter-Full Data'!#REF!,",",'Inverter-Full Data'!#REF!,",",'Inverter-Full Data'!#REF!,"'")</f>
        <v>#REF!</v>
      </c>
    </row>
    <row r="517" spans="1:1">
      <c r="A517" s="2" t="e">
        <f>CONCATENATE("'",'Inverter-Full Data'!#REF!,"     ",'Inverter-Full Data'!#REF!,",",'Inverter-Full Data'!#REF!,",",'Inverter-Full Data'!#REF!,",",'Inverter-Full Data'!#REF!,"'")</f>
        <v>#REF!</v>
      </c>
    </row>
    <row r="518" spans="1:1">
      <c r="A518" s="2" t="e">
        <f>CONCATENATE("'",'Inverter-Full Data'!#REF!,"     ",'Inverter-Full Data'!#REF!,",",'Inverter-Full Data'!#REF!,",",'Inverter-Full Data'!#REF!,",",'Inverter-Full Data'!#REF!,"'")</f>
        <v>#REF!</v>
      </c>
    </row>
    <row r="519" spans="1:1">
      <c r="A519" s="2" t="e">
        <f>CONCATENATE("'",'Inverter-Full Data'!#REF!,"     ",'Inverter-Full Data'!#REF!,",",'Inverter-Full Data'!#REF!,",",'Inverter-Full Data'!#REF!,",",'Inverter-Full Data'!#REF!,"'")</f>
        <v>#REF!</v>
      </c>
    </row>
    <row r="520" spans="1:1">
      <c r="A520" s="2" t="e">
        <f>CONCATENATE("'",'Inverter-Full Data'!#REF!,"     ",'Inverter-Full Data'!#REF!,",",'Inverter-Full Data'!#REF!,",",'Inverter-Full Data'!#REF!,",",'Inverter-Full Data'!#REF!,"'")</f>
        <v>#REF!</v>
      </c>
    </row>
    <row r="521" spans="1:1">
      <c r="A521" s="2" t="e">
        <f>CONCATENATE("'",'Inverter-Full Data'!#REF!,"     ",'Inverter-Full Data'!#REF!,",",'Inverter-Full Data'!#REF!,",",'Inverter-Full Data'!#REF!,",",'Inverter-Full Data'!#REF!,"'")</f>
        <v>#REF!</v>
      </c>
    </row>
    <row r="522" spans="1:1">
      <c r="A522" s="2" t="e">
        <f>CONCATENATE("'",'Inverter-Full Data'!#REF!,"     ",'Inverter-Full Data'!#REF!,",",'Inverter-Full Data'!#REF!,",",'Inverter-Full Data'!#REF!,",",'Inverter-Full Data'!#REF!,"'")</f>
        <v>#REF!</v>
      </c>
    </row>
    <row r="523" spans="1:1">
      <c r="A523" s="2" t="e">
        <f>CONCATENATE("'",'Inverter-Full Data'!#REF!,"     ",'Inverter-Full Data'!#REF!,",",'Inverter-Full Data'!#REF!,",",'Inverter-Full Data'!#REF!,",",'Inverter-Full Data'!#REF!,"'")</f>
        <v>#REF!</v>
      </c>
    </row>
    <row r="524" spans="1:1">
      <c r="A524" s="2" t="e">
        <f>CONCATENATE("'",'Inverter-Full Data'!#REF!,"     ",'Inverter-Full Data'!#REF!,",",'Inverter-Full Data'!#REF!,",",'Inverter-Full Data'!#REF!,",",'Inverter-Full Data'!#REF!,"'")</f>
        <v>#REF!</v>
      </c>
    </row>
    <row r="525" spans="1:1">
      <c r="A525" s="2" t="e">
        <f>CONCATENATE("'",'Inverter-Full Data'!#REF!,"     ",'Inverter-Full Data'!#REF!,",",'Inverter-Full Data'!#REF!,",",'Inverter-Full Data'!#REF!,",",'Inverter-Full Data'!#REF!,"'")</f>
        <v>#REF!</v>
      </c>
    </row>
    <row r="526" spans="1:1">
      <c r="A526" s="2" t="e">
        <f>CONCATENATE("'",'Inverter-Full Data'!#REF!,"     ",'Inverter-Full Data'!#REF!,",",'Inverter-Full Data'!#REF!,",",'Inverter-Full Data'!#REF!,",",'Inverter-Full Data'!#REF!,"'")</f>
        <v>#REF!</v>
      </c>
    </row>
    <row r="527" spans="1:1">
      <c r="A527" s="2" t="e">
        <f>CONCATENATE("'",'Inverter-Full Data'!#REF!,"     ",'Inverter-Full Data'!#REF!,",",'Inverter-Full Data'!#REF!,",",'Inverter-Full Data'!#REF!,",",'Inverter-Full Data'!#REF!,"'")</f>
        <v>#REF!</v>
      </c>
    </row>
    <row r="528" spans="1:1">
      <c r="A528" s="2" t="e">
        <f>CONCATENATE("'",'Inverter-Full Data'!#REF!,"     ",'Inverter-Full Data'!#REF!,",",'Inverter-Full Data'!#REF!,",",'Inverter-Full Data'!#REF!,",",'Inverter-Full Data'!#REF!,"'")</f>
        <v>#REF!</v>
      </c>
    </row>
    <row r="529" spans="1:1">
      <c r="A529" s="2" t="e">
        <f>CONCATENATE("'",'Inverter-Full Data'!#REF!,"     ",'Inverter-Full Data'!#REF!,",",'Inverter-Full Data'!#REF!,",",'Inverter-Full Data'!#REF!,",",'Inverter-Full Data'!#REF!,"'")</f>
        <v>#REF!</v>
      </c>
    </row>
    <row r="530" spans="1:1">
      <c r="A530" s="2" t="e">
        <f>CONCATENATE("'",'Inverter-Full Data'!#REF!,"     ",'Inverter-Full Data'!#REF!,",",'Inverter-Full Data'!#REF!,",",'Inverter-Full Data'!#REF!,",",'Inverter-Full Data'!#REF!,"'")</f>
        <v>#REF!</v>
      </c>
    </row>
    <row r="531" spans="1:1">
      <c r="A531" s="2" t="e">
        <f>CONCATENATE("'",'Inverter-Full Data'!#REF!,"     ",'Inverter-Full Data'!#REF!,",",'Inverter-Full Data'!#REF!,",",'Inverter-Full Data'!#REF!,",",'Inverter-Full Data'!#REF!,"'")</f>
        <v>#REF!</v>
      </c>
    </row>
    <row r="532" spans="1:1">
      <c r="A532" s="2" t="e">
        <f>CONCATENATE("'",'Inverter-Full Data'!#REF!,"     ",'Inverter-Full Data'!#REF!,",",'Inverter-Full Data'!#REF!,",",'Inverter-Full Data'!#REF!,",",'Inverter-Full Data'!#REF!,"'")</f>
        <v>#REF!</v>
      </c>
    </row>
    <row r="533" spans="1:1">
      <c r="A533" s="2" t="e">
        <f>CONCATENATE("'",'Inverter-Full Data'!#REF!,"     ",'Inverter-Full Data'!#REF!,",",'Inverter-Full Data'!#REF!,",",'Inverter-Full Data'!#REF!,",",'Inverter-Full Data'!#REF!,"'")</f>
        <v>#REF!</v>
      </c>
    </row>
    <row r="534" spans="1:1">
      <c r="A534" s="2" t="e">
        <f>CONCATENATE("'",'Inverter-Full Data'!#REF!,"     ",'Inverter-Full Data'!#REF!,",",'Inverter-Full Data'!#REF!,",",'Inverter-Full Data'!#REF!,",",'Inverter-Full Data'!#REF!,"'")</f>
        <v>#REF!</v>
      </c>
    </row>
    <row r="535" spans="1:1">
      <c r="A535" s="2" t="e">
        <f>CONCATENATE("'",'Inverter-Full Data'!#REF!,"     ",'Inverter-Full Data'!#REF!,",",'Inverter-Full Data'!#REF!,",",'Inverter-Full Data'!#REF!,",",'Inverter-Full Data'!#REF!,"'")</f>
        <v>#REF!</v>
      </c>
    </row>
    <row r="536" spans="1:1">
      <c r="A536" s="2" t="e">
        <f>CONCATENATE("'",'Inverter-Full Data'!#REF!,"     ",'Inverter-Full Data'!#REF!,",",'Inverter-Full Data'!#REF!,",",'Inverter-Full Data'!#REF!,",",'Inverter-Full Data'!#REF!,"'")</f>
        <v>#REF!</v>
      </c>
    </row>
    <row r="537" spans="1:1">
      <c r="A537" s="2" t="e">
        <f>CONCATENATE("'",'Inverter-Full Data'!#REF!,"     ",'Inverter-Full Data'!#REF!,",",'Inverter-Full Data'!#REF!,",",'Inverter-Full Data'!#REF!,",",'Inverter-Full Data'!#REF!,"'")</f>
        <v>#REF!</v>
      </c>
    </row>
    <row r="538" spans="1:1">
      <c r="A538" s="2" t="e">
        <f>CONCATENATE("'",'Inverter-Full Data'!#REF!,"     ",'Inverter-Full Data'!#REF!,",",'Inverter-Full Data'!#REF!,",",'Inverter-Full Data'!#REF!,",",'Inverter-Full Data'!#REF!,"'")</f>
        <v>#REF!</v>
      </c>
    </row>
    <row r="539" spans="1:1">
      <c r="A539" s="2" t="e">
        <f>CONCATENATE("'",'Inverter-Full Data'!#REF!,"     ",'Inverter-Full Data'!#REF!,",",'Inverter-Full Data'!#REF!,",",'Inverter-Full Data'!#REF!,",",'Inverter-Full Data'!#REF!,"'")</f>
        <v>#REF!</v>
      </c>
    </row>
    <row r="540" spans="1:1">
      <c r="A540" s="2" t="e">
        <f>CONCATENATE("'",'Inverter-Full Data'!#REF!,"     ",'Inverter-Full Data'!#REF!,",",'Inverter-Full Data'!#REF!,",",'Inverter-Full Data'!#REF!,",",'Inverter-Full Data'!#REF!,"'")</f>
        <v>#REF!</v>
      </c>
    </row>
    <row r="541" spans="1:1">
      <c r="A541" s="2" t="e">
        <f>CONCATENATE("'",'Inverter-Full Data'!#REF!,"     ",'Inverter-Full Data'!#REF!,",",'Inverter-Full Data'!#REF!,",",'Inverter-Full Data'!#REF!,",",'Inverter-Full Data'!#REF!,"'")</f>
        <v>#REF!</v>
      </c>
    </row>
    <row r="542" spans="1:1">
      <c r="A542" s="2" t="e">
        <f>CONCATENATE("'",'Inverter-Full Data'!#REF!,"     ",'Inverter-Full Data'!#REF!,",",'Inverter-Full Data'!#REF!,",",'Inverter-Full Data'!#REF!,",",'Inverter-Full Data'!#REF!,"'")</f>
        <v>#REF!</v>
      </c>
    </row>
    <row r="543" spans="1:1">
      <c r="A543" s="2" t="e">
        <f>CONCATENATE("'",'Inverter-Full Data'!#REF!,"     ",'Inverter-Full Data'!#REF!,",",'Inverter-Full Data'!#REF!,",",'Inverter-Full Data'!#REF!,",",'Inverter-Full Data'!#REF!,"'")</f>
        <v>#REF!</v>
      </c>
    </row>
    <row r="544" spans="1:1">
      <c r="A544" s="2" t="e">
        <f>CONCATENATE("'",'Inverter-Full Data'!#REF!,"     ",'Inverter-Full Data'!#REF!,",",'Inverter-Full Data'!#REF!,",",'Inverter-Full Data'!#REF!,",",'Inverter-Full Data'!#REF!,"'")</f>
        <v>#REF!</v>
      </c>
    </row>
    <row r="545" spans="1:1">
      <c r="A545" s="2" t="e">
        <f>CONCATENATE("'",'Inverter-Full Data'!#REF!,"     ",'Inverter-Full Data'!#REF!,",",'Inverter-Full Data'!#REF!,",",'Inverter-Full Data'!#REF!,",",'Inverter-Full Data'!#REF!,"'")</f>
        <v>#REF!</v>
      </c>
    </row>
    <row r="546" spans="1:1">
      <c r="A546" s="2" t="e">
        <f>CONCATENATE("'",'Inverter-Full Data'!#REF!,"     ",'Inverter-Full Data'!#REF!,",",'Inverter-Full Data'!#REF!,",",'Inverter-Full Data'!#REF!,",",'Inverter-Full Data'!#REF!,"'")</f>
        <v>#REF!</v>
      </c>
    </row>
    <row r="547" spans="1:1">
      <c r="A547" s="2" t="e">
        <f>CONCATENATE("'",'Inverter-Full Data'!#REF!,"     ",'Inverter-Full Data'!#REF!,",",'Inverter-Full Data'!#REF!,",",'Inverter-Full Data'!#REF!,",",'Inverter-Full Data'!#REF!,"'")</f>
        <v>#REF!</v>
      </c>
    </row>
    <row r="548" spans="1:1">
      <c r="A548" s="2" t="e">
        <f>CONCATENATE("'",'Inverter-Full Data'!#REF!,"     ",'Inverter-Full Data'!#REF!,",",'Inverter-Full Data'!#REF!,",",'Inverter-Full Data'!#REF!,",",'Inverter-Full Data'!#REF!,"'")</f>
        <v>#REF!</v>
      </c>
    </row>
    <row r="549" spans="1:1">
      <c r="A549" s="2" t="e">
        <f>CONCATENATE("'",'Inverter-Full Data'!#REF!,"     ",'Inverter-Full Data'!#REF!,",",'Inverter-Full Data'!#REF!,",",'Inverter-Full Data'!#REF!,",",'Inverter-Full Data'!#REF!,"'")</f>
        <v>#REF!</v>
      </c>
    </row>
    <row r="550" spans="1:1">
      <c r="A550" s="2" t="e">
        <f>CONCATENATE("'",'Inverter-Full Data'!#REF!,"     ",'Inverter-Full Data'!#REF!,",",'Inverter-Full Data'!#REF!,",",'Inverter-Full Data'!#REF!,",",'Inverter-Full Data'!#REF!,"'")</f>
        <v>#REF!</v>
      </c>
    </row>
    <row r="551" spans="1:1">
      <c r="A551" s="2" t="str">
        <f>CONCATENATE("'",'Inverter-Full Data'!A129,"     ",'Inverter-Full Data'!B129,",",'Inverter-Full Data'!S129,",",'Inverter-Full Data'!J129,",",'Inverter-Full Data'!T129,"'")</f>
        <v>'ABB     UNO-DM-6.0-TL-PLUS-US-S-XRA [240V],Y,97,N'</v>
      </c>
    </row>
    <row r="552" spans="1:1">
      <c r="A552" s="2" t="e">
        <f>CONCATENATE("'",'Inverter-Full Data'!#REF!,"     ",'Inverter-Full Data'!#REF!,",",'Inverter-Full Data'!#REF!,",",'Inverter-Full Data'!#REF!,",",'Inverter-Full Data'!#REF!,"'")</f>
        <v>#REF!</v>
      </c>
    </row>
    <row r="553" spans="1:1">
      <c r="A553" s="2" t="e">
        <f>CONCATENATE("'",'Inverter-Full Data'!#REF!,"     ",'Inverter-Full Data'!#REF!,",",'Inverter-Full Data'!#REF!,",",'Inverter-Full Data'!#REF!,",",'Inverter-Full Data'!#REF!,"'")</f>
        <v>#REF!</v>
      </c>
    </row>
    <row r="554" spans="1:1">
      <c r="A554" s="2" t="e">
        <f>CONCATENATE("'",'Inverter-Full Data'!#REF!,"     ",'Inverter-Full Data'!#REF!,",",'Inverter-Full Data'!#REF!,",",'Inverter-Full Data'!#REF!,",",'Inverter-Full Data'!#REF!,"'")</f>
        <v>#REF!</v>
      </c>
    </row>
    <row r="555" spans="1:1">
      <c r="A555" s="2" t="e">
        <f>CONCATENATE("'",'Inverter-Full Data'!#REF!,"     ",'Inverter-Full Data'!#REF!,",",'Inverter-Full Data'!#REF!,",",'Inverter-Full Data'!#REF!,",",'Inverter-Full Data'!#REF!,"'")</f>
        <v>#REF!</v>
      </c>
    </row>
    <row r="556" spans="1:1">
      <c r="A556" s="2" t="e">
        <f>CONCATENATE("'",'Inverter-Full Data'!#REF!,"     ",'Inverter-Full Data'!#REF!,",",'Inverter-Full Data'!#REF!,",",'Inverter-Full Data'!#REF!,",",'Inverter-Full Data'!#REF!,"'")</f>
        <v>#REF!</v>
      </c>
    </row>
    <row r="557" spans="1:1">
      <c r="A557" s="2" t="e">
        <f>CONCATENATE("'",'Inverter-Full Data'!#REF!,"     ",'Inverter-Full Data'!#REF!,",",'Inverter-Full Data'!#REF!,",",'Inverter-Full Data'!#REF!,",",'Inverter-Full Data'!#REF!,"'")</f>
        <v>#REF!</v>
      </c>
    </row>
    <row r="558" spans="1:1">
      <c r="A558" s="2" t="e">
        <f>CONCATENATE("'",'Inverter-Full Data'!#REF!,"     ",'Inverter-Full Data'!#REF!,",",'Inverter-Full Data'!#REF!,",",'Inverter-Full Data'!#REF!,",",'Inverter-Full Data'!#REF!,"'")</f>
        <v>#REF!</v>
      </c>
    </row>
    <row r="559" spans="1:1">
      <c r="A559" s="2" t="e">
        <f>CONCATENATE("'",'Inverter-Full Data'!#REF!,"     ",'Inverter-Full Data'!#REF!,",",'Inverter-Full Data'!#REF!,",",'Inverter-Full Data'!#REF!,",",'Inverter-Full Data'!#REF!,"'")</f>
        <v>#REF!</v>
      </c>
    </row>
    <row r="560" spans="1:1">
      <c r="A560" s="2" t="e">
        <f>CONCATENATE("'",'Inverter-Full Data'!#REF!,"     ",'Inverter-Full Data'!#REF!,",",'Inverter-Full Data'!#REF!,",",'Inverter-Full Data'!#REF!,",",'Inverter-Full Data'!#REF!,"'")</f>
        <v>#REF!</v>
      </c>
    </row>
    <row r="561" spans="1:1">
      <c r="A561" s="2" t="e">
        <f>CONCATENATE("'",'Inverter-Full Data'!#REF!,"     ",'Inverter-Full Data'!#REF!,",",'Inverter-Full Data'!#REF!,",",'Inverter-Full Data'!#REF!,",",'Inverter-Full Data'!#REF!,"'")</f>
        <v>#REF!</v>
      </c>
    </row>
    <row r="562" spans="1:1">
      <c r="A562" s="2" t="e">
        <f>CONCATENATE("'",'Inverter-Full Data'!#REF!,"     ",'Inverter-Full Data'!#REF!,",",'Inverter-Full Data'!#REF!,",",'Inverter-Full Data'!#REF!,",",'Inverter-Full Data'!#REF!,"'")</f>
        <v>#REF!</v>
      </c>
    </row>
    <row r="563" spans="1:1">
      <c r="A563" s="2" t="e">
        <f>CONCATENATE("'",'Inverter-Full Data'!#REF!,"     ",'Inverter-Full Data'!#REF!,",",'Inverter-Full Data'!#REF!,",",'Inverter-Full Data'!#REF!,",",'Inverter-Full Data'!#REF!,"'")</f>
        <v>#REF!</v>
      </c>
    </row>
    <row r="564" spans="1:1">
      <c r="A564" s="2" t="e">
        <f>CONCATENATE("'",'Inverter-Full Data'!#REF!,"     ",'Inverter-Full Data'!#REF!,",",'Inverter-Full Data'!#REF!,",",'Inverter-Full Data'!#REF!,",",'Inverter-Full Data'!#REF!,"'")</f>
        <v>#REF!</v>
      </c>
    </row>
    <row r="565" spans="1:1">
      <c r="A565" s="2" t="e">
        <f>CONCATENATE("'",'Inverter-Full Data'!#REF!,"     ",'Inverter-Full Data'!#REF!,",",'Inverter-Full Data'!#REF!,",",'Inverter-Full Data'!#REF!,",",'Inverter-Full Data'!#REF!,"'")</f>
        <v>#REF!</v>
      </c>
    </row>
    <row r="566" spans="1:1">
      <c r="A566" s="2" t="e">
        <f>CONCATENATE("'",'Inverter-Full Data'!#REF!,"     ",'Inverter-Full Data'!#REF!,",",'Inverter-Full Data'!#REF!,",",'Inverter-Full Data'!#REF!,",",'Inverter-Full Data'!#REF!,"'")</f>
        <v>#REF!</v>
      </c>
    </row>
    <row r="567" spans="1:1">
      <c r="A567" s="2" t="e">
        <f>CONCATENATE("'",'Inverter-Full Data'!#REF!,"     ",'Inverter-Full Data'!#REF!,",",'Inverter-Full Data'!#REF!,",",'Inverter-Full Data'!#REF!,",",'Inverter-Full Data'!#REF!,"'")</f>
        <v>#REF!</v>
      </c>
    </row>
    <row r="568" spans="1:1">
      <c r="A568" s="2" t="e">
        <f>CONCATENATE("'",'Inverter-Full Data'!#REF!,"     ",'Inverter-Full Data'!#REF!,",",'Inverter-Full Data'!#REF!,",",'Inverter-Full Data'!#REF!,",",'Inverter-Full Data'!#REF!,"'")</f>
        <v>#REF!</v>
      </c>
    </row>
    <row r="569" spans="1:1">
      <c r="A569" s="2" t="e">
        <f>CONCATENATE("'",'Inverter-Full Data'!#REF!,"     ",'Inverter-Full Data'!#REF!,",",'Inverter-Full Data'!#REF!,",",'Inverter-Full Data'!#REF!,",",'Inverter-Full Data'!#REF!,"'")</f>
        <v>#REF!</v>
      </c>
    </row>
    <row r="570" spans="1:1">
      <c r="A570" s="2" t="e">
        <f>CONCATENATE("'",'Inverter-Full Data'!#REF!,"     ",'Inverter-Full Data'!#REF!,",",'Inverter-Full Data'!#REF!,",",'Inverter-Full Data'!#REF!,",",'Inverter-Full Data'!#REF!,"'")</f>
        <v>#REF!</v>
      </c>
    </row>
    <row r="571" spans="1:1">
      <c r="A571" s="2" t="e">
        <f>CONCATENATE("'",'Inverter-Full Data'!#REF!,"     ",'Inverter-Full Data'!#REF!,",",'Inverter-Full Data'!#REF!,",",'Inverter-Full Data'!#REF!,",",'Inverter-Full Data'!#REF!,"'")</f>
        <v>#REF!</v>
      </c>
    </row>
    <row r="572" spans="1:1">
      <c r="A572" s="2" t="e">
        <f>CONCATENATE("'",'Inverter-Full Data'!#REF!,"     ",'Inverter-Full Data'!#REF!,",",'Inverter-Full Data'!#REF!,",",'Inverter-Full Data'!#REF!,",",'Inverter-Full Data'!#REF!,"'")</f>
        <v>#REF!</v>
      </c>
    </row>
    <row r="573" spans="1:1">
      <c r="A573" s="2" t="e">
        <f>CONCATENATE("'",'Inverter-Full Data'!#REF!,"     ",'Inverter-Full Data'!#REF!,",",'Inverter-Full Data'!#REF!,",",'Inverter-Full Data'!#REF!,",",'Inverter-Full Data'!#REF!,"'")</f>
        <v>#REF!</v>
      </c>
    </row>
    <row r="574" spans="1:1">
      <c r="A574" s="2" t="e">
        <f>CONCATENATE("'",'Inverter-Full Data'!#REF!,"     ",'Inverter-Full Data'!#REF!,",",'Inverter-Full Data'!#REF!,",",'Inverter-Full Data'!#REF!,",",'Inverter-Full Data'!#REF!,"'")</f>
        <v>#REF!</v>
      </c>
    </row>
    <row r="575" spans="1:1">
      <c r="A575" s="2" t="e">
        <f>CONCATENATE("'",'Inverter-Full Data'!#REF!,"     ",'Inverter-Full Data'!#REF!,",",'Inverter-Full Data'!#REF!,",",'Inverter-Full Data'!#REF!,",",'Inverter-Full Data'!#REF!,"'")</f>
        <v>#REF!</v>
      </c>
    </row>
    <row r="576" spans="1:1">
      <c r="A576" s="2" t="e">
        <f>CONCATENATE("'",'Inverter-Full Data'!#REF!,"     ",'Inverter-Full Data'!#REF!,",",'Inverter-Full Data'!#REF!,",",'Inverter-Full Data'!#REF!,",",'Inverter-Full Data'!#REF!,"'")</f>
        <v>#REF!</v>
      </c>
    </row>
    <row r="577" spans="1:1">
      <c r="A577" s="2" t="e">
        <f>CONCATENATE("'",'Inverter-Full Data'!#REF!,"     ",'Inverter-Full Data'!#REF!,",",'Inverter-Full Data'!#REF!,",",'Inverter-Full Data'!#REF!,",",'Inverter-Full Data'!#REF!,"'")</f>
        <v>#REF!</v>
      </c>
    </row>
    <row r="578" spans="1:1">
      <c r="A578" s="2" t="e">
        <f>CONCATENATE("'",'Inverter-Full Data'!#REF!,"     ",'Inverter-Full Data'!#REF!,",",'Inverter-Full Data'!#REF!,",",'Inverter-Full Data'!#REF!,",",'Inverter-Full Data'!#REF!,"'")</f>
        <v>#REF!</v>
      </c>
    </row>
    <row r="579" spans="1:1">
      <c r="A579" s="2" t="e">
        <f>CONCATENATE("'",'Inverter-Full Data'!#REF!,"     ",'Inverter-Full Data'!#REF!,",",'Inverter-Full Data'!#REF!,",",'Inverter-Full Data'!#REF!,",",'Inverter-Full Data'!#REF!,"'")</f>
        <v>#REF!</v>
      </c>
    </row>
    <row r="580" spans="1:1">
      <c r="A580" s="2" t="e">
        <f>CONCATENATE("'",'Inverter-Full Data'!#REF!,"     ",'Inverter-Full Data'!#REF!,",",'Inverter-Full Data'!#REF!,",",'Inverter-Full Data'!#REF!,",",'Inverter-Full Data'!#REF!,"'")</f>
        <v>#REF!</v>
      </c>
    </row>
    <row r="581" spans="1:1">
      <c r="A581" s="2" t="e">
        <f>CONCATENATE("'",'Inverter-Full Data'!#REF!,"     ",'Inverter-Full Data'!#REF!,",",'Inverter-Full Data'!#REF!,",",'Inverter-Full Data'!#REF!,",",'Inverter-Full Data'!#REF!,"'")</f>
        <v>#REF!</v>
      </c>
    </row>
    <row r="582" spans="1:1">
      <c r="A582" s="2" t="e">
        <f>CONCATENATE("'",'Inverter-Full Data'!#REF!,"     ",'Inverter-Full Data'!#REF!,",",'Inverter-Full Data'!#REF!,",",'Inverter-Full Data'!#REF!,",",'Inverter-Full Data'!#REF!,"'")</f>
        <v>#REF!</v>
      </c>
    </row>
    <row r="583" spans="1:1">
      <c r="A583" s="2" t="e">
        <f>CONCATENATE("'",'Inverter-Full Data'!#REF!,"     ",'Inverter-Full Data'!#REF!,",",'Inverter-Full Data'!#REF!,",",'Inverter-Full Data'!#REF!,",",'Inverter-Full Data'!#REF!,"'")</f>
        <v>#REF!</v>
      </c>
    </row>
    <row r="584" spans="1:1">
      <c r="A584" s="2" t="e">
        <f>CONCATENATE("'",'Inverter-Full Data'!#REF!,"     ",'Inverter-Full Data'!#REF!,",",'Inverter-Full Data'!#REF!,",",'Inverter-Full Data'!#REF!,",",'Inverter-Full Data'!#REF!,"'")</f>
        <v>#REF!</v>
      </c>
    </row>
    <row r="585" spans="1:1">
      <c r="A585" s="2" t="e">
        <f>CONCATENATE("'",'Inverter-Full Data'!#REF!,"     ",'Inverter-Full Data'!#REF!,",",'Inverter-Full Data'!#REF!,",",'Inverter-Full Data'!#REF!,",",'Inverter-Full Data'!#REF!,"'")</f>
        <v>#REF!</v>
      </c>
    </row>
    <row r="586" spans="1:1">
      <c r="A586" s="2" t="e">
        <f>CONCATENATE("'",'Inverter-Full Data'!#REF!,"     ",'Inverter-Full Data'!#REF!,",",'Inverter-Full Data'!#REF!,",",'Inverter-Full Data'!#REF!,",",'Inverter-Full Data'!#REF!,"'")</f>
        <v>#REF!</v>
      </c>
    </row>
    <row r="587" spans="1:1">
      <c r="A587" s="2" t="e">
        <f>CONCATENATE("'",'Inverter-Full Data'!#REF!,"     ",'Inverter-Full Data'!#REF!,",",'Inverter-Full Data'!#REF!,",",'Inverter-Full Data'!#REF!,",",'Inverter-Full Data'!#REF!,"'")</f>
        <v>#REF!</v>
      </c>
    </row>
    <row r="588" spans="1:1">
      <c r="A588" s="2" t="e">
        <f>CONCATENATE("'",'Inverter-Full Data'!#REF!,"     ",'Inverter-Full Data'!#REF!,",",'Inverter-Full Data'!#REF!,",",'Inverter-Full Data'!#REF!,",",'Inverter-Full Data'!#REF!,"'")</f>
        <v>#REF!</v>
      </c>
    </row>
    <row r="589" spans="1:1">
      <c r="A589" s="2" t="e">
        <f>CONCATENATE("'",'Inverter-Full Data'!#REF!,"     ",'Inverter-Full Data'!#REF!,",",'Inverter-Full Data'!#REF!,",",'Inverter-Full Data'!#REF!,",",'Inverter-Full Data'!#REF!,"'")</f>
        <v>#REF!</v>
      </c>
    </row>
    <row r="590" spans="1:1">
      <c r="A590" s="2" t="e">
        <f>CONCATENATE("'",'Inverter-Full Data'!#REF!,"     ",'Inverter-Full Data'!#REF!,",",'Inverter-Full Data'!#REF!,",",'Inverter-Full Data'!#REF!,",",'Inverter-Full Data'!#REF!,"'")</f>
        <v>#REF!</v>
      </c>
    </row>
    <row r="591" spans="1:1">
      <c r="A591" s="2" t="e">
        <f>CONCATENATE("'",'Inverter-Full Data'!#REF!,"     ",'Inverter-Full Data'!#REF!,",",'Inverter-Full Data'!#REF!,",",'Inverter-Full Data'!#REF!,",",'Inverter-Full Data'!#REF!,"'")</f>
        <v>#REF!</v>
      </c>
    </row>
    <row r="592" spans="1:1">
      <c r="A592" s="2" t="e">
        <f>CONCATENATE("'",'Inverter-Full Data'!#REF!,"     ",'Inverter-Full Data'!#REF!,",",'Inverter-Full Data'!#REF!,",",'Inverter-Full Data'!#REF!,",",'Inverter-Full Data'!#REF!,"'")</f>
        <v>#REF!</v>
      </c>
    </row>
    <row r="593" spans="1:1">
      <c r="A593" s="2" t="e">
        <f>CONCATENATE("'",'Inverter-Full Data'!#REF!,"     ",'Inverter-Full Data'!#REF!,",",'Inverter-Full Data'!#REF!,",",'Inverter-Full Data'!#REF!,",",'Inverter-Full Data'!#REF!,"'")</f>
        <v>#REF!</v>
      </c>
    </row>
    <row r="594" spans="1:1">
      <c r="A594" s="2" t="e">
        <f>CONCATENATE("'",'Inverter-Full Data'!#REF!,"     ",'Inverter-Full Data'!#REF!,",",'Inverter-Full Data'!#REF!,",",'Inverter-Full Data'!#REF!,",",'Inverter-Full Data'!#REF!,"'")</f>
        <v>#REF!</v>
      </c>
    </row>
    <row r="595" spans="1:1">
      <c r="A595" s="2" t="e">
        <f>CONCATENATE("'",'Inverter-Full Data'!#REF!,"     ",'Inverter-Full Data'!#REF!,",",'Inverter-Full Data'!#REF!,",",'Inverter-Full Data'!#REF!,",",'Inverter-Full Data'!#REF!,"'")</f>
        <v>#REF!</v>
      </c>
    </row>
    <row r="596" spans="1:1">
      <c r="A596" s="2" t="e">
        <f>CONCATENATE("'",'Inverter-Full Data'!#REF!,"     ",'Inverter-Full Data'!#REF!,",",'Inverter-Full Data'!#REF!,",",'Inverter-Full Data'!#REF!,",",'Inverter-Full Data'!#REF!,"'")</f>
        <v>#REF!</v>
      </c>
    </row>
    <row r="597" spans="1:1">
      <c r="A597" s="2" t="e">
        <f>CONCATENATE("'",'Inverter-Full Data'!#REF!,"     ",'Inverter-Full Data'!#REF!,",",'Inverter-Full Data'!#REF!,",",'Inverter-Full Data'!#REF!,",",'Inverter-Full Data'!#REF!,"'")</f>
        <v>#REF!</v>
      </c>
    </row>
    <row r="598" spans="1:1">
      <c r="A598" s="2" t="e">
        <f>CONCATENATE("'",'Inverter-Full Data'!#REF!,"     ",'Inverter-Full Data'!#REF!,",",'Inverter-Full Data'!#REF!,",",'Inverter-Full Data'!#REF!,",",'Inverter-Full Data'!#REF!,"'")</f>
        <v>#REF!</v>
      </c>
    </row>
    <row r="599" spans="1:1">
      <c r="A599" s="2" t="e">
        <f>CONCATENATE("'",'Inverter-Full Data'!#REF!,"     ",'Inverter-Full Data'!#REF!,",",'Inverter-Full Data'!#REF!,",",'Inverter-Full Data'!#REF!,",",'Inverter-Full Data'!#REF!,"'")</f>
        <v>#REF!</v>
      </c>
    </row>
    <row r="600" spans="1:1">
      <c r="A600" s="2" t="e">
        <f>CONCATENATE("'",'Inverter-Full Data'!#REF!,"     ",'Inverter-Full Data'!#REF!,",",'Inverter-Full Data'!#REF!,",",'Inverter-Full Data'!#REF!,",",'Inverter-Full Data'!#REF!,"'")</f>
        <v>#REF!</v>
      </c>
    </row>
    <row r="601" spans="1:1">
      <c r="A601" s="2" t="e">
        <f>CONCATENATE("'",'Inverter-Full Data'!#REF!,"     ",'Inverter-Full Data'!#REF!,",",'Inverter-Full Data'!#REF!,",",'Inverter-Full Data'!#REF!,",",'Inverter-Full Data'!#REF!,"'")</f>
        <v>#REF!</v>
      </c>
    </row>
    <row r="602" spans="1:1">
      <c r="A602" s="2" t="e">
        <f>CONCATENATE("'",'Inverter-Full Data'!#REF!,"     ",'Inverter-Full Data'!#REF!,",",'Inverter-Full Data'!#REF!,",",'Inverter-Full Data'!#REF!,",",'Inverter-Full Data'!#REF!,"'")</f>
        <v>#REF!</v>
      </c>
    </row>
    <row r="603" spans="1:1">
      <c r="A603" s="2" t="e">
        <f>CONCATENATE("'",'Inverter-Full Data'!#REF!,"     ",'Inverter-Full Data'!#REF!,",",'Inverter-Full Data'!#REF!,",",'Inverter-Full Data'!#REF!,",",'Inverter-Full Data'!#REF!,"'")</f>
        <v>#REF!</v>
      </c>
    </row>
    <row r="604" spans="1:1">
      <c r="A604" s="2" t="e">
        <f>CONCATENATE("'",'Inverter-Full Data'!#REF!,"     ",'Inverter-Full Data'!#REF!,",",'Inverter-Full Data'!#REF!,",",'Inverter-Full Data'!#REF!,",",'Inverter-Full Data'!#REF!,"'")</f>
        <v>#REF!</v>
      </c>
    </row>
    <row r="605" spans="1:1">
      <c r="A605" s="2" t="e">
        <f>CONCATENATE("'",'Inverter-Full Data'!#REF!,"     ",'Inverter-Full Data'!#REF!,",",'Inverter-Full Data'!#REF!,",",'Inverter-Full Data'!#REF!,",",'Inverter-Full Data'!#REF!,"'")</f>
        <v>#REF!</v>
      </c>
    </row>
    <row r="606" spans="1:1">
      <c r="A606" s="2" t="e">
        <f>CONCATENATE("'",'Inverter-Full Data'!#REF!,"     ",'Inverter-Full Data'!#REF!,",",'Inverter-Full Data'!#REF!,",",'Inverter-Full Data'!#REF!,",",'Inverter-Full Data'!#REF!,"'")</f>
        <v>#REF!</v>
      </c>
    </row>
    <row r="607" spans="1:1">
      <c r="A607" s="2" t="e">
        <f>CONCATENATE("'",'Inverter-Full Data'!#REF!,"     ",'Inverter-Full Data'!#REF!,",",'Inverter-Full Data'!#REF!,",",'Inverter-Full Data'!#REF!,",",'Inverter-Full Data'!#REF!,"'")</f>
        <v>#REF!</v>
      </c>
    </row>
    <row r="608" spans="1:1">
      <c r="A608" s="2" t="e">
        <f>CONCATENATE("'",'Inverter-Full Data'!#REF!,"     ",'Inverter-Full Data'!#REF!,",",'Inverter-Full Data'!#REF!,",",'Inverter-Full Data'!#REF!,",",'Inverter-Full Data'!#REF!,"'")</f>
        <v>#REF!</v>
      </c>
    </row>
    <row r="609" spans="1:1">
      <c r="A609" s="2" t="e">
        <f>CONCATENATE("'",'Inverter-Full Data'!#REF!,"     ",'Inverter-Full Data'!#REF!,",",'Inverter-Full Data'!#REF!,",",'Inverter-Full Data'!#REF!,",",'Inverter-Full Data'!#REF!,"'")</f>
        <v>#REF!</v>
      </c>
    </row>
    <row r="610" spans="1:1">
      <c r="A610" s="2" t="e">
        <f>CONCATENATE("'",'Inverter-Full Data'!#REF!,"     ",'Inverter-Full Data'!#REF!,",",'Inverter-Full Data'!#REF!,",",'Inverter-Full Data'!#REF!,",",'Inverter-Full Data'!#REF!,"'")</f>
        <v>#REF!</v>
      </c>
    </row>
    <row r="611" spans="1:1">
      <c r="A611" s="2" t="e">
        <f>CONCATENATE("'",'Inverter-Full Data'!#REF!,"     ",'Inverter-Full Data'!#REF!,",",'Inverter-Full Data'!#REF!,",",'Inverter-Full Data'!#REF!,",",'Inverter-Full Data'!#REF!,"'")</f>
        <v>#REF!</v>
      </c>
    </row>
    <row r="612" spans="1:1">
      <c r="A612" s="2" t="e">
        <f>CONCATENATE("'",'Inverter-Full Data'!#REF!,"     ",'Inverter-Full Data'!#REF!,",",'Inverter-Full Data'!#REF!,",",'Inverter-Full Data'!#REF!,",",'Inverter-Full Data'!#REF!,"'")</f>
        <v>#REF!</v>
      </c>
    </row>
    <row r="613" spans="1:1">
      <c r="A613" s="2" t="e">
        <f>CONCATENATE("'",'Inverter-Full Data'!#REF!,"     ",'Inverter-Full Data'!#REF!,",",'Inverter-Full Data'!#REF!,",",'Inverter-Full Data'!#REF!,",",'Inverter-Full Data'!#REF!,"'")</f>
        <v>#REF!</v>
      </c>
    </row>
    <row r="614" spans="1:1">
      <c r="A614" s="2" t="e">
        <f>CONCATENATE("'",'Inverter-Full Data'!#REF!,"     ",'Inverter-Full Data'!#REF!,",",'Inverter-Full Data'!#REF!,",",'Inverter-Full Data'!#REF!,",",'Inverter-Full Data'!#REF!,"'")</f>
        <v>#REF!</v>
      </c>
    </row>
    <row r="615" spans="1:1">
      <c r="A615" s="2" t="e">
        <f>CONCATENATE("'",'Inverter-Full Data'!#REF!,"     ",'Inverter-Full Data'!#REF!,",",'Inverter-Full Data'!#REF!,",",'Inverter-Full Data'!#REF!,",",'Inverter-Full Data'!#REF!,"'")</f>
        <v>#REF!</v>
      </c>
    </row>
    <row r="616" spans="1:1">
      <c r="A616" s="2" t="e">
        <f>CONCATENATE("'",'Inverter-Full Data'!#REF!,"     ",'Inverter-Full Data'!#REF!,",",'Inverter-Full Data'!#REF!,",",'Inverter-Full Data'!#REF!,",",'Inverter-Full Data'!#REF!,"'")</f>
        <v>#REF!</v>
      </c>
    </row>
    <row r="617" spans="1:1">
      <c r="A617" s="2" t="e">
        <f>CONCATENATE("'",'Inverter-Full Data'!#REF!,"     ",'Inverter-Full Data'!#REF!,",",'Inverter-Full Data'!#REF!,",",'Inverter-Full Data'!#REF!,",",'Inverter-Full Data'!#REF!,"'")</f>
        <v>#REF!</v>
      </c>
    </row>
    <row r="618" spans="1:1">
      <c r="A618" s="2" t="e">
        <f>CONCATENATE("'",'Inverter-Full Data'!#REF!,"     ",'Inverter-Full Data'!#REF!,",",'Inverter-Full Data'!#REF!,",",'Inverter-Full Data'!#REF!,",",'Inverter-Full Data'!#REF!,"'")</f>
        <v>#REF!</v>
      </c>
    </row>
    <row r="619" spans="1:1">
      <c r="A619" s="2" t="e">
        <f>CONCATENATE("'",'Inverter-Full Data'!#REF!,"     ",'Inverter-Full Data'!#REF!,",",'Inverter-Full Data'!#REF!,",",'Inverter-Full Data'!#REF!,",",'Inverter-Full Data'!#REF!,"'")</f>
        <v>#REF!</v>
      </c>
    </row>
    <row r="620" spans="1:1">
      <c r="A620" s="2" t="e">
        <f>CONCATENATE("'",'Inverter-Full Data'!#REF!,"     ",'Inverter-Full Data'!#REF!,",",'Inverter-Full Data'!#REF!,",",'Inverter-Full Data'!#REF!,",",'Inverter-Full Data'!#REF!,"'")</f>
        <v>#REF!</v>
      </c>
    </row>
    <row r="621" spans="1:1">
      <c r="A621" s="2" t="e">
        <f>CONCATENATE("'",'Inverter-Full Data'!#REF!,"     ",'Inverter-Full Data'!#REF!,",",'Inverter-Full Data'!#REF!,",",'Inverter-Full Data'!#REF!,",",'Inverter-Full Data'!#REF!,"'")</f>
        <v>#REF!</v>
      </c>
    </row>
    <row r="622" spans="1:1">
      <c r="A622" s="2" t="e">
        <f>CONCATENATE("'",'Inverter-Full Data'!#REF!,"     ",'Inverter-Full Data'!#REF!,",",'Inverter-Full Data'!#REF!,",",'Inverter-Full Data'!#REF!,",",'Inverter-Full Data'!#REF!,"'")</f>
        <v>#REF!</v>
      </c>
    </row>
    <row r="623" spans="1:1">
      <c r="A623" s="2" t="e">
        <f>CONCATENATE("'",'Inverter-Full Data'!#REF!,"     ",'Inverter-Full Data'!#REF!,",",'Inverter-Full Data'!#REF!,",",'Inverter-Full Data'!#REF!,",",'Inverter-Full Data'!#REF!,"'")</f>
        <v>#REF!</v>
      </c>
    </row>
    <row r="624" spans="1:1">
      <c r="A624" s="2" t="e">
        <f>CONCATENATE("'",'Inverter-Full Data'!#REF!,"     ",'Inverter-Full Data'!#REF!,",",'Inverter-Full Data'!#REF!,",",'Inverter-Full Data'!#REF!,",",'Inverter-Full Data'!#REF!,"'")</f>
        <v>#REF!</v>
      </c>
    </row>
    <row r="625" spans="1:1">
      <c r="A625" s="2" t="e">
        <f>CONCATENATE("'",'Inverter-Full Data'!#REF!,"     ",'Inverter-Full Data'!#REF!,",",'Inverter-Full Data'!#REF!,",",'Inverter-Full Data'!#REF!,",",'Inverter-Full Data'!#REF!,"'")</f>
        <v>#REF!</v>
      </c>
    </row>
    <row r="626" spans="1:1">
      <c r="A626" s="2" t="e">
        <f>CONCATENATE("'",'Inverter-Full Data'!#REF!,"     ",'Inverter-Full Data'!#REF!,",",'Inverter-Full Data'!#REF!,",",'Inverter-Full Data'!#REF!,",",'Inverter-Full Data'!#REF!,"'")</f>
        <v>#REF!</v>
      </c>
    </row>
    <row r="627" spans="1:1">
      <c r="A627" s="2" t="e">
        <f>CONCATENATE("'",'Inverter-Full Data'!#REF!,"     ",'Inverter-Full Data'!#REF!,",",'Inverter-Full Data'!#REF!,",",'Inverter-Full Data'!#REF!,",",'Inverter-Full Data'!#REF!,"'")</f>
        <v>#REF!</v>
      </c>
    </row>
    <row r="628" spans="1:1">
      <c r="A628" s="2" t="e">
        <f>CONCATENATE("'",'Inverter-Full Data'!#REF!,"     ",'Inverter-Full Data'!#REF!,",",'Inverter-Full Data'!#REF!,",",'Inverter-Full Data'!#REF!,",",'Inverter-Full Data'!#REF!,"'")</f>
        <v>#REF!</v>
      </c>
    </row>
    <row r="629" spans="1:1">
      <c r="A629" s="2" t="e">
        <f>CONCATENATE("'",'Inverter-Full Data'!#REF!,"     ",'Inverter-Full Data'!#REF!,",",'Inverter-Full Data'!#REF!,",",'Inverter-Full Data'!#REF!,",",'Inverter-Full Data'!#REF!,"'")</f>
        <v>#REF!</v>
      </c>
    </row>
    <row r="630" spans="1:1">
      <c r="A630" s="2" t="e">
        <f>CONCATENATE("'",'Inverter-Full Data'!#REF!,"     ",'Inverter-Full Data'!#REF!,",",'Inverter-Full Data'!#REF!,",",'Inverter-Full Data'!#REF!,",",'Inverter-Full Data'!#REF!,"'")</f>
        <v>#REF!</v>
      </c>
    </row>
    <row r="631" spans="1:1">
      <c r="A631" s="2" t="e">
        <f>CONCATENATE("'",'Inverter-Full Data'!#REF!,"     ",'Inverter-Full Data'!#REF!,",",'Inverter-Full Data'!#REF!,",",'Inverter-Full Data'!#REF!,",",'Inverter-Full Data'!#REF!,"'")</f>
        <v>#REF!</v>
      </c>
    </row>
    <row r="632" spans="1:1">
      <c r="A632" s="2" t="e">
        <f>CONCATENATE("'",'Inverter-Full Data'!#REF!,"     ",'Inverter-Full Data'!#REF!,",",'Inverter-Full Data'!#REF!,",",'Inverter-Full Data'!#REF!,",",'Inverter-Full Data'!#REF!,"'")</f>
        <v>#REF!</v>
      </c>
    </row>
    <row r="633" spans="1:1">
      <c r="A633" s="2" t="e">
        <f>CONCATENATE("'",'Inverter-Full Data'!#REF!,"     ",'Inverter-Full Data'!#REF!,",",'Inverter-Full Data'!#REF!,",",'Inverter-Full Data'!#REF!,",",'Inverter-Full Data'!#REF!,"'")</f>
        <v>#REF!</v>
      </c>
    </row>
    <row r="634" spans="1:1">
      <c r="A634" s="2" t="e">
        <f>CONCATENATE("'",'Inverter-Full Data'!#REF!,"     ",'Inverter-Full Data'!#REF!,",",'Inverter-Full Data'!#REF!,",",'Inverter-Full Data'!#REF!,",",'Inverter-Full Data'!#REF!,"'")</f>
        <v>#REF!</v>
      </c>
    </row>
    <row r="635" spans="1:1">
      <c r="A635" s="2" t="e">
        <f>CONCATENATE("'",'Inverter-Full Data'!#REF!,"     ",'Inverter-Full Data'!#REF!,",",'Inverter-Full Data'!#REF!,",",'Inverter-Full Data'!#REF!,",",'Inverter-Full Data'!#REF!,"'")</f>
        <v>#REF!</v>
      </c>
    </row>
    <row r="636" spans="1:1">
      <c r="A636" s="2" t="e">
        <f>CONCATENATE("'",'Inverter-Full Data'!#REF!,"     ",'Inverter-Full Data'!#REF!,",",'Inverter-Full Data'!#REF!,",",'Inverter-Full Data'!#REF!,",",'Inverter-Full Data'!#REF!,"'")</f>
        <v>#REF!</v>
      </c>
    </row>
    <row r="637" spans="1:1">
      <c r="A637" s="2" t="e">
        <f>CONCATENATE("'",'Inverter-Full Data'!#REF!,"     ",'Inverter-Full Data'!#REF!,",",'Inverter-Full Data'!#REF!,",",'Inverter-Full Data'!#REF!,",",'Inverter-Full Data'!#REF!,"'")</f>
        <v>#REF!</v>
      </c>
    </row>
    <row r="638" spans="1:1">
      <c r="A638" s="2" t="e">
        <f>CONCATENATE("'",'Inverter-Full Data'!#REF!,"     ",'Inverter-Full Data'!#REF!,",",'Inverter-Full Data'!#REF!,",",'Inverter-Full Data'!#REF!,",",'Inverter-Full Data'!#REF!,"'")</f>
        <v>#REF!</v>
      </c>
    </row>
    <row r="639" spans="1:1">
      <c r="A639" s="2" t="e">
        <f>CONCATENATE("'",'Inverter-Full Data'!#REF!,"     ",'Inverter-Full Data'!#REF!,",",'Inverter-Full Data'!#REF!,",",'Inverter-Full Data'!#REF!,",",'Inverter-Full Data'!#REF!,"'")</f>
        <v>#REF!</v>
      </c>
    </row>
    <row r="640" spans="1:1">
      <c r="A640" s="2" t="e">
        <f>CONCATENATE("'",'Inverter-Full Data'!#REF!,"     ",'Inverter-Full Data'!#REF!,",",'Inverter-Full Data'!#REF!,",",'Inverter-Full Data'!#REF!,",",'Inverter-Full Data'!#REF!,"'")</f>
        <v>#REF!</v>
      </c>
    </row>
    <row r="641" spans="1:1">
      <c r="A641" s="2" t="e">
        <f>CONCATENATE("'",'Inverter-Full Data'!#REF!,"     ",'Inverter-Full Data'!#REF!,",",'Inverter-Full Data'!#REF!,",",'Inverter-Full Data'!#REF!,",",'Inverter-Full Data'!#REF!,"'")</f>
        <v>#REF!</v>
      </c>
    </row>
    <row r="642" spans="1:1">
      <c r="A642" s="2" t="e">
        <f>CONCATENATE("'",'Inverter-Full Data'!#REF!,"     ",'Inverter-Full Data'!#REF!,",",'Inverter-Full Data'!#REF!,",",'Inverter-Full Data'!#REF!,",",'Inverter-Full Data'!#REF!,"'")</f>
        <v>#REF!</v>
      </c>
    </row>
    <row r="643" spans="1:1">
      <c r="A643" s="2" t="e">
        <f>CONCATENATE("'",'Inverter-Full Data'!#REF!,"     ",'Inverter-Full Data'!#REF!,",",'Inverter-Full Data'!#REF!,",",'Inverter-Full Data'!#REF!,",",'Inverter-Full Data'!#REF!,"'")</f>
        <v>#REF!</v>
      </c>
    </row>
    <row r="644" spans="1:1">
      <c r="A644" s="2" t="e">
        <f>CONCATENATE("'",'Inverter-Full Data'!#REF!,"     ",'Inverter-Full Data'!#REF!,",",'Inverter-Full Data'!#REF!,",",'Inverter-Full Data'!#REF!,",",'Inverter-Full Data'!#REF!,"'")</f>
        <v>#REF!</v>
      </c>
    </row>
    <row r="645" spans="1:1">
      <c r="A645" s="2" t="e">
        <f>CONCATENATE("'",'Inverter-Full Data'!#REF!,"     ",'Inverter-Full Data'!#REF!,",",'Inverter-Full Data'!#REF!,",",'Inverter-Full Data'!#REF!,",",'Inverter-Full Data'!#REF!,"'")</f>
        <v>#REF!</v>
      </c>
    </row>
    <row r="646" spans="1:1">
      <c r="A646" s="2" t="e">
        <f>CONCATENATE("'",'Inverter-Full Data'!#REF!,"     ",'Inverter-Full Data'!#REF!,",",'Inverter-Full Data'!#REF!,",",'Inverter-Full Data'!#REF!,",",'Inverter-Full Data'!#REF!,"'")</f>
        <v>#REF!</v>
      </c>
    </row>
    <row r="647" spans="1:1">
      <c r="A647" s="2" t="e">
        <f>CONCATENATE("'",'Inverter-Full Data'!#REF!,"     ",'Inverter-Full Data'!#REF!,",",'Inverter-Full Data'!#REF!,",",'Inverter-Full Data'!#REF!,",",'Inverter-Full Data'!#REF!,"'")</f>
        <v>#REF!</v>
      </c>
    </row>
    <row r="648" spans="1:1">
      <c r="A648" s="2" t="e">
        <f>CONCATENATE("'",'Inverter-Full Data'!#REF!,"     ",'Inverter-Full Data'!#REF!,",",'Inverter-Full Data'!#REF!,",",'Inverter-Full Data'!#REF!,",",'Inverter-Full Data'!#REF!,"'")</f>
        <v>#REF!</v>
      </c>
    </row>
    <row r="649" spans="1:1">
      <c r="A649" s="2" t="e">
        <f>CONCATENATE("'",'Inverter-Full Data'!#REF!,"     ",'Inverter-Full Data'!#REF!,",",'Inverter-Full Data'!#REF!,",",'Inverter-Full Data'!#REF!,",",'Inverter-Full Data'!#REF!,"'")</f>
        <v>#REF!</v>
      </c>
    </row>
    <row r="650" spans="1:1">
      <c r="A650" s="2" t="e">
        <f>CONCATENATE("'",'Inverter-Full Data'!#REF!,"     ",'Inverter-Full Data'!#REF!,",",'Inverter-Full Data'!#REF!,",",'Inverter-Full Data'!#REF!,",",'Inverter-Full Data'!#REF!,"'")</f>
        <v>#REF!</v>
      </c>
    </row>
    <row r="651" spans="1:1">
      <c r="A651" s="2" t="e">
        <f>CONCATENATE("'",'Inverter-Full Data'!#REF!,"     ",'Inverter-Full Data'!#REF!,",",'Inverter-Full Data'!#REF!,",",'Inverter-Full Data'!#REF!,",",'Inverter-Full Data'!#REF!,"'")</f>
        <v>#REF!</v>
      </c>
    </row>
    <row r="652" spans="1:1">
      <c r="A652" s="2" t="e">
        <f>CONCATENATE("'",'Inverter-Full Data'!#REF!,"     ",'Inverter-Full Data'!#REF!,",",'Inverter-Full Data'!#REF!,",",'Inverter-Full Data'!#REF!,",",'Inverter-Full Data'!#REF!,"'")</f>
        <v>#REF!</v>
      </c>
    </row>
    <row r="653" spans="1:1">
      <c r="A653" s="2" t="e">
        <f>CONCATENATE("'",'Inverter-Full Data'!#REF!,"     ",'Inverter-Full Data'!#REF!,",",'Inverter-Full Data'!#REF!,",",'Inverter-Full Data'!#REF!,",",'Inverter-Full Data'!#REF!,"'")</f>
        <v>#REF!</v>
      </c>
    </row>
    <row r="654" spans="1:1">
      <c r="A654" s="2" t="e">
        <f>CONCATENATE("'",'Inverter-Full Data'!#REF!,"     ",'Inverter-Full Data'!#REF!,",",'Inverter-Full Data'!#REF!,",",'Inverter-Full Data'!#REF!,",",'Inverter-Full Data'!#REF!,"'")</f>
        <v>#REF!</v>
      </c>
    </row>
    <row r="655" spans="1:1">
      <c r="A655" s="2" t="e">
        <f>CONCATENATE("'",'Inverter-Full Data'!#REF!,"     ",'Inverter-Full Data'!#REF!,",",'Inverter-Full Data'!#REF!,",",'Inverter-Full Data'!#REF!,",",'Inverter-Full Data'!#REF!,"'")</f>
        <v>#REF!</v>
      </c>
    </row>
    <row r="656" spans="1:1">
      <c r="A656" s="2" t="e">
        <f>CONCATENATE("'",'Inverter-Full Data'!#REF!,"     ",'Inverter-Full Data'!#REF!,",",'Inverter-Full Data'!#REF!,",",'Inverter-Full Data'!#REF!,",",'Inverter-Full Data'!#REF!,"'")</f>
        <v>#REF!</v>
      </c>
    </row>
    <row r="657" spans="1:1">
      <c r="A657" s="2" t="e">
        <f>CONCATENATE("'",'Inverter-Full Data'!#REF!,"     ",'Inverter-Full Data'!#REF!,",",'Inverter-Full Data'!#REF!,",",'Inverter-Full Data'!#REF!,",",'Inverter-Full Data'!#REF!,"'")</f>
        <v>#REF!</v>
      </c>
    </row>
    <row r="658" spans="1:1">
      <c r="A658" s="2" t="e">
        <f>CONCATENATE("'",'Inverter-Full Data'!#REF!,"     ",'Inverter-Full Data'!#REF!,",",'Inverter-Full Data'!#REF!,",",'Inverter-Full Data'!#REF!,",",'Inverter-Full Data'!#REF!,"'")</f>
        <v>#REF!</v>
      </c>
    </row>
    <row r="659" spans="1:1">
      <c r="A659" s="2" t="e">
        <f>CONCATENATE("'",'Inverter-Full Data'!#REF!,"     ",'Inverter-Full Data'!#REF!,",",'Inverter-Full Data'!#REF!,",",'Inverter-Full Data'!#REF!,",",'Inverter-Full Data'!#REF!,"'")</f>
        <v>#REF!</v>
      </c>
    </row>
    <row r="660" spans="1:1">
      <c r="A660" s="2" t="e">
        <f>CONCATENATE("'",'Inverter-Full Data'!#REF!,"     ",'Inverter-Full Data'!#REF!,",",'Inverter-Full Data'!#REF!,",",'Inverter-Full Data'!#REF!,",",'Inverter-Full Data'!#REF!,"'")</f>
        <v>#REF!</v>
      </c>
    </row>
    <row r="661" spans="1:1">
      <c r="A661" s="2" t="e">
        <f>CONCATENATE("'",'Inverter-Full Data'!#REF!,"     ",'Inverter-Full Data'!#REF!,",",'Inverter-Full Data'!#REF!,",",'Inverter-Full Data'!#REF!,",",'Inverter-Full Data'!#REF!,"'")</f>
        <v>#REF!</v>
      </c>
    </row>
    <row r="662" spans="1:1">
      <c r="A662" s="2" t="e">
        <f>CONCATENATE("'",'Inverter-Full Data'!#REF!,"     ",'Inverter-Full Data'!#REF!,",",'Inverter-Full Data'!#REF!,",",'Inverter-Full Data'!#REF!,",",'Inverter-Full Data'!#REF!,"'")</f>
        <v>#REF!</v>
      </c>
    </row>
    <row r="663" spans="1:1">
      <c r="A663" s="2" t="e">
        <f>CONCATENATE("'",'Inverter-Full Data'!#REF!,"     ",'Inverter-Full Data'!#REF!,",",'Inverter-Full Data'!#REF!,",",'Inverter-Full Data'!#REF!,",",'Inverter-Full Data'!#REF!,"'")</f>
        <v>#REF!</v>
      </c>
    </row>
    <row r="664" spans="1:1">
      <c r="A664" s="2" t="e">
        <f>CONCATENATE("'",'Inverter-Full Data'!#REF!,"     ",'Inverter-Full Data'!#REF!,",",'Inverter-Full Data'!#REF!,",",'Inverter-Full Data'!#REF!,",",'Inverter-Full Data'!#REF!,"'")</f>
        <v>#REF!</v>
      </c>
    </row>
    <row r="665" spans="1:1">
      <c r="A665" s="2" t="e">
        <f>CONCATENATE("'",'Inverter-Full Data'!#REF!,"     ",'Inverter-Full Data'!#REF!,",",'Inverter-Full Data'!#REF!,",",'Inverter-Full Data'!#REF!,",",'Inverter-Full Data'!#REF!,"'")</f>
        <v>#REF!</v>
      </c>
    </row>
    <row r="666" spans="1:1">
      <c r="A666" s="2" t="e">
        <f>CONCATENATE("'",'Inverter-Full Data'!#REF!,"     ",'Inverter-Full Data'!#REF!,",",'Inverter-Full Data'!#REF!,",",'Inverter-Full Data'!#REF!,",",'Inverter-Full Data'!#REF!,"'")</f>
        <v>#REF!</v>
      </c>
    </row>
    <row r="667" spans="1:1">
      <c r="A667" s="2" t="e">
        <f>CONCATENATE("'",'Inverter-Full Data'!#REF!,"     ",'Inverter-Full Data'!#REF!,",",'Inverter-Full Data'!#REF!,",",'Inverter-Full Data'!#REF!,",",'Inverter-Full Data'!#REF!,"'")</f>
        <v>#REF!</v>
      </c>
    </row>
    <row r="668" spans="1:1">
      <c r="A668" s="2" t="e">
        <f>CONCATENATE("'",'Inverter-Full Data'!#REF!,"     ",'Inverter-Full Data'!#REF!,",",'Inverter-Full Data'!#REF!,",",'Inverter-Full Data'!#REF!,",",'Inverter-Full Data'!#REF!,"'")</f>
        <v>#REF!</v>
      </c>
    </row>
    <row r="669" spans="1:1">
      <c r="A669" s="2" t="e">
        <f>CONCATENATE("'",'Inverter-Full Data'!#REF!,"     ",'Inverter-Full Data'!#REF!,",",'Inverter-Full Data'!#REF!,",",'Inverter-Full Data'!#REF!,",",'Inverter-Full Data'!#REF!,"'")</f>
        <v>#REF!</v>
      </c>
    </row>
    <row r="670" spans="1:1">
      <c r="A670" s="2" t="e">
        <f>CONCATENATE("'",'Inverter-Full Data'!#REF!,"     ",'Inverter-Full Data'!#REF!,",",'Inverter-Full Data'!#REF!,",",'Inverter-Full Data'!#REF!,",",'Inverter-Full Data'!#REF!,"'")</f>
        <v>#REF!</v>
      </c>
    </row>
    <row r="671" spans="1:1">
      <c r="A671" s="2" t="e">
        <f>CONCATENATE("'",'Inverter-Full Data'!#REF!,"     ",'Inverter-Full Data'!#REF!,",",'Inverter-Full Data'!#REF!,",",'Inverter-Full Data'!#REF!,",",'Inverter-Full Data'!#REF!,"'")</f>
        <v>#REF!</v>
      </c>
    </row>
    <row r="672" spans="1:1">
      <c r="A672" s="2" t="e">
        <f>CONCATENATE("'",'Inverter-Full Data'!#REF!,"     ",'Inverter-Full Data'!#REF!,",",'Inverter-Full Data'!#REF!,",",'Inverter-Full Data'!#REF!,",",'Inverter-Full Data'!#REF!,"'")</f>
        <v>#REF!</v>
      </c>
    </row>
    <row r="673" spans="1:1">
      <c r="A673" s="2" t="e">
        <f>CONCATENATE("'",'Inverter-Full Data'!#REF!,"     ",'Inverter-Full Data'!#REF!,",",'Inverter-Full Data'!#REF!,",",'Inverter-Full Data'!#REF!,",",'Inverter-Full Data'!#REF!,"'")</f>
        <v>#REF!</v>
      </c>
    </row>
    <row r="674" spans="1:1">
      <c r="A674" s="2" t="e">
        <f>CONCATENATE("'",'Inverter-Full Data'!#REF!,"     ",'Inverter-Full Data'!#REF!,",",'Inverter-Full Data'!#REF!,",",'Inverter-Full Data'!#REF!,",",'Inverter-Full Data'!#REF!,"'")</f>
        <v>#REF!</v>
      </c>
    </row>
    <row r="675" spans="1:1">
      <c r="A675" s="2" t="e">
        <f>CONCATENATE("'",'Inverter-Full Data'!#REF!,"     ",'Inverter-Full Data'!#REF!,",",'Inverter-Full Data'!#REF!,",",'Inverter-Full Data'!#REF!,",",'Inverter-Full Data'!#REF!,"'")</f>
        <v>#REF!</v>
      </c>
    </row>
    <row r="676" spans="1:1">
      <c r="A676" s="2" t="e">
        <f>CONCATENATE("'",'Inverter-Full Data'!#REF!,"     ",'Inverter-Full Data'!#REF!,",",'Inverter-Full Data'!#REF!,",",'Inverter-Full Data'!#REF!,",",'Inverter-Full Data'!#REF!,"'")</f>
        <v>#REF!</v>
      </c>
    </row>
    <row r="677" spans="1:1">
      <c r="A677" s="2" t="e">
        <f>CONCATENATE("'",'Inverter-Full Data'!#REF!,"     ",'Inverter-Full Data'!#REF!,",",'Inverter-Full Data'!#REF!,",",'Inverter-Full Data'!#REF!,",",'Inverter-Full Data'!#REF!,"'")</f>
        <v>#REF!</v>
      </c>
    </row>
    <row r="678" spans="1:1">
      <c r="A678" s="2" t="e">
        <f>CONCATENATE("'",'Inverter-Full Data'!#REF!,"     ",'Inverter-Full Data'!#REF!,",",'Inverter-Full Data'!#REF!,",",'Inverter-Full Data'!#REF!,",",'Inverter-Full Data'!#REF!,"'")</f>
        <v>#REF!</v>
      </c>
    </row>
    <row r="679" spans="1:1">
      <c r="A679" s="2" t="e">
        <f>CONCATENATE("'",'Inverter-Full Data'!#REF!,"     ",'Inverter-Full Data'!#REF!,",",'Inverter-Full Data'!#REF!,",",'Inverter-Full Data'!#REF!,",",'Inverter-Full Data'!#REF!,"'")</f>
        <v>#REF!</v>
      </c>
    </row>
    <row r="680" spans="1:1">
      <c r="A680" s="2" t="e">
        <f>CONCATENATE("'",'Inverter-Full Data'!#REF!,"     ",'Inverter-Full Data'!#REF!,",",'Inverter-Full Data'!#REF!,",",'Inverter-Full Data'!#REF!,",",'Inverter-Full Data'!#REF!,"'")</f>
        <v>#REF!</v>
      </c>
    </row>
    <row r="681" spans="1:1">
      <c r="A681" s="2" t="e">
        <f>CONCATENATE("'",'Inverter-Full Data'!#REF!,"     ",'Inverter-Full Data'!#REF!,",",'Inverter-Full Data'!#REF!,",",'Inverter-Full Data'!#REF!,",",'Inverter-Full Data'!#REF!,"'")</f>
        <v>#REF!</v>
      </c>
    </row>
    <row r="682" spans="1:1">
      <c r="A682" s="2" t="e">
        <f>CONCATENATE("'",'Inverter-Full Data'!#REF!,"     ",'Inverter-Full Data'!#REF!,",",'Inverter-Full Data'!#REF!,",",'Inverter-Full Data'!#REF!,",",'Inverter-Full Data'!#REF!,"'")</f>
        <v>#REF!</v>
      </c>
    </row>
    <row r="683" spans="1:1">
      <c r="A683" s="2" t="e">
        <f>CONCATENATE("'",'Inverter-Full Data'!#REF!,"     ",'Inverter-Full Data'!#REF!,",",'Inverter-Full Data'!#REF!,",",'Inverter-Full Data'!#REF!,",",'Inverter-Full Data'!#REF!,"'")</f>
        <v>#REF!</v>
      </c>
    </row>
    <row r="684" spans="1:1">
      <c r="A684" s="2" t="e">
        <f>CONCATENATE("'",'Inverter-Full Data'!#REF!,"     ",'Inverter-Full Data'!#REF!,",",'Inverter-Full Data'!#REF!,",",'Inverter-Full Data'!#REF!,",",'Inverter-Full Data'!#REF!,"'")</f>
        <v>#REF!</v>
      </c>
    </row>
    <row r="685" spans="1:1">
      <c r="A685" s="2" t="e">
        <f>CONCATENATE("'",'Inverter-Full Data'!#REF!,"     ",'Inverter-Full Data'!#REF!,",",'Inverter-Full Data'!#REF!,",",'Inverter-Full Data'!#REF!,",",'Inverter-Full Data'!#REF!,"'")</f>
        <v>#REF!</v>
      </c>
    </row>
    <row r="686" spans="1:1">
      <c r="A686" s="2" t="e">
        <f>CONCATENATE("'",'Inverter-Full Data'!#REF!,"     ",'Inverter-Full Data'!#REF!,",",'Inverter-Full Data'!#REF!,",",'Inverter-Full Data'!#REF!,",",'Inverter-Full Data'!#REF!,"'")</f>
        <v>#REF!</v>
      </c>
    </row>
    <row r="687" spans="1:1">
      <c r="A687" s="2" t="e">
        <f>CONCATENATE("'",'Inverter-Full Data'!#REF!,"     ",'Inverter-Full Data'!#REF!,",",'Inverter-Full Data'!#REF!,",",'Inverter-Full Data'!#REF!,",",'Inverter-Full Data'!#REF!,"'")</f>
        <v>#REF!</v>
      </c>
    </row>
    <row r="688" spans="1:1">
      <c r="A688" s="2" t="e">
        <f>CONCATENATE("'",'Inverter-Full Data'!#REF!,"     ",'Inverter-Full Data'!#REF!,",",'Inverter-Full Data'!#REF!,",",'Inverter-Full Data'!#REF!,",",'Inverter-Full Data'!#REF!,"'")</f>
        <v>#REF!</v>
      </c>
    </row>
    <row r="689" spans="1:1">
      <c r="A689" s="2" t="e">
        <f>CONCATENATE("'",'Inverter-Full Data'!#REF!,"     ",'Inverter-Full Data'!#REF!,",",'Inverter-Full Data'!#REF!,",",'Inverter-Full Data'!#REF!,",",'Inverter-Full Data'!#REF!,"'")</f>
        <v>#REF!</v>
      </c>
    </row>
    <row r="690" spans="1:1">
      <c r="A690" s="2" t="e">
        <f>CONCATENATE("'",'Inverter-Full Data'!#REF!,"     ",'Inverter-Full Data'!#REF!,",",'Inverter-Full Data'!#REF!,",",'Inverter-Full Data'!#REF!,",",'Inverter-Full Data'!#REF!,"'")</f>
        <v>#REF!</v>
      </c>
    </row>
    <row r="691" spans="1:1">
      <c r="A691" s="2" t="e">
        <f>CONCATENATE("'",'Inverter-Full Data'!#REF!,"     ",'Inverter-Full Data'!#REF!,",",'Inverter-Full Data'!#REF!,",",'Inverter-Full Data'!#REF!,",",'Inverter-Full Data'!#REF!,"'")</f>
        <v>#REF!</v>
      </c>
    </row>
    <row r="692" spans="1:1">
      <c r="A692" s="2" t="e">
        <f>CONCATENATE("'",'Inverter-Full Data'!#REF!,"     ",'Inverter-Full Data'!#REF!,",",'Inverter-Full Data'!#REF!,",",'Inverter-Full Data'!#REF!,",",'Inverter-Full Data'!#REF!,"'")</f>
        <v>#REF!</v>
      </c>
    </row>
    <row r="693" spans="1:1">
      <c r="A693" s="2" t="e">
        <f>CONCATENATE("'",'Inverter-Full Data'!#REF!,"     ",'Inverter-Full Data'!#REF!,",",'Inverter-Full Data'!#REF!,",",'Inverter-Full Data'!#REF!,",",'Inverter-Full Data'!#REF!,"'")</f>
        <v>#REF!</v>
      </c>
    </row>
    <row r="694" spans="1:1">
      <c r="A694" s="2" t="e">
        <f>CONCATENATE("'",'Inverter-Full Data'!#REF!,"     ",'Inverter-Full Data'!#REF!,",",'Inverter-Full Data'!#REF!,",",'Inverter-Full Data'!#REF!,",",'Inverter-Full Data'!#REF!,"'")</f>
        <v>#REF!</v>
      </c>
    </row>
    <row r="695" spans="1:1">
      <c r="A695" s="2" t="e">
        <f>CONCATENATE("'",'Inverter-Full Data'!#REF!,"     ",'Inverter-Full Data'!#REF!,",",'Inverter-Full Data'!#REF!,",",'Inverter-Full Data'!#REF!,",",'Inverter-Full Data'!#REF!,"'")</f>
        <v>#REF!</v>
      </c>
    </row>
    <row r="696" spans="1:1">
      <c r="A696" s="2" t="e">
        <f>CONCATENATE("'",'Inverter-Full Data'!#REF!,"     ",'Inverter-Full Data'!#REF!,",",'Inverter-Full Data'!#REF!,",",'Inverter-Full Data'!#REF!,",",'Inverter-Full Data'!#REF!,"'")</f>
        <v>#REF!</v>
      </c>
    </row>
    <row r="697" spans="1:1">
      <c r="A697" s="2" t="e">
        <f>CONCATENATE("'",'Inverter-Full Data'!#REF!,"     ",'Inverter-Full Data'!#REF!,",",'Inverter-Full Data'!#REF!,",",'Inverter-Full Data'!#REF!,",",'Inverter-Full Data'!#REF!,"'")</f>
        <v>#REF!</v>
      </c>
    </row>
    <row r="698" spans="1:1">
      <c r="A698" s="2" t="e">
        <f>CONCATENATE("'",'Inverter-Full Data'!#REF!,"     ",'Inverter-Full Data'!#REF!,",",'Inverter-Full Data'!#REF!,",",'Inverter-Full Data'!#REF!,",",'Inverter-Full Data'!#REF!,"'")</f>
        <v>#REF!</v>
      </c>
    </row>
    <row r="699" spans="1:1">
      <c r="A699" s="2" t="e">
        <f>CONCATENATE("'",'Inverter-Full Data'!#REF!,"     ",'Inverter-Full Data'!#REF!,",",'Inverter-Full Data'!#REF!,",",'Inverter-Full Data'!#REF!,",",'Inverter-Full Data'!#REF!,"'")</f>
        <v>#REF!</v>
      </c>
    </row>
    <row r="700" spans="1:1">
      <c r="A700" s="2" t="e">
        <f>CONCATENATE("'",'Inverter-Full Data'!#REF!,"     ",'Inverter-Full Data'!#REF!,",",'Inverter-Full Data'!#REF!,",",'Inverter-Full Data'!#REF!,",",'Inverter-Full Data'!#REF!,"'")</f>
        <v>#REF!</v>
      </c>
    </row>
    <row r="701" spans="1:1">
      <c r="A701" s="2" t="e">
        <f>CONCATENATE("'",'Inverter-Full Data'!#REF!,"     ",'Inverter-Full Data'!#REF!,",",'Inverter-Full Data'!#REF!,",",'Inverter-Full Data'!#REF!,",",'Inverter-Full Data'!#REF!,"'")</f>
        <v>#REF!</v>
      </c>
    </row>
    <row r="702" spans="1:1">
      <c r="A702" s="2" t="e">
        <f>CONCATENATE("'",'Inverter-Full Data'!#REF!,"     ",'Inverter-Full Data'!#REF!,",",'Inverter-Full Data'!#REF!,",",'Inverter-Full Data'!#REF!,",",'Inverter-Full Data'!#REF!,"'")</f>
        <v>#REF!</v>
      </c>
    </row>
    <row r="703" spans="1:1">
      <c r="A703" s="2" t="e">
        <f>CONCATENATE("'",'Inverter-Full Data'!#REF!,"     ",'Inverter-Full Data'!#REF!,",",'Inverter-Full Data'!#REF!,",",'Inverter-Full Data'!#REF!,",",'Inverter-Full Data'!#REF!,"'")</f>
        <v>#REF!</v>
      </c>
    </row>
    <row r="704" spans="1:1">
      <c r="A704" s="2" t="e">
        <f>CONCATENATE("'",'Inverter-Full Data'!#REF!,"     ",'Inverter-Full Data'!#REF!,",",'Inverter-Full Data'!#REF!,",",'Inverter-Full Data'!#REF!,",",'Inverter-Full Data'!#REF!,"'")</f>
        <v>#REF!</v>
      </c>
    </row>
    <row r="705" spans="1:1">
      <c r="A705" s="2" t="e">
        <f>CONCATENATE("'",'Inverter-Full Data'!#REF!,"     ",'Inverter-Full Data'!#REF!,",",'Inverter-Full Data'!#REF!,",",'Inverter-Full Data'!#REF!,",",'Inverter-Full Data'!#REF!,"'")</f>
        <v>#REF!</v>
      </c>
    </row>
    <row r="706" spans="1:1">
      <c r="A706" s="2" t="e">
        <f>CONCATENATE("'",'Inverter-Full Data'!#REF!,"     ",'Inverter-Full Data'!#REF!,",",'Inverter-Full Data'!#REF!,",",'Inverter-Full Data'!#REF!,",",'Inverter-Full Data'!#REF!,"'")</f>
        <v>#REF!</v>
      </c>
    </row>
    <row r="707" spans="1:1">
      <c r="A707" s="2" t="e">
        <f>CONCATENATE("'",'Inverter-Full Data'!#REF!,"     ",'Inverter-Full Data'!#REF!,",",'Inverter-Full Data'!#REF!,",",'Inverter-Full Data'!#REF!,",",'Inverter-Full Data'!#REF!,"'")</f>
        <v>#REF!</v>
      </c>
    </row>
    <row r="708" spans="1:1">
      <c r="A708" s="2" t="e">
        <f>CONCATENATE("'",'Inverter-Full Data'!#REF!,"     ",'Inverter-Full Data'!#REF!,",",'Inverter-Full Data'!#REF!,",",'Inverter-Full Data'!#REF!,",",'Inverter-Full Data'!#REF!,"'")</f>
        <v>#REF!</v>
      </c>
    </row>
    <row r="709" spans="1:1">
      <c r="A709" s="2" t="e">
        <f>CONCATENATE("'",'Inverter-Full Data'!#REF!,"     ",'Inverter-Full Data'!#REF!,",",'Inverter-Full Data'!#REF!,",",'Inverter-Full Data'!#REF!,",",'Inverter-Full Data'!#REF!,"'")</f>
        <v>#REF!</v>
      </c>
    </row>
    <row r="710" spans="1:1">
      <c r="A710" s="2" t="e">
        <f>CONCATENATE("'",'Inverter-Full Data'!#REF!,"     ",'Inverter-Full Data'!#REF!,",",'Inverter-Full Data'!#REF!,",",'Inverter-Full Data'!#REF!,",",'Inverter-Full Data'!#REF!,"'")</f>
        <v>#REF!</v>
      </c>
    </row>
    <row r="711" spans="1:1">
      <c r="A711" s="2" t="e">
        <f>CONCATENATE("'",'Inverter-Full Data'!#REF!,"     ",'Inverter-Full Data'!#REF!,",",'Inverter-Full Data'!#REF!,",",'Inverter-Full Data'!#REF!,",",'Inverter-Full Data'!#REF!,"'")</f>
        <v>#REF!</v>
      </c>
    </row>
    <row r="712" spans="1:1">
      <c r="A712" s="2" t="e">
        <f>CONCATENATE("'",'Inverter-Full Data'!#REF!,"     ",'Inverter-Full Data'!#REF!,",",'Inverter-Full Data'!#REF!,",",'Inverter-Full Data'!#REF!,",",'Inverter-Full Data'!#REF!,"'")</f>
        <v>#REF!</v>
      </c>
    </row>
    <row r="713" spans="1:1">
      <c r="A713" s="2" t="e">
        <f>CONCATENATE("'",'Inverter-Full Data'!#REF!,"     ",'Inverter-Full Data'!#REF!,",",'Inverter-Full Data'!#REF!,",",'Inverter-Full Data'!#REF!,",",'Inverter-Full Data'!#REF!,"'")</f>
        <v>#REF!</v>
      </c>
    </row>
    <row r="714" spans="1:1">
      <c r="A714" s="2" t="e">
        <f>CONCATENATE("'",'Inverter-Full Data'!#REF!,"     ",'Inverter-Full Data'!#REF!,",",'Inverter-Full Data'!#REF!,",",'Inverter-Full Data'!#REF!,",",'Inverter-Full Data'!#REF!,"'")</f>
        <v>#REF!</v>
      </c>
    </row>
    <row r="715" spans="1:1">
      <c r="A715" s="2" t="e">
        <f>CONCATENATE("'",'Inverter-Full Data'!#REF!,"     ",'Inverter-Full Data'!#REF!,",",'Inverter-Full Data'!#REF!,",",'Inverter-Full Data'!#REF!,",",'Inverter-Full Data'!#REF!,"'")</f>
        <v>#REF!</v>
      </c>
    </row>
    <row r="716" spans="1:1">
      <c r="A716" s="2" t="e">
        <f>CONCATENATE("'",'Inverter-Full Data'!#REF!,"     ",'Inverter-Full Data'!#REF!,",",'Inverter-Full Data'!#REF!,",",'Inverter-Full Data'!#REF!,",",'Inverter-Full Data'!#REF!,"'")</f>
        <v>#REF!</v>
      </c>
    </row>
    <row r="717" spans="1:1">
      <c r="A717" s="2" t="e">
        <f>CONCATENATE("'",'Inverter-Full Data'!#REF!,"     ",'Inverter-Full Data'!#REF!,",",'Inverter-Full Data'!#REF!,",",'Inverter-Full Data'!#REF!,",",'Inverter-Full Data'!#REF!,"'")</f>
        <v>#REF!</v>
      </c>
    </row>
    <row r="718" spans="1:1">
      <c r="A718" s="2" t="e">
        <f>CONCATENATE("'",'Inverter-Full Data'!#REF!,"     ",'Inverter-Full Data'!#REF!,",",'Inverter-Full Data'!#REF!,",",'Inverter-Full Data'!#REF!,",",'Inverter-Full Data'!#REF!,"'")</f>
        <v>#REF!</v>
      </c>
    </row>
    <row r="719" spans="1:1">
      <c r="A719" s="2" t="e">
        <f>CONCATENATE("'",'Inverter-Full Data'!#REF!,"     ",'Inverter-Full Data'!#REF!,",",'Inverter-Full Data'!#REF!,",",'Inverter-Full Data'!#REF!,",",'Inverter-Full Data'!#REF!,"'")</f>
        <v>#REF!</v>
      </c>
    </row>
    <row r="720" spans="1:1">
      <c r="A720" s="2" t="e">
        <f>CONCATENATE("'",'Inverter-Full Data'!#REF!,"     ",'Inverter-Full Data'!#REF!,",",'Inverter-Full Data'!#REF!,",",'Inverter-Full Data'!#REF!,",",'Inverter-Full Data'!#REF!,"'")</f>
        <v>#REF!</v>
      </c>
    </row>
    <row r="721" spans="1:1">
      <c r="A721" s="2" t="e">
        <f>CONCATENATE("'",'Inverter-Full Data'!#REF!,"     ",'Inverter-Full Data'!#REF!,",",'Inverter-Full Data'!#REF!,",",'Inverter-Full Data'!#REF!,",",'Inverter-Full Data'!#REF!,"'")</f>
        <v>#REF!</v>
      </c>
    </row>
    <row r="722" spans="1:1">
      <c r="A722" s="2" t="e">
        <f>CONCATENATE("'",'Inverter-Full Data'!#REF!,"     ",'Inverter-Full Data'!#REF!,",",'Inverter-Full Data'!#REF!,",",'Inverter-Full Data'!#REF!,",",'Inverter-Full Data'!#REF!,"'")</f>
        <v>#REF!</v>
      </c>
    </row>
    <row r="723" spans="1:1">
      <c r="A723" s="2" t="e">
        <f>CONCATENATE("'",'Inverter-Full Data'!#REF!,"     ",'Inverter-Full Data'!#REF!,",",'Inverter-Full Data'!#REF!,",",'Inverter-Full Data'!#REF!,",",'Inverter-Full Data'!#REF!,"'")</f>
        <v>#REF!</v>
      </c>
    </row>
    <row r="724" spans="1:1">
      <c r="A724" s="2" t="e">
        <f>CONCATENATE("'",'Inverter-Full Data'!#REF!,"     ",'Inverter-Full Data'!#REF!,",",'Inverter-Full Data'!#REF!,",",'Inverter-Full Data'!#REF!,",",'Inverter-Full Data'!#REF!,"'")</f>
        <v>#REF!</v>
      </c>
    </row>
    <row r="725" spans="1:1">
      <c r="A725" s="2" t="e">
        <f>CONCATENATE("'",'Inverter-Full Data'!#REF!,"     ",'Inverter-Full Data'!#REF!,",",'Inverter-Full Data'!#REF!,",",'Inverter-Full Data'!#REF!,",",'Inverter-Full Data'!#REF!,"'")</f>
        <v>#REF!</v>
      </c>
    </row>
    <row r="726" spans="1:1">
      <c r="A726" s="2" t="e">
        <f>CONCATENATE("'",'Inverter-Full Data'!#REF!,"     ",'Inverter-Full Data'!#REF!,",",'Inverter-Full Data'!#REF!,",",'Inverter-Full Data'!#REF!,",",'Inverter-Full Data'!#REF!,"'")</f>
        <v>#REF!</v>
      </c>
    </row>
    <row r="727" spans="1:1">
      <c r="A727" s="2" t="e">
        <f>CONCATENATE("'",'Inverter-Full Data'!#REF!,"     ",'Inverter-Full Data'!#REF!,",",'Inverter-Full Data'!#REF!,",",'Inverter-Full Data'!#REF!,",",'Inverter-Full Data'!#REF!,"'")</f>
        <v>#REF!</v>
      </c>
    </row>
    <row r="728" spans="1:1">
      <c r="A728" s="2" t="e">
        <f>CONCATENATE("'",'Inverter-Full Data'!#REF!,"     ",'Inverter-Full Data'!#REF!,",",'Inverter-Full Data'!#REF!,",",'Inverter-Full Data'!#REF!,",",'Inverter-Full Data'!#REF!,"'")</f>
        <v>#REF!</v>
      </c>
    </row>
    <row r="729" spans="1:1">
      <c r="A729" s="2" t="e">
        <f>CONCATENATE("'",'Inverter-Full Data'!#REF!,"     ",'Inverter-Full Data'!#REF!,",",'Inverter-Full Data'!#REF!,",",'Inverter-Full Data'!#REF!,",",'Inverter-Full Data'!#REF!,"'")</f>
        <v>#REF!</v>
      </c>
    </row>
    <row r="730" spans="1:1">
      <c r="A730" s="2" t="e">
        <f>CONCATENATE("'",'Inverter-Full Data'!#REF!,"     ",'Inverter-Full Data'!#REF!,",",'Inverter-Full Data'!#REF!,",",'Inverter-Full Data'!#REF!,",",'Inverter-Full Data'!#REF!,"'")</f>
        <v>#REF!</v>
      </c>
    </row>
    <row r="731" spans="1:1">
      <c r="A731" s="2" t="e">
        <f>CONCATENATE("'",'Inverter-Full Data'!#REF!,"     ",'Inverter-Full Data'!#REF!,",",'Inverter-Full Data'!#REF!,",",'Inverter-Full Data'!#REF!,",",'Inverter-Full Data'!#REF!,"'")</f>
        <v>#REF!</v>
      </c>
    </row>
    <row r="732" spans="1:1">
      <c r="A732" s="2" t="e">
        <f>CONCATENATE("'",'Inverter-Full Data'!#REF!,"     ",'Inverter-Full Data'!#REF!,",",'Inverter-Full Data'!#REF!,",",'Inverter-Full Data'!#REF!,",",'Inverter-Full Data'!#REF!,"'")</f>
        <v>#REF!</v>
      </c>
    </row>
    <row r="733" spans="1:1">
      <c r="A733" s="2" t="e">
        <f>CONCATENATE("'",'Inverter-Full Data'!#REF!,"     ",'Inverter-Full Data'!#REF!,",",'Inverter-Full Data'!#REF!,",",'Inverter-Full Data'!#REF!,",",'Inverter-Full Data'!#REF!,"'")</f>
        <v>#REF!</v>
      </c>
    </row>
    <row r="734" spans="1:1">
      <c r="A734" s="2" t="e">
        <f>CONCATENATE("'",'Inverter-Full Data'!#REF!,"     ",'Inverter-Full Data'!#REF!,",",'Inverter-Full Data'!#REF!,",",'Inverter-Full Data'!#REF!,",",'Inverter-Full Data'!#REF!,"'")</f>
        <v>#REF!</v>
      </c>
    </row>
    <row r="735" spans="1:1">
      <c r="A735" s="2" t="e">
        <f>CONCATENATE("'",'Inverter-Full Data'!#REF!,"     ",'Inverter-Full Data'!#REF!,",",'Inverter-Full Data'!#REF!,",",'Inverter-Full Data'!#REF!,",",'Inverter-Full Data'!#REF!,"'")</f>
        <v>#REF!</v>
      </c>
    </row>
    <row r="736" spans="1:1">
      <c r="A736" s="2" t="e">
        <f>CONCATENATE("'",'Inverter-Full Data'!#REF!,"     ",'Inverter-Full Data'!#REF!,",",'Inverter-Full Data'!#REF!,",",'Inverter-Full Data'!#REF!,",",'Inverter-Full Data'!#REF!,"'")</f>
        <v>#REF!</v>
      </c>
    </row>
    <row r="737" spans="1:1">
      <c r="A737" s="2" t="e">
        <f>CONCATENATE("'",'Inverter-Full Data'!#REF!,"     ",'Inverter-Full Data'!#REF!,",",'Inverter-Full Data'!#REF!,",",'Inverter-Full Data'!#REF!,",",'Inverter-Full Data'!#REF!,"'")</f>
        <v>#REF!</v>
      </c>
    </row>
    <row r="738" spans="1:1">
      <c r="A738" s="2" t="e">
        <f>CONCATENATE("'",'Inverter-Full Data'!#REF!,"     ",'Inverter-Full Data'!#REF!,",",'Inverter-Full Data'!#REF!,",",'Inverter-Full Data'!#REF!,",",'Inverter-Full Data'!#REF!,"'")</f>
        <v>#REF!</v>
      </c>
    </row>
    <row r="739" spans="1:1">
      <c r="A739" s="2" t="e">
        <f>CONCATENATE("'",'Inverter-Full Data'!#REF!,"     ",'Inverter-Full Data'!#REF!,",",'Inverter-Full Data'!#REF!,",",'Inverter-Full Data'!#REF!,",",'Inverter-Full Data'!#REF!,"'")</f>
        <v>#REF!</v>
      </c>
    </row>
    <row r="740" spans="1:1">
      <c r="A740" s="2" t="e">
        <f>CONCATENATE("'",'Inverter-Full Data'!#REF!,"     ",'Inverter-Full Data'!#REF!,",",'Inverter-Full Data'!#REF!,",",'Inverter-Full Data'!#REF!,",",'Inverter-Full Data'!#REF!,"'")</f>
        <v>#REF!</v>
      </c>
    </row>
    <row r="741" spans="1:1">
      <c r="A741" s="2" t="e">
        <f>CONCATENATE("'",'Inverter-Full Data'!#REF!,"     ",'Inverter-Full Data'!#REF!,",",'Inverter-Full Data'!#REF!,",",'Inverter-Full Data'!#REF!,",",'Inverter-Full Data'!#REF!,"'")</f>
        <v>#REF!</v>
      </c>
    </row>
    <row r="742" spans="1:1">
      <c r="A742" s="2" t="e">
        <f>CONCATENATE("'",'Inverter-Full Data'!#REF!,"     ",'Inverter-Full Data'!#REF!,",",'Inverter-Full Data'!#REF!,",",'Inverter-Full Data'!#REF!,",",'Inverter-Full Data'!#REF!,"'")</f>
        <v>#REF!</v>
      </c>
    </row>
    <row r="743" spans="1:1">
      <c r="A743" s="2" t="e">
        <f>CONCATENATE("'",'Inverter-Full Data'!#REF!,"     ",'Inverter-Full Data'!#REF!,",",'Inverter-Full Data'!#REF!,",",'Inverter-Full Data'!#REF!,",",'Inverter-Full Data'!#REF!,"'")</f>
        <v>#REF!</v>
      </c>
    </row>
    <row r="744" spans="1:1">
      <c r="A744" s="2" t="e">
        <f>CONCATENATE("'",'Inverter-Full Data'!#REF!,"     ",'Inverter-Full Data'!#REF!,",",'Inverter-Full Data'!#REF!,",",'Inverter-Full Data'!#REF!,",",'Inverter-Full Data'!#REF!,"'")</f>
        <v>#REF!</v>
      </c>
    </row>
    <row r="745" spans="1:1">
      <c r="A745" s="2" t="e">
        <f>CONCATENATE("'",'Inverter-Full Data'!#REF!,"     ",'Inverter-Full Data'!#REF!,",",'Inverter-Full Data'!#REF!,",",'Inverter-Full Data'!#REF!,",",'Inverter-Full Data'!#REF!,"'")</f>
        <v>#REF!</v>
      </c>
    </row>
    <row r="746" spans="1:1">
      <c r="A746" s="2" t="e">
        <f>CONCATENATE("'",'Inverter-Full Data'!#REF!,"     ",'Inverter-Full Data'!#REF!,",",'Inverter-Full Data'!#REF!,",",'Inverter-Full Data'!#REF!,",",'Inverter-Full Data'!#REF!,"'")</f>
        <v>#REF!</v>
      </c>
    </row>
    <row r="747" spans="1:1">
      <c r="A747" s="2" t="e">
        <f>CONCATENATE("'",'Inverter-Full Data'!#REF!,"     ",'Inverter-Full Data'!#REF!,",",'Inverter-Full Data'!#REF!,",",'Inverter-Full Data'!#REF!,",",'Inverter-Full Data'!#REF!,"'")</f>
        <v>#REF!</v>
      </c>
    </row>
    <row r="748" spans="1:1">
      <c r="A748" s="2" t="e">
        <f>CONCATENATE("'",'Inverter-Full Data'!#REF!,"     ",'Inverter-Full Data'!#REF!,",",'Inverter-Full Data'!#REF!,",",'Inverter-Full Data'!#REF!,",",'Inverter-Full Data'!#REF!,"'")</f>
        <v>#REF!</v>
      </c>
    </row>
    <row r="749" spans="1:1">
      <c r="A749" s="2" t="e">
        <f>CONCATENATE("'",'Inverter-Full Data'!#REF!,"     ",'Inverter-Full Data'!#REF!,",",'Inverter-Full Data'!#REF!,",",'Inverter-Full Data'!#REF!,",",'Inverter-Full Data'!#REF!,"'")</f>
        <v>#REF!</v>
      </c>
    </row>
    <row r="750" spans="1:1">
      <c r="A750" s="2" t="e">
        <f>CONCATENATE("'",'Inverter-Full Data'!#REF!,"     ",'Inverter-Full Data'!#REF!,",",'Inverter-Full Data'!#REF!,",",'Inverter-Full Data'!#REF!,",",'Inverter-Full Data'!#REF!,"'")</f>
        <v>#REF!</v>
      </c>
    </row>
    <row r="751" spans="1:1">
      <c r="A751" s="2" t="e">
        <f>CONCATENATE("'",'Inverter-Full Data'!#REF!,"     ",'Inverter-Full Data'!#REF!,",",'Inverter-Full Data'!#REF!,",",'Inverter-Full Data'!#REF!,",",'Inverter-Full Data'!#REF!,"'")</f>
        <v>#REF!</v>
      </c>
    </row>
    <row r="752" spans="1:1">
      <c r="A752" s="2" t="e">
        <f>CONCATENATE("'",'Inverter-Full Data'!#REF!,"     ",'Inverter-Full Data'!#REF!,",",'Inverter-Full Data'!#REF!,",",'Inverter-Full Data'!#REF!,",",'Inverter-Full Data'!#REF!,"'")</f>
        <v>#REF!</v>
      </c>
    </row>
    <row r="753" spans="1:1">
      <c r="A753" s="2" t="e">
        <f>CONCATENATE("'",'Inverter-Full Data'!#REF!,"     ",'Inverter-Full Data'!#REF!,",",'Inverter-Full Data'!#REF!,",",'Inverter-Full Data'!#REF!,",",'Inverter-Full Data'!#REF!,"'")</f>
        <v>#REF!</v>
      </c>
    </row>
    <row r="754" spans="1:1">
      <c r="A754" s="2" t="e">
        <f>CONCATENATE("'",'Inverter-Full Data'!#REF!,"     ",'Inverter-Full Data'!#REF!,",",'Inverter-Full Data'!#REF!,",",'Inverter-Full Data'!#REF!,",",'Inverter-Full Data'!#REF!,"'")</f>
        <v>#REF!</v>
      </c>
    </row>
    <row r="755" spans="1:1">
      <c r="A755" s="2" t="e">
        <f>CONCATENATE("'",'Inverter-Full Data'!#REF!,"     ",'Inverter-Full Data'!#REF!,",",'Inverter-Full Data'!#REF!,",",'Inverter-Full Data'!#REF!,",",'Inverter-Full Data'!#REF!,"'")</f>
        <v>#REF!</v>
      </c>
    </row>
    <row r="756" spans="1:1">
      <c r="A756" s="2" t="e">
        <f>CONCATENATE("'",'Inverter-Full Data'!#REF!,"     ",'Inverter-Full Data'!#REF!,",",'Inverter-Full Data'!#REF!,",",'Inverter-Full Data'!#REF!,",",'Inverter-Full Data'!#REF!,"'")</f>
        <v>#REF!</v>
      </c>
    </row>
    <row r="757" spans="1:1">
      <c r="A757" s="2" t="e">
        <f>CONCATENATE("'",'Inverter-Full Data'!#REF!,"     ",'Inverter-Full Data'!#REF!,",",'Inverter-Full Data'!#REF!,",",'Inverter-Full Data'!#REF!,",",'Inverter-Full Data'!#REF!,"'")</f>
        <v>#REF!</v>
      </c>
    </row>
    <row r="758" spans="1:1">
      <c r="A758" s="2" t="e">
        <f>CONCATENATE("'",'Inverter-Full Data'!#REF!,"     ",'Inverter-Full Data'!#REF!,",",'Inverter-Full Data'!#REF!,",",'Inverter-Full Data'!#REF!,",",'Inverter-Full Data'!#REF!,"'")</f>
        <v>#REF!</v>
      </c>
    </row>
    <row r="759" spans="1:1">
      <c r="A759" s="2" t="e">
        <f>CONCATENATE("'",'Inverter-Full Data'!#REF!,"     ",'Inverter-Full Data'!#REF!,",",'Inverter-Full Data'!#REF!,",",'Inverter-Full Data'!#REF!,",",'Inverter-Full Data'!#REF!,"'")</f>
        <v>#REF!</v>
      </c>
    </row>
    <row r="760" spans="1:1">
      <c r="A760" s="2" t="e">
        <f>CONCATENATE("'",'Inverter-Full Data'!#REF!,"     ",'Inverter-Full Data'!#REF!,",",'Inverter-Full Data'!#REF!,",",'Inverter-Full Data'!#REF!,",",'Inverter-Full Data'!#REF!,"'")</f>
        <v>#REF!</v>
      </c>
    </row>
    <row r="761" spans="1:1">
      <c r="A761" s="2" t="e">
        <f>CONCATENATE("'",'Inverter-Full Data'!#REF!,"     ",'Inverter-Full Data'!#REF!,",",'Inverter-Full Data'!#REF!,",",'Inverter-Full Data'!#REF!,",",'Inverter-Full Data'!#REF!,"'")</f>
        <v>#REF!</v>
      </c>
    </row>
    <row r="762" spans="1:1">
      <c r="A762" s="2" t="e">
        <f>CONCATENATE("'",'Inverter-Full Data'!#REF!,"     ",'Inverter-Full Data'!#REF!,",",'Inverter-Full Data'!#REF!,",",'Inverter-Full Data'!#REF!,",",'Inverter-Full Data'!#REF!,"'")</f>
        <v>#REF!</v>
      </c>
    </row>
    <row r="763" spans="1:1">
      <c r="A763" s="2" t="e">
        <f>CONCATENATE("'",'Inverter-Full Data'!#REF!,"     ",'Inverter-Full Data'!#REF!,",",'Inverter-Full Data'!#REF!,",",'Inverter-Full Data'!#REF!,",",'Inverter-Full Data'!#REF!,"'")</f>
        <v>#REF!</v>
      </c>
    </row>
    <row r="764" spans="1:1">
      <c r="A764" s="2" t="e">
        <f>CONCATENATE("'",'Inverter-Full Data'!#REF!,"     ",'Inverter-Full Data'!#REF!,",",'Inverter-Full Data'!#REF!,",",'Inverter-Full Data'!#REF!,",",'Inverter-Full Data'!#REF!,"'")</f>
        <v>#REF!</v>
      </c>
    </row>
    <row r="765" spans="1:1">
      <c r="A765" s="2" t="e">
        <f>CONCATENATE("'",'Inverter-Full Data'!#REF!,"     ",'Inverter-Full Data'!#REF!,",",'Inverter-Full Data'!#REF!,",",'Inverter-Full Data'!#REF!,",",'Inverter-Full Data'!#REF!,"'")</f>
        <v>#REF!</v>
      </c>
    </row>
    <row r="766" spans="1:1">
      <c r="A766" s="2" t="e">
        <f>CONCATENATE("'",'Inverter-Full Data'!#REF!,"     ",'Inverter-Full Data'!#REF!,",",'Inverter-Full Data'!#REF!,",",'Inverter-Full Data'!#REF!,",",'Inverter-Full Data'!#REF!,"'")</f>
        <v>#REF!</v>
      </c>
    </row>
    <row r="767" spans="1:1">
      <c r="A767" s="2" t="e">
        <f>CONCATENATE("'",'Inverter-Full Data'!#REF!,"     ",'Inverter-Full Data'!#REF!,",",'Inverter-Full Data'!#REF!,",",'Inverter-Full Data'!#REF!,",",'Inverter-Full Data'!#REF!,"'")</f>
        <v>#REF!</v>
      </c>
    </row>
    <row r="768" spans="1:1">
      <c r="A768" s="2" t="e">
        <f>CONCATENATE("'",'Inverter-Full Data'!#REF!,"     ",'Inverter-Full Data'!#REF!,",",'Inverter-Full Data'!#REF!,",",'Inverter-Full Data'!#REF!,",",'Inverter-Full Data'!#REF!,"'")</f>
        <v>#REF!</v>
      </c>
    </row>
    <row r="769" spans="1:1">
      <c r="A769" s="2" t="e">
        <f>CONCATENATE("'",'Inverter-Full Data'!#REF!,"     ",'Inverter-Full Data'!#REF!,",",'Inverter-Full Data'!#REF!,",",'Inverter-Full Data'!#REF!,",",'Inverter-Full Data'!#REF!,"'")</f>
        <v>#REF!</v>
      </c>
    </row>
    <row r="770" spans="1:1">
      <c r="A770" s="2" t="e">
        <f>CONCATENATE("'",'Inverter-Full Data'!#REF!,"     ",'Inverter-Full Data'!#REF!,",",'Inverter-Full Data'!#REF!,",",'Inverter-Full Data'!#REF!,",",'Inverter-Full Data'!#REF!,"'")</f>
        <v>#REF!</v>
      </c>
    </row>
    <row r="771" spans="1:1">
      <c r="A771" s="2" t="e">
        <f>CONCATENATE("'",'Inverter-Full Data'!#REF!,"     ",'Inverter-Full Data'!#REF!,",",'Inverter-Full Data'!#REF!,",",'Inverter-Full Data'!#REF!,",",'Inverter-Full Data'!#REF!,"'")</f>
        <v>#REF!</v>
      </c>
    </row>
    <row r="772" spans="1:1">
      <c r="A772" s="2" t="e">
        <f>CONCATENATE("'",'Inverter-Full Data'!#REF!,"     ",'Inverter-Full Data'!#REF!,",",'Inverter-Full Data'!#REF!,",",'Inverter-Full Data'!#REF!,",",'Inverter-Full Data'!#REF!,"'")</f>
        <v>#REF!</v>
      </c>
    </row>
    <row r="773" spans="1:1">
      <c r="A773" s="2" t="e">
        <f>CONCATENATE("'",'Inverter-Full Data'!#REF!,"     ",'Inverter-Full Data'!#REF!,",",'Inverter-Full Data'!#REF!,",",'Inverter-Full Data'!#REF!,",",'Inverter-Full Data'!#REF!,"'")</f>
        <v>#REF!</v>
      </c>
    </row>
    <row r="774" spans="1:1">
      <c r="A774" s="2" t="e">
        <f>CONCATENATE("'",'Inverter-Full Data'!#REF!,"     ",'Inverter-Full Data'!#REF!,",",'Inverter-Full Data'!#REF!,",",'Inverter-Full Data'!#REF!,",",'Inverter-Full Data'!#REF!,"'")</f>
        <v>#REF!</v>
      </c>
    </row>
    <row r="775" spans="1:1">
      <c r="A775" s="2" t="e">
        <f>CONCATENATE("'",'Inverter-Full Data'!#REF!,"     ",'Inverter-Full Data'!#REF!,",",'Inverter-Full Data'!#REF!,",",'Inverter-Full Data'!#REF!,",",'Inverter-Full Data'!#REF!,"'")</f>
        <v>#REF!</v>
      </c>
    </row>
    <row r="776" spans="1:1">
      <c r="A776" s="2" t="e">
        <f>CONCATENATE("'",'Inverter-Full Data'!#REF!,"     ",'Inverter-Full Data'!#REF!,",",'Inverter-Full Data'!#REF!,",",'Inverter-Full Data'!#REF!,",",'Inverter-Full Data'!#REF!,"'")</f>
        <v>#REF!</v>
      </c>
    </row>
    <row r="777" spans="1:1">
      <c r="A777" s="2" t="e">
        <f>CONCATENATE("'",'Inverter-Full Data'!#REF!,"     ",'Inverter-Full Data'!#REF!,",",'Inverter-Full Data'!#REF!,",",'Inverter-Full Data'!#REF!,",",'Inverter-Full Data'!#REF!,"'")</f>
        <v>#REF!</v>
      </c>
    </row>
    <row r="778" spans="1:1">
      <c r="A778" s="2" t="e">
        <f>CONCATENATE("'",'Inverter-Full Data'!#REF!,"     ",'Inverter-Full Data'!#REF!,",",'Inverter-Full Data'!#REF!,",",'Inverter-Full Data'!#REF!,",",'Inverter-Full Data'!#REF!,"'")</f>
        <v>#REF!</v>
      </c>
    </row>
    <row r="779" spans="1:1">
      <c r="A779" s="2" t="e">
        <f>CONCATENATE("'",'Inverter-Full Data'!#REF!,"     ",'Inverter-Full Data'!#REF!,",",'Inverter-Full Data'!#REF!,",",'Inverter-Full Data'!#REF!,",",'Inverter-Full Data'!#REF!,"'")</f>
        <v>#REF!</v>
      </c>
    </row>
    <row r="780" spans="1:1">
      <c r="A780" s="2" t="e">
        <f>CONCATENATE("'",'Inverter-Full Data'!#REF!,"     ",'Inverter-Full Data'!#REF!,",",'Inverter-Full Data'!#REF!,",",'Inverter-Full Data'!#REF!,",",'Inverter-Full Data'!#REF!,"'")</f>
        <v>#REF!</v>
      </c>
    </row>
    <row r="781" spans="1:1">
      <c r="A781" s="2" t="e">
        <f>CONCATENATE("'",'Inverter-Full Data'!#REF!,"     ",'Inverter-Full Data'!#REF!,",",'Inverter-Full Data'!#REF!,",",'Inverter-Full Data'!#REF!,",",'Inverter-Full Data'!#REF!,"'")</f>
        <v>#REF!</v>
      </c>
    </row>
    <row r="782" spans="1:1">
      <c r="A782" s="2" t="e">
        <f>CONCATENATE("'",'Inverter-Full Data'!#REF!,"     ",'Inverter-Full Data'!#REF!,",",'Inverter-Full Data'!#REF!,",",'Inverter-Full Data'!#REF!,",",'Inverter-Full Data'!#REF!,"'")</f>
        <v>#REF!</v>
      </c>
    </row>
    <row r="783" spans="1:1">
      <c r="A783" s="2" t="e">
        <f>CONCATENATE("'",'Inverter-Full Data'!#REF!,"     ",'Inverter-Full Data'!#REF!,",",'Inverter-Full Data'!#REF!,",",'Inverter-Full Data'!#REF!,",",'Inverter-Full Data'!#REF!,"'")</f>
        <v>#REF!</v>
      </c>
    </row>
    <row r="784" spans="1:1">
      <c r="A784" s="2" t="e">
        <f>CONCATENATE("'",'Inverter-Full Data'!#REF!,"     ",'Inverter-Full Data'!#REF!,",",'Inverter-Full Data'!#REF!,",",'Inverter-Full Data'!#REF!,",",'Inverter-Full Data'!#REF!,"'")</f>
        <v>#REF!</v>
      </c>
    </row>
    <row r="785" spans="1:1">
      <c r="A785" s="2" t="e">
        <f>CONCATENATE("'",'Inverter-Full Data'!#REF!,"     ",'Inverter-Full Data'!#REF!,",",'Inverter-Full Data'!#REF!,",",'Inverter-Full Data'!#REF!,",",'Inverter-Full Data'!#REF!,"'")</f>
        <v>#REF!</v>
      </c>
    </row>
    <row r="786" spans="1:1">
      <c r="A786" s="2" t="str">
        <f>CONCATENATE("'",'Inverter-Full Data'!A130,"     ",'Inverter-Full Data'!B130,",",'Inverter-Full Data'!S130,",",'Inverter-Full Data'!J130,",",'Inverter-Full Data'!T130,"'")</f>
        <v>'ABB     UNO-DM-6.0-TL-PLUS-US-SZM-RA [208V],Y,97,N'</v>
      </c>
    </row>
    <row r="787" spans="1:1">
      <c r="A787" s="2" t="str">
        <f>CONCATENATE("'",'Inverter-Full Data'!A131,"     ",'Inverter-Full Data'!B131,",",'Inverter-Full Data'!S131,",",'Inverter-Full Data'!J131,",",'Inverter-Full Data'!T131,"'")</f>
        <v>'ABB     UNO-DM-6.0-TL-PLUS-US-SZM-RA [240V],Y,97,N'</v>
      </c>
    </row>
    <row r="788" spans="1:1">
      <c r="A788" s="2" t="str">
        <f>CONCATENATE("'",'Inverter-Full Data'!A132,"     ",'Inverter-Full Data'!B132,",",'Inverter-Full Data'!S132,",",'Inverter-Full Data'!J132,",",'Inverter-Full Data'!T132,"'")</f>
        <v>'Altenergy Power System Inc.     QS1 [240V],N,96.5,Y'</v>
      </c>
    </row>
    <row r="789" spans="1:1">
      <c r="A789" s="2" t="e">
        <f>CONCATENATE("'",'Inverter-Full Data'!#REF!,"     ",'Inverter-Full Data'!#REF!,",",'Inverter-Full Data'!#REF!,",",'Inverter-Full Data'!#REF!,",",'Inverter-Full Data'!#REF!,"'")</f>
        <v>#REF!</v>
      </c>
    </row>
    <row r="790" spans="1:1">
      <c r="A790" s="2" t="str">
        <f>CONCATENATE("'",'Inverter-Full Data'!A136,"     ",'Inverter-Full Data'!B136,",",'Inverter-Full Data'!S136,",",'Inverter-Full Data'!J136,",",'Inverter-Full Data'!T136,"'")</f>
        <v>'BYD Auto Industry Company Limited     BEG500KTL-U [480V],N,96,N'</v>
      </c>
    </row>
    <row r="791" spans="1:1">
      <c r="A791" s="2" t="str">
        <f>CONCATENATE("'",'Inverter-Full Data'!A137,"     ",'Inverter-Full Data'!B137,",",'Inverter-Full Data'!S137,",",'Inverter-Full Data'!J137,",",'Inverter-Full Data'!T137,"'")</f>
        <v>'BYD Auto Industry Company Limited     BEG500KTL-U/01 [480V],N,96,N'</v>
      </c>
    </row>
    <row r="792" spans="1:1">
      <c r="A792" s="2" t="str">
        <f>CONCATENATE("'",'Inverter-Full Data'!A138,"     ",'Inverter-Full Data'!B138,",",'Inverter-Full Data'!S138,",",'Inverter-Full Data'!J138,",",'Inverter-Full Data'!T138,"'")</f>
        <v>'BYD Auto Industry Company Limited     BEG60KTL-U-R1 [480V],N,95.5,N'</v>
      </c>
    </row>
    <row r="793" spans="1:1">
      <c r="A793" s="2" t="str">
        <f>CONCATENATE("'",'Inverter-Full Data'!A139,"     ",'Inverter-Full Data'!B139,",",'Inverter-Full Data'!S139,",",'Inverter-Full Data'!J139,",",'Inverter-Full Data'!T139,"'")</f>
        <v>'Canadian Solar Inc.     CSI-125KTL-GS-E [600V],N,98.5,N'</v>
      </c>
    </row>
    <row r="794" spans="1:1">
      <c r="A794" s="2" t="str">
        <f>CONCATENATE("'",'Inverter-Full Data'!A140,"     ",'Inverter-Full Data'!B140,",",'Inverter-Full Data'!S140,",",'Inverter-Full Data'!J140,",",'Inverter-Full Data'!T140,"'")</f>
        <v>'Canadian Solar Inc.     CSI-25KTL-GS-FL [480V],N,98,N'</v>
      </c>
    </row>
    <row r="795" spans="1:1">
      <c r="A795" s="2" t="str">
        <f>CONCATENATE("'",'Inverter-Full Data'!A141,"     ",'Inverter-Full Data'!B141,",",'Inverter-Full Data'!S141,",",'Inverter-Full Data'!J141,",",'Inverter-Full Data'!T141,"'")</f>
        <v>'Canadian Solar Inc.     CSI-25KTL-GS-FLB [480V],N,98,N'</v>
      </c>
    </row>
    <row r="796" spans="1:1">
      <c r="A796" s="2" t="str">
        <f>CONCATENATE("'",'Inverter-Full Data'!A142,"     ",'Inverter-Full Data'!B142,",",'Inverter-Full Data'!S142,",",'Inverter-Full Data'!J142,",",'Inverter-Full Data'!T142,"'")</f>
        <v>'Canadian Solar Inc.     CSI-30KTL-GS-FL [480V],N,98,N'</v>
      </c>
    </row>
    <row r="797" spans="1:1">
      <c r="A797" s="2" t="str">
        <f>CONCATENATE("'",'Inverter-Full Data'!A143,"     ",'Inverter-Full Data'!B143,",",'Inverter-Full Data'!S143,",",'Inverter-Full Data'!J143,",",'Inverter-Full Data'!T143,"'")</f>
        <v>'Canadian Solar Inc.     CSI-30KTL-GS-FLB [480V],N,98,N'</v>
      </c>
    </row>
    <row r="798" spans="1:1">
      <c r="A798" s="2" t="str">
        <f>CONCATENATE("'",'Inverter-Full Data'!A144,"     ",'Inverter-Full Data'!B144,",",'Inverter-Full Data'!S144,",",'Inverter-Full Data'!J144,",",'Inverter-Full Data'!T144,"'")</f>
        <v>'Canadian Solar Inc.     CSI-36KTL-CT [480V],N,98,N'</v>
      </c>
    </row>
    <row r="799" spans="1:1">
      <c r="A799" s="2" t="str">
        <f>CONCATENATE("'",'Inverter-Full Data'!A145,"     ",'Inverter-Full Data'!B145,",",'Inverter-Full Data'!S145,",",'Inverter-Full Data'!J145,",",'Inverter-Full Data'!T145,"'")</f>
        <v>'Canadian Solar Inc.     CSI-36KTL-GS-FL [480V],N,98,N'</v>
      </c>
    </row>
    <row r="800" spans="1:1">
      <c r="A800" s="2" t="e">
        <f>CONCATENATE("'",'Inverter-Full Data'!#REF!,"     ",'Inverter-Full Data'!#REF!,",",'Inverter-Full Data'!#REF!,",",'Inverter-Full Data'!#REF!,",",'Inverter-Full Data'!#REF!,"'")</f>
        <v>#REF!</v>
      </c>
    </row>
    <row r="801" spans="1:1">
      <c r="A801" s="2" t="e">
        <f>CONCATENATE("'",'Inverter-Full Data'!#REF!,"     ",'Inverter-Full Data'!#REF!,",",'Inverter-Full Data'!#REF!,",",'Inverter-Full Data'!#REF!,",",'Inverter-Full Data'!#REF!,"'")</f>
        <v>#REF!</v>
      </c>
    </row>
    <row r="802" spans="1:1">
      <c r="A802" s="2" t="e">
        <f>CONCATENATE("'",'Inverter-Full Data'!#REF!,"     ",'Inverter-Full Data'!#REF!,",",'Inverter-Full Data'!#REF!,",",'Inverter-Full Data'!#REF!,",",'Inverter-Full Data'!#REF!,"'")</f>
        <v>#REF!</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e">
        <f>CONCATENATE("'",'Inverter-Full Data'!#REF!,"     ",'Inverter-Full Data'!#REF!,",",'Inverter-Full Data'!#REF!,",",'Inverter-Full Data'!#REF!,",",'Inverter-Full Data'!#REF!,"'")</f>
        <v>#REF!</v>
      </c>
    </row>
    <row r="806" spans="1:1">
      <c r="A806" s="2" t="e">
        <f>CONCATENATE("'",'Inverter-Full Data'!#REF!,"     ",'Inverter-Full Data'!#REF!,",",'Inverter-Full Data'!#REF!,",",'Inverter-Full Data'!#REF!,",",'Inverter-Full Data'!#REF!,"'")</f>
        <v>#REF!</v>
      </c>
    </row>
    <row r="807" spans="1:1">
      <c r="A807" s="2" t="e">
        <f>CONCATENATE("'",'Inverter-Full Data'!#REF!,"     ",'Inverter-Full Data'!#REF!,",",'Inverter-Full Data'!#REF!,",",'Inverter-Full Data'!#REF!,",",'Inverter-Full Data'!#REF!,"'")</f>
        <v>#REF!</v>
      </c>
    </row>
    <row r="808" spans="1:1">
      <c r="A808" s="2" t="e">
        <f>CONCATENATE("'",'Inverter-Full Data'!#REF!,"     ",'Inverter-Full Data'!#REF!,",",'Inverter-Full Data'!#REF!,",",'Inverter-Full Data'!#REF!,",",'Inverter-Full Data'!#REF!,"'")</f>
        <v>#REF!</v>
      </c>
    </row>
    <row r="809" spans="1:1">
      <c r="A809" s="2" t="e">
        <f>CONCATENATE("'",'Inverter-Full Data'!#REF!,"     ",'Inverter-Full Data'!#REF!,",",'Inverter-Full Data'!#REF!,",",'Inverter-Full Data'!#REF!,",",'Inverter-Full Data'!#REF!,"'")</f>
        <v>#REF!</v>
      </c>
    </row>
    <row r="810" spans="1:1">
      <c r="A810" s="2" t="e">
        <f>CONCATENATE("'",'Inverter-Full Data'!#REF!,"     ",'Inverter-Full Data'!#REF!,",",'Inverter-Full Data'!#REF!,",",'Inverter-Full Data'!#REF!,",",'Inverter-Full Data'!#REF!,"'")</f>
        <v>#REF!</v>
      </c>
    </row>
    <row r="811" spans="1:1">
      <c r="A811" s="2" t="e">
        <f>CONCATENATE("'",'Inverter-Full Data'!#REF!,"     ",'Inverter-Full Data'!#REF!,",",'Inverter-Full Data'!#REF!,",",'Inverter-Full Data'!#REF!,",",'Inverter-Full Data'!#REF!,"'")</f>
        <v>#REF!</v>
      </c>
    </row>
    <row r="812" spans="1:1">
      <c r="A812" s="2" t="e">
        <f>CONCATENATE("'",'Inverter-Full Data'!#REF!,"     ",'Inverter-Full Data'!#REF!,",",'Inverter-Full Data'!#REF!,",",'Inverter-Full Data'!#REF!,",",'Inverter-Full Data'!#REF!,"'")</f>
        <v>#REF!</v>
      </c>
    </row>
    <row r="813" spans="1:1">
      <c r="A813" s="2" t="e">
        <f>CONCATENATE("'",'Inverter-Full Data'!#REF!,"     ",'Inverter-Full Data'!#REF!,",",'Inverter-Full Data'!#REF!,",",'Inverter-Full Data'!#REF!,",",'Inverter-Full Data'!#REF!,"'")</f>
        <v>#REF!</v>
      </c>
    </row>
    <row r="814" spans="1:1">
      <c r="A814" s="2" t="e">
        <f>CONCATENATE("'",'Inverter-Full Data'!#REF!,"     ",'Inverter-Full Data'!#REF!,",",'Inverter-Full Data'!#REF!,",",'Inverter-Full Data'!#REF!,",",'Inverter-Full Data'!#REF!,"'")</f>
        <v>#REF!</v>
      </c>
    </row>
    <row r="815" spans="1:1">
      <c r="A815" s="2" t="e">
        <f>CONCATENATE("'",'Inverter-Full Data'!#REF!,"     ",'Inverter-Full Data'!#REF!,",",'Inverter-Full Data'!#REF!,",",'Inverter-Full Data'!#REF!,",",'Inverter-Full Data'!#REF!,"'")</f>
        <v>#REF!</v>
      </c>
    </row>
    <row r="816" spans="1:1">
      <c r="A816" s="2" t="e">
        <f>CONCATENATE("'",'Inverter-Full Data'!#REF!,"     ",'Inverter-Full Data'!#REF!,",",'Inverter-Full Data'!#REF!,",",'Inverter-Full Data'!#REF!,",",'Inverter-Full Data'!#REF!,"'")</f>
        <v>#REF!</v>
      </c>
    </row>
    <row r="817" spans="1:1">
      <c r="A817" s="2" t="e">
        <f>CONCATENATE("'",'Inverter-Full Data'!#REF!,"     ",'Inverter-Full Data'!#REF!,",",'Inverter-Full Data'!#REF!,",",'Inverter-Full Data'!#REF!,",",'Inverter-Full Data'!#REF!,"'")</f>
        <v>#REF!</v>
      </c>
    </row>
    <row r="818" spans="1:1">
      <c r="A818" s="2" t="e">
        <f>CONCATENATE("'",'Inverter-Full Data'!#REF!,"     ",'Inverter-Full Data'!#REF!,",",'Inverter-Full Data'!#REF!,",",'Inverter-Full Data'!#REF!,",",'Inverter-Full Data'!#REF!,"'")</f>
        <v>#REF!</v>
      </c>
    </row>
    <row r="819" spans="1:1">
      <c r="A819" s="2" t="e">
        <f>CONCATENATE("'",'Inverter-Full Data'!#REF!,"     ",'Inverter-Full Data'!#REF!,",",'Inverter-Full Data'!#REF!,",",'Inverter-Full Data'!#REF!,",",'Inverter-Full Data'!#REF!,"'")</f>
        <v>#REF!</v>
      </c>
    </row>
    <row r="820" spans="1:1">
      <c r="A820" s="2" t="e">
        <f>CONCATENATE("'",'Inverter-Full Data'!#REF!,"     ",'Inverter-Full Data'!#REF!,",",'Inverter-Full Data'!#REF!,",",'Inverter-Full Data'!#REF!,",",'Inverter-Full Data'!#REF!,"'")</f>
        <v>#REF!</v>
      </c>
    </row>
    <row r="821" spans="1:1">
      <c r="A821" s="2" t="e">
        <f>CONCATENATE("'",'Inverter-Full Data'!#REF!,"     ",'Inverter-Full Data'!#REF!,",",'Inverter-Full Data'!#REF!,",",'Inverter-Full Data'!#REF!,",",'Inverter-Full Data'!#REF!,"'")</f>
        <v>#REF!</v>
      </c>
    </row>
    <row r="822" spans="1:1">
      <c r="A822" s="2" t="e">
        <f>CONCATENATE("'",'Inverter-Full Data'!#REF!,"     ",'Inverter-Full Data'!#REF!,",",'Inverter-Full Data'!#REF!,",",'Inverter-Full Data'!#REF!,",",'Inverter-Full Data'!#REF!,"'")</f>
        <v>#REF!</v>
      </c>
    </row>
    <row r="823" spans="1:1">
      <c r="A823" s="2" t="e">
        <f>CONCATENATE("'",'Inverter-Full Data'!#REF!,"     ",'Inverter-Full Data'!#REF!,",",'Inverter-Full Data'!#REF!,",",'Inverter-Full Data'!#REF!,",",'Inverter-Full Data'!#REF!,"'")</f>
        <v>#REF!</v>
      </c>
    </row>
    <row r="824" spans="1:1">
      <c r="A824" s="2" t="e">
        <f>CONCATENATE("'",'Inverter-Full Data'!#REF!,"     ",'Inverter-Full Data'!#REF!,",",'Inverter-Full Data'!#REF!,",",'Inverter-Full Data'!#REF!,",",'Inverter-Full Data'!#REF!,"'")</f>
        <v>#REF!</v>
      </c>
    </row>
    <row r="825" spans="1:1">
      <c r="A825" s="2" t="str">
        <f>CONCATENATE("'",'Inverter-Full Data'!A146,"     ",'Inverter-Full Data'!B146,",",'Inverter-Full Data'!S146,",",'Inverter-Full Data'!J146,",",'Inverter-Full Data'!T146,"'")</f>
        <v>'Canadian Solar Inc.     CSI-36KTL-GS-FLB [480V],N,98,N'</v>
      </c>
    </row>
    <row r="826" spans="1:1">
      <c r="A826" s="2" t="str">
        <f>CONCATENATE("'",'Inverter-Full Data'!A147,"     ",'Inverter-Full Data'!B147,",",'Inverter-Full Data'!S147,",",'Inverter-Full Data'!J147,",",'Inverter-Full Data'!T147,"'")</f>
        <v>'Canadian Solar Inc.     CSI-40KTL-GS [480V],N,98.5,N'</v>
      </c>
    </row>
    <row r="827" spans="1:1">
      <c r="A827" s="2" t="e">
        <f>CONCATENATE("'",'Inverter-Full Data'!#REF!,"     ",'Inverter-Full Data'!#REF!,",",'Inverter-Full Data'!#REF!,",",'Inverter-Full Data'!#REF!,",",'Inverter-Full Data'!#REF!,"'")</f>
        <v>#REF!</v>
      </c>
    </row>
    <row r="828" spans="1:1">
      <c r="A828" s="2" t="e">
        <f>CONCATENATE("'",'Inverter-Full Data'!#REF!,"     ",'Inverter-Full Data'!#REF!,",",'Inverter-Full Data'!#REF!,",",'Inverter-Full Data'!#REF!,",",'Inverter-Full Data'!#REF!,"'")</f>
        <v>#REF!</v>
      </c>
    </row>
    <row r="829" spans="1:1">
      <c r="A829" s="2" t="e">
        <f>CONCATENATE("'",'Inverter-Full Data'!#REF!,"     ",'Inverter-Full Data'!#REF!,",",'Inverter-Full Data'!#REF!,",",'Inverter-Full Data'!#REF!,",",'Inverter-Full Data'!#REF!,"'")</f>
        <v>#REF!</v>
      </c>
    </row>
    <row r="830" spans="1:1">
      <c r="A830" s="2" t="e">
        <f>CONCATENATE("'",'Inverter-Full Data'!#REF!,"     ",'Inverter-Full Data'!#REF!,",",'Inverter-Full Data'!#REF!,",",'Inverter-Full Data'!#REF!,",",'Inverter-Full Data'!#REF!,"'")</f>
        <v>#REF!</v>
      </c>
    </row>
    <row r="831" spans="1:1">
      <c r="A831" s="2" t="e">
        <f>CONCATENATE("'",'Inverter-Full Data'!#REF!,"     ",'Inverter-Full Data'!#REF!,",",'Inverter-Full Data'!#REF!,",",'Inverter-Full Data'!#REF!,",",'Inverter-Full Data'!#REF!,"'")</f>
        <v>#REF!</v>
      </c>
    </row>
    <row r="832" spans="1:1">
      <c r="A832" s="2" t="e">
        <f>CONCATENATE("'",'Inverter-Full Data'!#REF!,"     ",'Inverter-Full Data'!#REF!,",",'Inverter-Full Data'!#REF!,",",'Inverter-Full Data'!#REF!,",",'Inverter-Full Data'!#REF!,"'")</f>
        <v>#REF!</v>
      </c>
    </row>
    <row r="833" spans="1:1">
      <c r="A833" s="2" t="e">
        <f>CONCATENATE("'",'Inverter-Full Data'!#REF!,"     ",'Inverter-Full Data'!#REF!,",",'Inverter-Full Data'!#REF!,",",'Inverter-Full Data'!#REF!,",",'Inverter-Full Data'!#REF!,"'")</f>
        <v>#REF!</v>
      </c>
    </row>
    <row r="834" spans="1:1">
      <c r="A834" s="2" t="e">
        <f>CONCATENATE("'",'Inverter-Full Data'!#REF!,"     ",'Inverter-Full Data'!#REF!,",",'Inverter-Full Data'!#REF!,",",'Inverter-Full Data'!#REF!,",",'Inverter-Full Data'!#REF!,"'")</f>
        <v>#REF!</v>
      </c>
    </row>
    <row r="835" spans="1:1">
      <c r="A835" s="2" t="e">
        <f>CONCATENATE("'",'Inverter-Full Data'!#REF!,"     ",'Inverter-Full Data'!#REF!,",",'Inverter-Full Data'!#REF!,",",'Inverter-Full Data'!#REF!,",",'Inverter-Full Data'!#REF!,"'")</f>
        <v>#REF!</v>
      </c>
    </row>
    <row r="836" spans="1:1">
      <c r="A836" s="2" t="e">
        <f>CONCATENATE("'",'Inverter-Full Data'!#REF!,"     ",'Inverter-Full Data'!#REF!,",",'Inverter-Full Data'!#REF!,",",'Inverter-Full Data'!#REF!,",",'Inverter-Full Data'!#REF!,"'")</f>
        <v>#REF!</v>
      </c>
    </row>
    <row r="837" spans="1:1">
      <c r="A837" s="2" t="e">
        <f>CONCATENATE("'",'Inverter-Full Data'!#REF!,"     ",'Inverter-Full Data'!#REF!,",",'Inverter-Full Data'!#REF!,",",'Inverter-Full Data'!#REF!,",",'Inverter-Full Data'!#REF!,"'")</f>
        <v>#REF!</v>
      </c>
    </row>
    <row r="838" spans="1:1">
      <c r="A838" s="2" t="e">
        <f>CONCATENATE("'",'Inverter-Full Data'!#REF!,"     ",'Inverter-Full Data'!#REF!,",",'Inverter-Full Data'!#REF!,",",'Inverter-Full Data'!#REF!,",",'Inverter-Full Data'!#REF!,"'")</f>
        <v>#REF!</v>
      </c>
    </row>
    <row r="839" spans="1:1">
      <c r="A839" s="2" t="e">
        <f>CONCATENATE("'",'Inverter-Full Data'!#REF!,"     ",'Inverter-Full Data'!#REF!,",",'Inverter-Full Data'!#REF!,",",'Inverter-Full Data'!#REF!,",",'Inverter-Full Data'!#REF!,"'")</f>
        <v>#REF!</v>
      </c>
    </row>
    <row r="840" spans="1:1">
      <c r="A840" s="2" t="e">
        <f>CONCATENATE("'",'Inverter-Full Data'!#REF!,"     ",'Inverter-Full Data'!#REF!,",",'Inverter-Full Data'!#REF!,",",'Inverter-Full Data'!#REF!,",",'Inverter-Full Data'!#REF!,"'")</f>
        <v>#REF!</v>
      </c>
    </row>
    <row r="841" spans="1:1">
      <c r="A841" s="2" t="e">
        <f>CONCATENATE("'",'Inverter-Full Data'!#REF!,"     ",'Inverter-Full Data'!#REF!,",",'Inverter-Full Data'!#REF!,",",'Inverter-Full Data'!#REF!,",",'Inverter-Full Data'!#REF!,"'")</f>
        <v>#REF!</v>
      </c>
    </row>
    <row r="842" spans="1:1">
      <c r="A842" s="2" t="e">
        <f>CONCATENATE("'",'Inverter-Full Data'!#REF!,"     ",'Inverter-Full Data'!#REF!,",",'Inverter-Full Data'!#REF!,",",'Inverter-Full Data'!#REF!,",",'Inverter-Full Data'!#REF!,"'")</f>
        <v>#REF!</v>
      </c>
    </row>
    <row r="843" spans="1:1">
      <c r="A843" s="2" t="e">
        <f>CONCATENATE("'",'Inverter-Full Data'!#REF!,"     ",'Inverter-Full Data'!#REF!,",",'Inverter-Full Data'!#REF!,",",'Inverter-Full Data'!#REF!,",",'Inverter-Full Data'!#REF!,"'")</f>
        <v>#REF!</v>
      </c>
    </row>
    <row r="844" spans="1:1">
      <c r="A844" s="2" t="e">
        <f>CONCATENATE("'",'Inverter-Full Data'!#REF!,"     ",'Inverter-Full Data'!#REF!,",",'Inverter-Full Data'!#REF!,",",'Inverter-Full Data'!#REF!,",",'Inverter-Full Data'!#REF!,"'")</f>
        <v>#REF!</v>
      </c>
    </row>
    <row r="845" spans="1:1">
      <c r="A845" s="2" t="e">
        <f>CONCATENATE("'",'Inverter-Full Data'!#REF!,"     ",'Inverter-Full Data'!#REF!,",",'Inverter-Full Data'!#REF!,",",'Inverter-Full Data'!#REF!,",",'Inverter-Full Data'!#REF!,"'")</f>
        <v>#REF!</v>
      </c>
    </row>
    <row r="846" spans="1:1">
      <c r="A846" s="2" t="e">
        <f>CONCATENATE("'",'Inverter-Full Data'!#REF!,"     ",'Inverter-Full Data'!#REF!,",",'Inverter-Full Data'!#REF!,",",'Inverter-Full Data'!#REF!,",",'Inverter-Full Data'!#REF!,"'")</f>
        <v>#REF!</v>
      </c>
    </row>
    <row r="847" spans="1:1">
      <c r="A847" s="2" t="e">
        <f>CONCATENATE("'",'Inverter-Full Data'!#REF!,"     ",'Inverter-Full Data'!#REF!,",",'Inverter-Full Data'!#REF!,",",'Inverter-Full Data'!#REF!,",",'Inverter-Full Data'!#REF!,"'")</f>
        <v>#REF!</v>
      </c>
    </row>
    <row r="848" spans="1:1">
      <c r="A848" s="2" t="e">
        <f>CONCATENATE("'",'Inverter-Full Data'!#REF!,"     ",'Inverter-Full Data'!#REF!,",",'Inverter-Full Data'!#REF!,",",'Inverter-Full Data'!#REF!,",",'Inverter-Full Data'!#REF!,"'")</f>
        <v>#REF!</v>
      </c>
    </row>
    <row r="849" spans="1:1">
      <c r="A849" s="2" t="e">
        <f>CONCATENATE("'",'Inverter-Full Data'!#REF!,"     ",'Inverter-Full Data'!#REF!,",",'Inverter-Full Data'!#REF!,",",'Inverter-Full Data'!#REF!,",",'Inverter-Full Data'!#REF!,"'")</f>
        <v>#REF!</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Data'!A148,"     ",'Inverter-Full Data'!B148,",",'Inverter-Full Data'!S148,",",'Inverter-Full Data'!J148,",",'Inverter-Full Data'!T148,"'")</f>
        <v>'Canadian Solar Inc.     CSI-40KTL-GS-B [480V],N,98.5,N'</v>
      </c>
    </row>
    <row r="853" spans="1:1">
      <c r="A853" s="2" t="str">
        <f>CONCATENATE("'",'Inverter-Full Data'!A149,"     ",'Inverter-Full Data'!B149,",",'Inverter-Full Data'!S149,",",'Inverter-Full Data'!J149,",",'Inverter-Full Data'!T149,"'")</f>
        <v>'Canadian Solar Inc.     CSI-40KTL-GS-FL [480V],N,98.5,N'</v>
      </c>
    </row>
    <row r="854" spans="1:1">
      <c r="A854" s="2" t="e">
        <f>CONCATENATE("'",'Inverter-Full Data'!#REF!,"     ",'Inverter-Full Data'!#REF!,",",'Inverter-Full Data'!#REF!,",",'Inverter-Full Data'!#REF!,",",'Inverter-Full Data'!#REF!,"'")</f>
        <v>#REF!</v>
      </c>
    </row>
    <row r="855" spans="1:1">
      <c r="A855" s="2" t="str">
        <f>CONCATENATE("'",'Inverter-Full Data'!A150,"     ",'Inverter-Full Data'!B150,",",'Inverter-Full Data'!S150,",",'Inverter-Full Data'!J150,",",'Inverter-Full Data'!T150,"'")</f>
        <v>'Canadian Solar Inc.     CSI-40KTL-GS-FLB [480V],N,98.5,N'</v>
      </c>
    </row>
    <row r="856" spans="1:1">
      <c r="A856" s="2" t="e">
        <f>CONCATENATE("'",'Inverter-Full Data'!#REF!,"     ",'Inverter-Full Data'!#REF!,",",'Inverter-Full Data'!#REF!,",",'Inverter-Full Data'!#REF!,",",'Inverter-Full Data'!#REF!,"'")</f>
        <v>#REF!</v>
      </c>
    </row>
    <row r="857" spans="1:1">
      <c r="A857" s="2" t="e">
        <f>CONCATENATE("'",'Inverter-Full Data'!#REF!,"     ",'Inverter-Full Data'!#REF!,",",'Inverter-Full Data'!#REF!,",",'Inverter-Full Data'!#REF!,",",'Inverter-Full Data'!#REF!,"'")</f>
        <v>#REF!</v>
      </c>
    </row>
    <row r="858" spans="1:1">
      <c r="A858" s="2" t="str">
        <f>CONCATENATE("'",'Inverter-Full Data'!A151,"     ",'Inverter-Full Data'!B151,",",'Inverter-Full Data'!S151,",",'Inverter-Full Data'!J151,",",'Inverter-Full Data'!T151,"'")</f>
        <v>'Canadian Solar Inc.     CSI-50KTL-CT [480V],N,98.5,N'</v>
      </c>
    </row>
    <row r="859" spans="1:1">
      <c r="A859" s="2" t="str">
        <f>CONCATENATE("'",'Inverter-Full Data'!A152,"     ",'Inverter-Full Data'!B152,",",'Inverter-Full Data'!S152,",",'Inverter-Full Data'!J152,",",'Inverter-Full Data'!T152,"'")</f>
        <v>'Canadian Solar Inc.     CSI-50KTL-GS [480V]  ,N,98.5,N'</v>
      </c>
    </row>
    <row r="860" spans="1:1">
      <c r="A860" s="2" t="e">
        <f>CONCATENATE("'",'Inverter-Full Data'!#REF!,"     ",'Inverter-Full Data'!#REF!,",",'Inverter-Full Data'!#REF!,",",'Inverter-Full Data'!#REF!,",",'Inverter-Full Data'!#REF!,"'")</f>
        <v>#REF!</v>
      </c>
    </row>
    <row r="861" spans="1:1">
      <c r="A861" s="2" t="e">
        <f>CONCATENATE("'",'Inverter-Full Data'!#REF!,"     ",'Inverter-Full Data'!#REF!,",",'Inverter-Full Data'!#REF!,",",'Inverter-Full Data'!#REF!,",",'Inverter-Full Data'!#REF!,"'")</f>
        <v>#REF!</v>
      </c>
    </row>
    <row r="862" spans="1:1">
      <c r="A862" s="2" t="e">
        <f>CONCATENATE("'",'Inverter-Full Data'!#REF!,"     ",'Inverter-Full Data'!#REF!,",",'Inverter-Full Data'!#REF!,",",'Inverter-Full Data'!#REF!,",",'Inverter-Full Data'!#REF!,"'")</f>
        <v>#REF!</v>
      </c>
    </row>
    <row r="863" spans="1:1">
      <c r="A863" s="2" t="e">
        <f>CONCATENATE("'",'Inverter-Full Data'!#REF!,"     ",'Inverter-Full Data'!#REF!,",",'Inverter-Full Data'!#REF!,",",'Inverter-Full Data'!#REF!,",",'Inverter-Full Data'!#REF!,"'")</f>
        <v>#REF!</v>
      </c>
    </row>
    <row r="864" spans="1:1">
      <c r="A864" s="2" t="e">
        <f>CONCATENATE("'",'Inverter-Full Data'!#REF!,"     ",'Inverter-Full Data'!#REF!,",",'Inverter-Full Data'!#REF!,",",'Inverter-Full Data'!#REF!,",",'Inverter-Full Data'!#REF!,"'")</f>
        <v>#REF!</v>
      </c>
    </row>
    <row r="865" spans="1:1">
      <c r="A865" s="2" t="e">
        <f>CONCATENATE("'",'Inverter-Full Data'!#REF!,"     ",'Inverter-Full Data'!#REF!,",",'Inverter-Full Data'!#REF!,",",'Inverter-Full Data'!#REF!,",",'Inverter-Full Data'!#REF!,"'")</f>
        <v>#REF!</v>
      </c>
    </row>
    <row r="866" spans="1:1">
      <c r="A866" s="2" t="e">
        <f>CONCATENATE("'",'Inverter-Full Data'!#REF!,"     ",'Inverter-Full Data'!#REF!,",",'Inverter-Full Data'!#REF!,",",'Inverter-Full Data'!#REF!,",",'Inverter-Full Data'!#REF!,"'")</f>
        <v>#REF!</v>
      </c>
    </row>
    <row r="867" spans="1:1">
      <c r="A867" s="2" t="e">
        <f>CONCATENATE("'",'Inverter-Full Data'!#REF!,"     ",'Inverter-Full Data'!#REF!,",",'Inverter-Full Data'!#REF!,",",'Inverter-Full Data'!#REF!,",",'Inverter-Full Data'!#REF!,"'")</f>
        <v>#REF!</v>
      </c>
    </row>
    <row r="868" spans="1:1">
      <c r="A868" s="2" t="e">
        <f>CONCATENATE("'",'Inverter-Full Data'!#REF!,"     ",'Inverter-Full Data'!#REF!,",",'Inverter-Full Data'!#REF!,",",'Inverter-Full Data'!#REF!,",",'Inverter-Full Data'!#REF!,"'")</f>
        <v>#REF!</v>
      </c>
    </row>
    <row r="869" spans="1:1">
      <c r="A869" s="2" t="e">
        <f>CONCATENATE("'",'Inverter-Full Data'!#REF!,"     ",'Inverter-Full Data'!#REF!,",",'Inverter-Full Data'!#REF!,",",'Inverter-Full Data'!#REF!,",",'Inverter-Full Data'!#REF!,"'")</f>
        <v>#REF!</v>
      </c>
    </row>
    <row r="870" spans="1:1">
      <c r="A870" s="2" t="e">
        <f>CONCATENATE("'",'Inverter-Full Data'!#REF!,"     ",'Inverter-Full Data'!#REF!,",",'Inverter-Full Data'!#REF!,",",'Inverter-Full Data'!#REF!,",",'Inverter-Full Data'!#REF!,"'")</f>
        <v>#REF!</v>
      </c>
    </row>
    <row r="871" spans="1:1">
      <c r="A871" s="2" t="e">
        <f>CONCATENATE("'",'Inverter-Full Data'!#REF!,"     ",'Inverter-Full Data'!#REF!,",",'Inverter-Full Data'!#REF!,",",'Inverter-Full Data'!#REF!,",",'Inverter-Full Data'!#REF!,"'")</f>
        <v>#REF!</v>
      </c>
    </row>
    <row r="872" spans="1:1">
      <c r="A872" s="2" t="e">
        <f>CONCATENATE("'",'Inverter-Full Data'!#REF!,"     ",'Inverter-Full Data'!#REF!,",",'Inverter-Full Data'!#REF!,",",'Inverter-Full Data'!#REF!,",",'Inverter-Full Data'!#REF!,"'")</f>
        <v>#REF!</v>
      </c>
    </row>
    <row r="873" spans="1:1">
      <c r="A873" s="2" t="e">
        <f>CONCATENATE("'",'Inverter-Full Data'!#REF!,"     ",'Inverter-Full Data'!#REF!,",",'Inverter-Full Data'!#REF!,",",'Inverter-Full Data'!#REF!,",",'Inverter-Full Data'!#REF!,"'")</f>
        <v>#REF!</v>
      </c>
    </row>
    <row r="874" spans="1:1">
      <c r="A874" s="2" t="e">
        <f>CONCATENATE("'",'Inverter-Full Data'!#REF!,"     ",'Inverter-Full Data'!#REF!,",",'Inverter-Full Data'!#REF!,",",'Inverter-Full Data'!#REF!,",",'Inverter-Full Data'!#REF!,"'")</f>
        <v>#REF!</v>
      </c>
    </row>
    <row r="875" spans="1:1">
      <c r="A875" s="2" t="e">
        <f>CONCATENATE("'",'Inverter-Full Data'!#REF!,"     ",'Inverter-Full Data'!#REF!,",",'Inverter-Full Data'!#REF!,",",'Inverter-Full Data'!#REF!,",",'Inverter-Full Data'!#REF!,"'")</f>
        <v>#REF!</v>
      </c>
    </row>
    <row r="876" spans="1:1">
      <c r="A876" s="2" t="e">
        <f>CONCATENATE("'",'Inverter-Full Data'!#REF!,"     ",'Inverter-Full Data'!#REF!,",",'Inverter-Full Data'!#REF!,",",'Inverter-Full Data'!#REF!,",",'Inverter-Full Data'!#REF!,"'")</f>
        <v>#REF!</v>
      </c>
    </row>
    <row r="877" spans="1:1">
      <c r="A877" s="2" t="e">
        <f>CONCATENATE("'",'Inverter-Full Data'!#REF!,"     ",'Inverter-Full Data'!#REF!,",",'Inverter-Full Data'!#REF!,",",'Inverter-Full Data'!#REF!,",",'Inverter-Full Data'!#REF!,"'")</f>
        <v>#REF!</v>
      </c>
    </row>
    <row r="878" spans="1:1">
      <c r="A878" s="2" t="e">
        <f>CONCATENATE("'",'Inverter-Full Data'!#REF!,"     ",'Inverter-Full Data'!#REF!,",",'Inverter-Full Data'!#REF!,",",'Inverter-Full Data'!#REF!,",",'Inverter-Full Data'!#REF!,"'")</f>
        <v>#REF!</v>
      </c>
    </row>
    <row r="879" spans="1:1">
      <c r="A879" s="2" t="e">
        <f>CONCATENATE("'",'Inverter-Full Data'!#REF!,"     ",'Inverter-Full Data'!#REF!,",",'Inverter-Full Data'!#REF!,",",'Inverter-Full Data'!#REF!,",",'Inverter-Full Data'!#REF!,"'")</f>
        <v>#REF!</v>
      </c>
    </row>
    <row r="880" spans="1:1">
      <c r="A880" s="2" t="e">
        <f>CONCATENATE("'",'Inverter-Full Data'!#REF!,"     ",'Inverter-Full Data'!#REF!,",",'Inverter-Full Data'!#REF!,",",'Inverter-Full Data'!#REF!,",",'Inverter-Full Data'!#REF!,"'")</f>
        <v>#REF!</v>
      </c>
    </row>
    <row r="881" spans="1:1">
      <c r="A881" s="2" t="e">
        <f>CONCATENATE("'",'Inverter-Full Data'!#REF!,"     ",'Inverter-Full Data'!#REF!,",",'Inverter-Full Data'!#REF!,",",'Inverter-Full Data'!#REF!,",",'Inverter-Full Data'!#REF!,"'")</f>
        <v>#REF!</v>
      </c>
    </row>
    <row r="882" spans="1:1">
      <c r="A882" s="2" t="e">
        <f>CONCATENATE("'",'Inverter-Full Data'!#REF!,"     ",'Inverter-Full Data'!#REF!,",",'Inverter-Full Data'!#REF!,",",'Inverter-Full Data'!#REF!,",",'Inverter-Full Data'!#REF!,"'")</f>
        <v>#REF!</v>
      </c>
    </row>
    <row r="883" spans="1:1">
      <c r="A883" s="2" t="e">
        <f>CONCATENATE("'",'Inverter-Full Data'!#REF!,"     ",'Inverter-Full Data'!#REF!,",",'Inverter-Full Data'!#REF!,",",'Inverter-Full Data'!#REF!,",",'Inverter-Full Data'!#REF!,"'")</f>
        <v>#REF!</v>
      </c>
    </row>
    <row r="884" spans="1:1">
      <c r="A884" s="2" t="e">
        <f>CONCATENATE("'",'Inverter-Full Data'!#REF!,"     ",'Inverter-Full Data'!#REF!,",",'Inverter-Full Data'!#REF!,",",'Inverter-Full Data'!#REF!,",",'Inverter-Full Data'!#REF!,"'")</f>
        <v>#REF!</v>
      </c>
    </row>
    <row r="885" spans="1:1">
      <c r="A885" s="2" t="e">
        <f>CONCATENATE("'",'Inverter-Full Data'!#REF!,"     ",'Inverter-Full Data'!#REF!,",",'Inverter-Full Data'!#REF!,",",'Inverter-Full Data'!#REF!,",",'Inverter-Full Data'!#REF!,"'")</f>
        <v>#REF!</v>
      </c>
    </row>
    <row r="886" spans="1:1">
      <c r="A886" s="2" t="e">
        <f>CONCATENATE("'",'Inverter-Full Data'!#REF!,"     ",'Inverter-Full Data'!#REF!,",",'Inverter-Full Data'!#REF!,",",'Inverter-Full Data'!#REF!,",",'Inverter-Full Data'!#REF!,"'")</f>
        <v>#REF!</v>
      </c>
    </row>
    <row r="887" spans="1:1">
      <c r="A887" s="2" t="e">
        <f>CONCATENATE("'",'Inverter-Full Data'!#REF!,"     ",'Inverter-Full Data'!#REF!,",",'Inverter-Full Data'!#REF!,",",'Inverter-Full Data'!#REF!,",",'Inverter-Full Data'!#REF!,"'")</f>
        <v>#REF!</v>
      </c>
    </row>
    <row r="888" spans="1:1">
      <c r="A888" s="2" t="e">
        <f>CONCATENATE("'",'Inverter-Full Data'!#REF!,"     ",'Inverter-Full Data'!#REF!,",",'Inverter-Full Data'!#REF!,",",'Inverter-Full Data'!#REF!,",",'Inverter-Full Data'!#REF!,"'")</f>
        <v>#REF!</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e">
        <f>CONCATENATE("'",'Inverter-Full Data'!#REF!,"     ",'Inverter-Full Data'!#REF!,",",'Inverter-Full Data'!#REF!,",",'Inverter-Full Data'!#REF!,",",'Inverter-Full Data'!#REF!,"'")</f>
        <v>#REF!</v>
      </c>
    </row>
    <row r="897" spans="1:1">
      <c r="A897" s="2" t="e">
        <f>CONCATENATE("'",'Inverter-Full Data'!#REF!,"     ",'Inverter-Full Data'!#REF!,",",'Inverter-Full Data'!#REF!,",",'Inverter-Full Data'!#REF!,",",'Inverter-Full Data'!#REF!,"'")</f>
        <v>#REF!</v>
      </c>
    </row>
    <row r="898" spans="1:1">
      <c r="A898" s="2" t="e">
        <f>CONCATENATE("'",'Inverter-Full Data'!#REF!,"     ",'Inverter-Full Data'!#REF!,",",'Inverter-Full Data'!#REF!,",",'Inverter-Full Data'!#REF!,",",'Inverter-Full Data'!#REF!,"'")</f>
        <v>#REF!</v>
      </c>
    </row>
    <row r="899" spans="1:1">
      <c r="A899" s="2" t="e">
        <f>CONCATENATE("'",'Inverter-Full Data'!#REF!,"     ",'Inverter-Full Data'!#REF!,",",'Inverter-Full Data'!#REF!,",",'Inverter-Full Data'!#REF!,",",'Inverter-Full Data'!#REF!,"'")</f>
        <v>#REF!</v>
      </c>
    </row>
    <row r="900" spans="1:1">
      <c r="A900" s="2" t="e">
        <f>CONCATENATE("'",'Inverter-Full Data'!#REF!,"     ",'Inverter-Full Data'!#REF!,",",'Inverter-Full Data'!#REF!,",",'Inverter-Full Data'!#REF!,",",'Inverter-Full Data'!#REF!,"'")</f>
        <v>#REF!</v>
      </c>
    </row>
    <row r="901" spans="1:1">
      <c r="A901" s="2" t="e">
        <f>CONCATENATE("'",'Inverter-Full Data'!#REF!,"     ",'Inverter-Full Data'!#REF!,",",'Inverter-Full Data'!#REF!,",",'Inverter-Full Data'!#REF!,",",'Inverter-Full Data'!#REF!,"'")</f>
        <v>#REF!</v>
      </c>
    </row>
    <row r="902" spans="1:1">
      <c r="A902" s="2" t="e">
        <f>CONCATENATE("'",'Inverter-Full Data'!#REF!,"     ",'Inverter-Full Data'!#REF!,",",'Inverter-Full Data'!#REF!,",",'Inverter-Full Data'!#REF!,",",'Inverter-Full Data'!#REF!,"'")</f>
        <v>#REF!</v>
      </c>
    </row>
    <row r="903" spans="1:1">
      <c r="A903" s="2" t="e">
        <f>CONCATENATE("'",'Inverter-Full Data'!#REF!,"     ",'Inverter-Full Data'!#REF!,",",'Inverter-Full Data'!#REF!,",",'Inverter-Full Data'!#REF!,",",'Inverter-Full Data'!#REF!,"'")</f>
        <v>#REF!</v>
      </c>
    </row>
    <row r="904" spans="1:1">
      <c r="A904" s="2" t="e">
        <f>CONCATENATE("'",'Inverter-Full Data'!#REF!,"     ",'Inverter-Full Data'!#REF!,",",'Inverter-Full Data'!#REF!,",",'Inverter-Full Data'!#REF!,",",'Inverter-Full Data'!#REF!,"'")</f>
        <v>#REF!</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Data'!A153,"     ",'Inverter-Full Data'!B153,",",'Inverter-Full Data'!S153,",",'Inverter-Full Data'!J153,",",'Inverter-Full Data'!T153,"'")</f>
        <v>'Canadian Solar Inc.     CSI-50KTL-GS-B [480V],N,98.5,N'</v>
      </c>
    </row>
    <row r="908" spans="1:1">
      <c r="A908" s="2" t="e">
        <f>CONCATENATE("'",'Inverter-Full Data'!#REF!,"     ",'Inverter-Full Data'!#REF!,",",'Inverter-Full Data'!#REF!,",",'Inverter-Full Data'!#REF!,",",'Inverter-Full Data'!#REF!,"'")</f>
        <v>#REF!</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e">
        <f>CONCATENATE("'",'Inverter-Full Data'!#REF!,"     ",'Inverter-Full Data'!#REF!,",",'Inverter-Full Data'!#REF!,",",'Inverter-Full Data'!#REF!,",",'Inverter-Full Data'!#REF!,"'")</f>
        <v>#REF!</v>
      </c>
    </row>
    <row r="912" spans="1:1">
      <c r="A912" s="2" t="str">
        <f>CONCATENATE("'",'Inverter-Full Data'!A154,"     ",'Inverter-Full Data'!B154,",",'Inverter-Full Data'!S154,",",'Inverter-Full Data'!J154,",",'Inverter-Full Data'!T154,"'")</f>
        <v>'Canadian Solar Inc.     CSI-50KTL-GS-FL [480V] ,N,98.5,N'</v>
      </c>
    </row>
    <row r="913" spans="1:1">
      <c r="A913" s="2" t="e">
        <f>CONCATENATE("'",'Inverter-Full Data'!#REF!,"     ",'Inverter-Full Data'!#REF!,",",'Inverter-Full Data'!#REF!,",",'Inverter-Full Data'!#REF!,",",'Inverter-Full Data'!#REF!,"'")</f>
        <v>#REF!</v>
      </c>
    </row>
    <row r="914" spans="1:1">
      <c r="A914" s="2" t="str">
        <f>CONCATENATE("'",'Inverter-Full Data'!A155,"     ",'Inverter-Full Data'!B155,",",'Inverter-Full Data'!S155,",",'Inverter-Full Data'!J155,",",'Inverter-Full Data'!T155,"'")</f>
        <v>'Canadian Solar Inc.     CSI-50KTL-GS-FLB [480V],N,98.5,N'</v>
      </c>
    </row>
    <row r="915" spans="1:1">
      <c r="A915" s="2" t="str">
        <f>CONCATENATE("'",'Inverter-Full Data'!A156,"     ",'Inverter-Full Data'!B156,",",'Inverter-Full Data'!S156,",",'Inverter-Full Data'!J156,",",'Inverter-Full Data'!T156,"'")</f>
        <v>'Canadian Solar Inc.     CSI-60KTL-CT [480V],N,98.5,N'</v>
      </c>
    </row>
    <row r="916" spans="1:1">
      <c r="A916" s="2" t="str">
        <f>CONCATENATE("'",'Inverter-Full Data'!A157,"     ",'Inverter-Full Data'!B157,",",'Inverter-Full Data'!S157,",",'Inverter-Full Data'!J157,",",'Inverter-Full Data'!T157,"'")</f>
        <v>'Canadian Solar Inc.     CSI-60KTL-GS [480V],N,98.5,N'</v>
      </c>
    </row>
    <row r="917" spans="1:1">
      <c r="A917" s="2" t="str">
        <f>CONCATENATE("'",'Inverter-Full Data'!A158,"     ",'Inverter-Full Data'!B158,",",'Inverter-Full Data'!S158,",",'Inverter-Full Data'!J158,",",'Inverter-Full Data'!T158,"'")</f>
        <v>'Canadian Solar Inc.     CSI-60KTL-GS-B [480V],N,98.5,N'</v>
      </c>
    </row>
    <row r="918" spans="1:1">
      <c r="A918" s="2" t="str">
        <f>CONCATENATE("'",'Inverter-Full Data'!A159,"     ",'Inverter-Full Data'!B159,",",'Inverter-Full Data'!S159,",",'Inverter-Full Data'!J159,",",'Inverter-Full Data'!T159,"'")</f>
        <v>'Canadian Solar Inc.     CSI-66KTL-GS [480V],N,98.5,N'</v>
      </c>
    </row>
    <row r="919" spans="1:1">
      <c r="A919" s="2" t="str">
        <f>CONCATENATE("'",'Inverter-Full Data'!A160,"     ",'Inverter-Full Data'!B160,",",'Inverter-Full Data'!S160,",",'Inverter-Full Data'!J160,",",'Inverter-Full Data'!T160,"'")</f>
        <v>'Canadian Solar Inc.     CSI-66KTL-GS-B [480V],N,98.5,N'</v>
      </c>
    </row>
    <row r="920" spans="1:1">
      <c r="A920" s="2" t="e">
        <f>CONCATENATE("'",'Inverter-Full Data'!#REF!,"     ",'Inverter-Full Data'!#REF!,",",'Inverter-Full Data'!#REF!,",",'Inverter-Full Data'!#REF!,",",'Inverter-Full Data'!#REF!,"'")</f>
        <v>#REF!</v>
      </c>
    </row>
    <row r="921" spans="1:1">
      <c r="A921" s="2" t="str">
        <f>CONCATENATE("'",'Inverter-Full Data'!A161,"     ",'Inverter-Full Data'!B161,",",'Inverter-Full Data'!S161,",",'Inverter-Full Data'!J161,",",'Inverter-Full Data'!T161,"'")</f>
        <v>'Chilicon Power, LLC     CP-250E-60/72-208/240-MC4 [208V],N,95.5,Y'</v>
      </c>
    </row>
    <row r="922" spans="1:1">
      <c r="A922" s="2" t="e">
        <f>CONCATENATE("'",'Inverter-Full Data'!#REF!,"     ",'Inverter-Full Data'!#REF!,",",'Inverter-Full Data'!#REF!,",",'Inverter-Full Data'!#REF!,",",'Inverter-Full Data'!#REF!,"'")</f>
        <v>#REF!</v>
      </c>
    </row>
    <row r="923" spans="1:1">
      <c r="A923" s="2" t="str">
        <f>CONCATENATE("'",'Inverter-Full Data'!A162,"     ",'Inverter-Full Data'!B162,",",'Inverter-Full Data'!S162,",",'Inverter-Full Data'!J162,",",'Inverter-Full Data'!T162,"'")</f>
        <v>'Chilicon Power, LLC     CP-250E-60/72-208/240-MC4 [240V],N,96,Y'</v>
      </c>
    </row>
    <row r="924" spans="1:1">
      <c r="A924" s="2" t="str">
        <f>CONCATENATE("'",'Inverter-Full Data'!A163,"     ",'Inverter-Full Data'!B163,",",'Inverter-Full Data'!S163,",",'Inverter-Full Data'!J163,",",'Inverter-Full Data'!T163,"'")</f>
        <v>'Chilicon Power, LLC     CP-720-60/72/96-208/240-MC4 [208V],N,95.5,Y'</v>
      </c>
    </row>
    <row r="925" spans="1:1">
      <c r="A925" s="2" t="str">
        <f>CONCATENATE("'",'Inverter-Full Data'!A164,"     ",'Inverter-Full Data'!B164,",",'Inverter-Full Data'!S164,",",'Inverter-Full Data'!J164,",",'Inverter-Full Data'!T164,"'")</f>
        <v>'Chilicon Power, LLC     CP-720-60/72/96-208/240-MC4 [240V],N,96,Y'</v>
      </c>
    </row>
    <row r="926" spans="1:1">
      <c r="A926" s="2" t="str">
        <f>CONCATENATE("'",'Inverter-Full Data'!A165,"     ",'Inverter-Full Data'!B165,",",'Inverter-Full Data'!S165,",",'Inverter-Full Data'!J165,",",'Inverter-Full Data'!T165,"'")</f>
        <v>'Chint Power Systems America     CPS ECB30KTL-O/US [480V],N,97,N'</v>
      </c>
    </row>
    <row r="927" spans="1:1">
      <c r="A927" s="2" t="str">
        <f>CONCATENATE("'",'Inverter-Full Data'!A166,"     ",'Inverter-Full Data'!B166,",",'Inverter-Full Data'!S166,",",'Inverter-Full Data'!J166,",",'Inverter-Full Data'!T166,"'")</f>
        <v>'Chint Power Systems America     CPS SCA36KTL-DO/US [480V],Y,98,N'</v>
      </c>
    </row>
    <row r="928" spans="1:1">
      <c r="A928" s="2" t="e">
        <f>CONCATENATE("'",'Inverter-Full Data'!#REF!,"     ",'Inverter-Full Data'!#REF!,",",'Inverter-Full Data'!#REF!,",",'Inverter-Full Data'!#REF!,",",'Inverter-Full Data'!#REF!,"'")</f>
        <v>#REF!</v>
      </c>
    </row>
    <row r="929" spans="1:1">
      <c r="A929" s="2" t="e">
        <f>CONCATENATE("'",'Inverter-Full Data'!#REF!,"     ",'Inverter-Full Data'!#REF!,",",'Inverter-Full Data'!#REF!,",",'Inverter-Full Data'!#REF!,",",'Inverter-Full Data'!#REF!,"'")</f>
        <v>#REF!</v>
      </c>
    </row>
    <row r="930" spans="1:1">
      <c r="A930" s="2" t="e">
        <f>CONCATENATE("'",'Inverter-Full Data'!#REF!,"     ",'Inverter-Full Data'!#REF!,",",'Inverter-Full Data'!#REF!,",",'Inverter-Full Data'!#REF!,",",'Inverter-Full Data'!#REF!,"'")</f>
        <v>#REF!</v>
      </c>
    </row>
    <row r="931" spans="1:1">
      <c r="A931" s="2" t="e">
        <f>CONCATENATE("'",'Inverter-Full Data'!#REF!,"     ",'Inverter-Full Data'!#REF!,",",'Inverter-Full Data'!#REF!,",",'Inverter-Full Data'!#REF!,",",'Inverter-Full Data'!#REF!,"'")</f>
        <v>#REF!</v>
      </c>
    </row>
    <row r="932" spans="1:1">
      <c r="A932" s="2" t="e">
        <f>CONCATENATE("'",'Inverter-Full Data'!#REF!,"     ",'Inverter-Full Data'!#REF!,",",'Inverter-Full Data'!#REF!,",",'Inverter-Full Data'!#REF!,",",'Inverter-Full Data'!#REF!,"'")</f>
        <v>#REF!</v>
      </c>
    </row>
    <row r="933" spans="1:1">
      <c r="A933" s="2" t="str">
        <f>CONCATENATE("'",'Inverter-Full Data'!A167,"     ",'Inverter-Full Data'!B167,",",'Inverter-Full Data'!S167,",",'Inverter-Full Data'!J167,",",'Inverter-Full Data'!T167,"'")</f>
        <v>'Chint Power Systems America     CPS SCA50KTL-DO/US-480 [480V],Y,98.5,N'</v>
      </c>
    </row>
    <row r="934" spans="1:1">
      <c r="A934" s="2" t="e">
        <f>CONCATENATE("'",'Inverter-Full Data'!#REF!,"     ",'Inverter-Full Data'!#REF!,",",'Inverter-Full Data'!#REF!,",",'Inverter-Full Data'!#REF!,",",'Inverter-Full Data'!#REF!,"'")</f>
        <v>#REF!</v>
      </c>
    </row>
    <row r="935" spans="1:1">
      <c r="A935" s="2" t="str">
        <f>CONCATENATE("'",'Inverter-Full Data'!A168,"     ",'Inverter-Full Data'!B168,",",'Inverter-Full Data'!S168,",",'Inverter-Full Data'!J168,",",'Inverter-Full Data'!T168,"'")</f>
        <v>'Chint Power Systems America     CPS SCA60KTL-DO/US-480 [480V],Y,98.5,N'</v>
      </c>
    </row>
    <row r="936" spans="1:1">
      <c r="A936" s="2" t="str">
        <f>CONCATENATE("'",'Inverter-Full Data'!A169,"     ",'Inverter-Full Data'!B169,",",'Inverter-Full Data'!S169,",",'Inverter-Full Data'!J169,",",'Inverter-Full Data'!T169,"'")</f>
        <v>'Chint Power Systems America     CPS SCH100KTL-AIO/US-600 [600V],N,98.5,N'</v>
      </c>
    </row>
    <row r="937" spans="1:1">
      <c r="A937" s="2" t="str">
        <f>CONCATENATE("'",'Inverter-Full Data'!A170,"     ",'Inverter-Full Data'!B170,",",'Inverter-Full Data'!S170,",",'Inverter-Full Data'!J170,",",'Inverter-Full Data'!T170,"'")</f>
        <v>'Chint Power Systems America     CPS SCH100KTL-DO/US-600 [600V],N,98.5,N'</v>
      </c>
    </row>
    <row r="938" spans="1:1">
      <c r="A938" s="2" t="str">
        <f>CONCATENATE("'",'Inverter-Full Data'!A171,"     ",'Inverter-Full Data'!B171,",",'Inverter-Full Data'!S171,",",'Inverter-Full Data'!J171,",",'Inverter-Full Data'!T171,"'")</f>
        <v>'Chint Power Systems America     CPS SCH125KTL-AIO/US-600 [600V],N,98.5,N'</v>
      </c>
    </row>
    <row r="939" spans="1:1">
      <c r="A939" s="2" t="e">
        <f>CONCATENATE("'",'Inverter-Full Data'!#REF!,"     ",'Inverter-Full Data'!#REF!,",",'Inverter-Full Data'!#REF!,",",'Inverter-Full Data'!#REF!,",",'Inverter-Full Data'!#REF!,"'")</f>
        <v>#REF!</v>
      </c>
    </row>
    <row r="940" spans="1:1">
      <c r="A940" s="2" t="str">
        <f>CONCATENATE("'",'Inverter-Full Data'!A172,"     ",'Inverter-Full Data'!B172,",",'Inverter-Full Data'!S172,",",'Inverter-Full Data'!J172,",",'Inverter-Full Data'!T172,"'")</f>
        <v>'Chint Power Systems America     CPS SCH125KTL-DO/US-600 [600V],N,98.5,N'</v>
      </c>
    </row>
    <row r="941" spans="1:1">
      <c r="A941" s="2" t="str">
        <f>CONCATENATE("'",'Inverter-Full Data'!A173,"     ",'Inverter-Full Data'!B173,",",'Inverter-Full Data'!S173,",",'Inverter-Full Data'!J173,",",'Inverter-Full Data'!T173,"'")</f>
        <v>'Darfon Electronics Corp.     H5000x [240V],N,95.5,N'</v>
      </c>
    </row>
    <row r="942" spans="1:1">
      <c r="A942" s="2" t="e">
        <f>CONCATENATE("'",'Inverter-Full Data'!#REF!,"     ",'Inverter-Full Data'!#REF!,",",'Inverter-Full Data'!#REF!,",",'Inverter-Full Data'!#REF!,",",'Inverter-Full Data'!#REF!,"'")</f>
        <v>#REF!</v>
      </c>
    </row>
    <row r="943" spans="1:1">
      <c r="A943" s="2" t="str">
        <f>CONCATENATE("'",'Inverter-Full Data'!A174,"     ",'Inverter-Full Data'!B174,",",'Inverter-Full Data'!S174,",",'Inverter-Full Data'!J174,",",'Inverter-Full Data'!T174,"'")</f>
        <v>'Darfon Electronics Corp.     HB51xxxxxx [240V],N,90,N'</v>
      </c>
    </row>
    <row r="944" spans="1:1">
      <c r="A944" s="2" t="str">
        <f>CONCATENATE("'",'Inverter-Full Data'!A175,"     ",'Inverter-Full Data'!B175,",",'Inverter-Full Data'!S175,",",'Inverter-Full Data'!J175,",",'Inverter-Full Data'!T175,"'")</f>
        <v>'Delta Electronics     DES10JB125K01 [480V],N,97,N'</v>
      </c>
    </row>
    <row r="945" spans="1:1">
      <c r="A945" s="2" t="e">
        <f>CONCATENATE("'",'Inverter-Full Data'!#REF!,"     ",'Inverter-Full Data'!#REF!,",",'Inverter-Full Data'!#REF!,",",'Inverter-Full Data'!#REF!,",",'Inverter-Full Data'!#REF!,"'")</f>
        <v>#REF!</v>
      </c>
    </row>
    <row r="946" spans="1:1">
      <c r="A946" s="2" t="str">
        <f>CONCATENATE("'",'Inverter-Full Data'!A176,"     ",'Inverter-Full Data'!B176,",",'Inverter-Full Data'!S176,",",'Inverter-Full Data'!J176,",",'Inverter-Full Data'!T176,"'")</f>
        <v>'Delta Electronics     E30-TL [277V],N,98,N'</v>
      </c>
    </row>
    <row r="947" spans="1:1">
      <c r="A947" s="2" t="e">
        <f>CONCATENATE("'",'Inverter-Full Data'!#REF!,"     ",'Inverter-Full Data'!#REF!,",",'Inverter-Full Data'!#REF!,",",'Inverter-Full Data'!#REF!,",",'Inverter-Full Data'!#REF!,"'")</f>
        <v>#REF!</v>
      </c>
    </row>
    <row r="948" spans="1:1">
      <c r="A948" s="2" t="e">
        <f>CONCATENATE("'",'Inverter-Full Data'!#REF!,"     ",'Inverter-Full Data'!#REF!,",",'Inverter-Full Data'!#REF!,",",'Inverter-Full Data'!#REF!,",",'Inverter-Full Data'!#REF!,"'")</f>
        <v>#REF!</v>
      </c>
    </row>
    <row r="949" spans="1:1">
      <c r="A949" s="2" t="e">
        <f>CONCATENATE("'",'Inverter-Full Data'!#REF!,"     ",'Inverter-Full Data'!#REF!,",",'Inverter-Full Data'!#REF!,",",'Inverter-Full Data'!#REF!,",",'Inverter-Full Data'!#REF!,"'")</f>
        <v>#REF!</v>
      </c>
    </row>
    <row r="950" spans="1:1">
      <c r="A950" s="2" t="e">
        <f>CONCATENATE("'",'Inverter-Full Data'!#REF!,"     ",'Inverter-Full Data'!#REF!,",",'Inverter-Full Data'!#REF!,",",'Inverter-Full Data'!#REF!,",",'Inverter-Full Data'!#REF!,"'")</f>
        <v>#REF!</v>
      </c>
    </row>
    <row r="951" spans="1:1">
      <c r="A951" s="2" t="e">
        <f>CONCATENATE("'",'Inverter-Full Data'!#REF!,"     ",'Inverter-Full Data'!#REF!,",",'Inverter-Full Data'!#REF!,",",'Inverter-Full Data'!#REF!,",",'Inverter-Full Data'!#REF!,"'")</f>
        <v>#REF!</v>
      </c>
    </row>
    <row r="952" spans="1:1">
      <c r="A952" s="2" t="str">
        <f>CONCATENATE("'",'Inverter-Full Data'!A177,"     ",'Inverter-Full Data'!B177,",",'Inverter-Full Data'!S177,",",'Inverter-Full Data'!J177,",",'Inverter-Full Data'!T177,"'")</f>
        <v>'Delta Electronics     E6-TL-US [208V],Y,97,N'</v>
      </c>
    </row>
    <row r="953" spans="1:1">
      <c r="A953" s="2" t="e">
        <f>CONCATENATE("'",'Inverter-Full Data'!#REF!,"     ",'Inverter-Full Data'!#REF!,",",'Inverter-Full Data'!#REF!,",",'Inverter-Full Data'!#REF!,",",'Inverter-Full Data'!#REF!,"'")</f>
        <v>#REF!</v>
      </c>
    </row>
    <row r="954" spans="1:1">
      <c r="A954" s="2" t="str">
        <f>CONCATENATE("'",'Inverter-Full Data'!A178,"     ",'Inverter-Full Data'!B178,",",'Inverter-Full Data'!S178,",",'Inverter-Full Data'!J178,",",'Inverter-Full Data'!T178,"'")</f>
        <v>'Delta Electronics     E6-TL-US [240V],Y,97.5,N'</v>
      </c>
    </row>
    <row r="955" spans="1:1">
      <c r="A955" s="2" t="e">
        <f>CONCATENATE("'",'Inverter-Full Data'!#REF!,"     ",'Inverter-Full Data'!#REF!,",",'Inverter-Full Data'!#REF!,",",'Inverter-Full Data'!#REF!,",",'Inverter-Full Data'!#REF!,"'")</f>
        <v>#REF!</v>
      </c>
    </row>
    <row r="956" spans="1:1">
      <c r="A956" s="2" t="str">
        <f>CONCATENATE("'",'Inverter-Full Data'!A179,"     ",'Inverter-Full Data'!B179,",",'Inverter-Full Data'!S179,",",'Inverter-Full Data'!J179,",",'Inverter-Full Data'!T179,"'")</f>
        <v>'Delta Electronics     E6-TL-US(AC) [208V],Y,98,N'</v>
      </c>
    </row>
    <row r="957" spans="1:1">
      <c r="A957" s="2" t="str">
        <f>CONCATENATE("'",'Inverter-Full Data'!A181,"     ",'Inverter-Full Data'!B181,",",'Inverter-Full Data'!S181,",",'Inverter-Full Data'!J181,",",'Inverter-Full Data'!T181,"'")</f>
        <v>'Delta Electronics     E8-TL-US [208V],Y,97.5,N'</v>
      </c>
    </row>
    <row r="958" spans="1:1">
      <c r="A958" s="2" t="str">
        <f>CONCATENATE("'",'Inverter-Full Data'!A182,"     ",'Inverter-Full Data'!B182,",",'Inverter-Full Data'!S182,",",'Inverter-Full Data'!J182,",",'Inverter-Full Data'!T182,"'")</f>
        <v>'Delta Electronics     E8-TL-US [240V],Y,97.5,N'</v>
      </c>
    </row>
    <row r="959" spans="1:1">
      <c r="A959" s="2" t="str">
        <f>CONCATENATE("'",'Inverter-Full Data'!A183,"     ",'Inverter-Full Data'!B183,",",'Inverter-Full Data'!S183,",",'Inverter-Full Data'!J183,",",'Inverter-Full Data'!T183,"'")</f>
        <v>'Delta Electronics     E8-TL-US(AC) [208V],Y,98,N'</v>
      </c>
    </row>
    <row r="960" spans="1:1">
      <c r="A960" s="2" t="e">
        <f>CONCATENATE("'",'Inverter-Full Data'!#REF!,"     ",'Inverter-Full Data'!#REF!,",",'Inverter-Full Data'!#REF!,",",'Inverter-Full Data'!#REF!,",",'Inverter-Full Data'!#REF!,"'")</f>
        <v>#REF!</v>
      </c>
    </row>
    <row r="961" spans="1:1">
      <c r="A961" s="2" t="e">
        <f>CONCATENATE("'",'Inverter-Full Data'!#REF!,"     ",'Inverter-Full Data'!#REF!,",",'Inverter-Full Data'!#REF!,",",'Inverter-Full Data'!#REF!,",",'Inverter-Full Data'!#REF!,"'")</f>
        <v>#REF!</v>
      </c>
    </row>
    <row r="962" spans="1:1">
      <c r="A962" s="2" t="e">
        <f>CONCATENATE("'",'Inverter-Full Data'!#REF!,"     ",'Inverter-Full Data'!#REF!,",",'Inverter-Full Data'!#REF!,",",'Inverter-Full Data'!#REF!,",",'Inverter-Full Data'!#REF!,"'")</f>
        <v>#REF!</v>
      </c>
    </row>
    <row r="963" spans="1:1">
      <c r="A963" s="2" t="e">
        <f>CONCATENATE("'",'Inverter-Full Data'!#REF!,"     ",'Inverter-Full Data'!#REF!,",",'Inverter-Full Data'!#REF!,",",'Inverter-Full Data'!#REF!,",",'Inverter-Full Data'!#REF!,"'")</f>
        <v>#REF!</v>
      </c>
    </row>
    <row r="964" spans="1:1">
      <c r="A964" s="2" t="e">
        <f>CONCATENATE("'",'Inverter-Full Data'!#REF!,"     ",'Inverter-Full Data'!#REF!,",",'Inverter-Full Data'!#REF!,",",'Inverter-Full Data'!#REF!,",",'Inverter-Full Data'!#REF!,"'")</f>
        <v>#REF!</v>
      </c>
    </row>
    <row r="965" spans="1:1">
      <c r="A965" s="2" t="e">
        <f>CONCATENATE("'",'Inverter-Full Data'!#REF!,"     ",'Inverter-Full Data'!#REF!,",",'Inverter-Full Data'!#REF!,",",'Inverter-Full Data'!#REF!,",",'Inverter-Full Data'!#REF!,"'")</f>
        <v>#REF!</v>
      </c>
    </row>
    <row r="966" spans="1:1">
      <c r="A966" s="2" t="e">
        <f>CONCATENATE("'",'Inverter-Full Data'!#REF!,"     ",'Inverter-Full Data'!#REF!,",",'Inverter-Full Data'!#REF!,",",'Inverter-Full Data'!#REF!,",",'Inverter-Full Data'!#REF!,"'")</f>
        <v>#REF!</v>
      </c>
    </row>
    <row r="967" spans="1:1">
      <c r="A967" s="2" t="e">
        <f>CONCATENATE("'",'Inverter-Full Data'!#REF!,"     ",'Inverter-Full Data'!#REF!,",",'Inverter-Full Data'!#REF!,",",'Inverter-Full Data'!#REF!,",",'Inverter-Full Data'!#REF!,"'")</f>
        <v>#REF!</v>
      </c>
    </row>
    <row r="968" spans="1:1">
      <c r="A968" s="2" t="e">
        <f>CONCATENATE("'",'Inverter-Full Data'!#REF!,"     ",'Inverter-Full Data'!#REF!,",",'Inverter-Full Data'!#REF!,",",'Inverter-Full Data'!#REF!,",",'Inverter-Full Data'!#REF!,"'")</f>
        <v>#REF!</v>
      </c>
    </row>
    <row r="969" spans="1:1">
      <c r="A969" s="2" t="e">
        <f>CONCATENATE("'",'Inverter-Full Data'!#REF!,"     ",'Inverter-Full Data'!#REF!,",",'Inverter-Full Data'!#REF!,",",'Inverter-Full Data'!#REF!,",",'Inverter-Full Data'!#REF!,"'")</f>
        <v>#REF!</v>
      </c>
    </row>
    <row r="970" spans="1:1">
      <c r="A970" s="2" t="e">
        <f>CONCATENATE("'",'Inverter-Full Data'!#REF!,"     ",'Inverter-Full Data'!#REF!,",",'Inverter-Full Data'!#REF!,",",'Inverter-Full Data'!#REF!,",",'Inverter-Full Data'!#REF!,"'")</f>
        <v>#REF!</v>
      </c>
    </row>
    <row r="971" spans="1:1">
      <c r="A971" s="2" t="e">
        <f>CONCATENATE("'",'Inverter-Full Data'!#REF!,"     ",'Inverter-Full Data'!#REF!,",",'Inverter-Full Data'!#REF!,",",'Inverter-Full Data'!#REF!,",",'Inverter-Full Data'!#REF!,"'")</f>
        <v>#REF!</v>
      </c>
    </row>
    <row r="972" spans="1:1">
      <c r="A972" s="2" t="str">
        <f>CONCATENATE("'",'Inverter-Full Data'!A184,"     ",'Inverter-Full Data'!B184,",",'Inverter-Full Data'!S184,",",'Inverter-Full Data'!J184,",",'Inverter-Full Data'!T184,"'")</f>
        <v>'Delta Electronics     E8-TL-US(AC) [240V],Y,98,N'</v>
      </c>
    </row>
    <row r="973" spans="1:1">
      <c r="A973" s="2" t="e">
        <f>CONCATENATE("'",'Inverter-Full Data'!#REF!,"     ",'Inverter-Full Data'!#REF!,",",'Inverter-Full Data'!#REF!,",",'Inverter-Full Data'!#REF!,",",'Inverter-Full Data'!#REF!,"'")</f>
        <v>#REF!</v>
      </c>
    </row>
    <row r="974" spans="1:1">
      <c r="A974" s="2" t="e">
        <f>CONCATENATE("'",'Inverter-Full Data'!#REF!,"     ",'Inverter-Full Data'!#REF!,",",'Inverter-Full Data'!#REF!,",",'Inverter-Full Data'!#REF!,",",'Inverter-Full Data'!#REF!,"'")</f>
        <v>#REF!</v>
      </c>
    </row>
    <row r="975" spans="1:1">
      <c r="A975" s="2" t="e">
        <f>CONCATENATE("'",'Inverter-Full Data'!#REF!,"     ",'Inverter-Full Data'!#REF!,",",'Inverter-Full Data'!#REF!,",",'Inverter-Full Data'!#REF!,",",'Inverter-Full Data'!#REF!,"'")</f>
        <v>#REF!</v>
      </c>
    </row>
    <row r="976" spans="1:1">
      <c r="A976" s="2" t="e">
        <f>CONCATENATE("'",'Inverter-Full Data'!#REF!,"     ",'Inverter-Full Data'!#REF!,",",'Inverter-Full Data'!#REF!,",",'Inverter-Full Data'!#REF!,",",'Inverter-Full Data'!#REF!,"'")</f>
        <v>#REF!</v>
      </c>
    </row>
    <row r="977" spans="1:1">
      <c r="A977" s="2" t="e">
        <f>CONCATENATE("'",'Inverter-Full Data'!#REF!,"     ",'Inverter-Full Data'!#REF!,",",'Inverter-Full Data'!#REF!,",",'Inverter-Full Data'!#REF!,",",'Inverter-Full Data'!#REF!,"'")</f>
        <v>#REF!</v>
      </c>
    </row>
    <row r="978" spans="1:1">
      <c r="A978" s="2" t="e">
        <f>CONCATENATE("'",'Inverter-Full Data'!#REF!,"     ",'Inverter-Full Data'!#REF!,",",'Inverter-Full Data'!#REF!,",",'Inverter-Full Data'!#REF!,",",'Inverter-Full Data'!#REF!,"'")</f>
        <v>#REF!</v>
      </c>
    </row>
    <row r="979" spans="1:1">
      <c r="A979" s="2" t="e">
        <f>CONCATENATE("'",'Inverter-Full Data'!#REF!,"     ",'Inverter-Full Data'!#REF!,",",'Inverter-Full Data'!#REF!,",",'Inverter-Full Data'!#REF!,",",'Inverter-Full Data'!#REF!,"'")</f>
        <v>#REF!</v>
      </c>
    </row>
    <row r="980" spans="1:1">
      <c r="A980" s="2" t="e">
        <f>CONCATENATE("'",'Inverter-Full Data'!#REF!,"     ",'Inverter-Full Data'!#REF!,",",'Inverter-Full Data'!#REF!,",",'Inverter-Full Data'!#REF!,",",'Inverter-Full Data'!#REF!,"'")</f>
        <v>#REF!</v>
      </c>
    </row>
    <row r="981" spans="1:1">
      <c r="A981" s="2" t="e">
        <f>CONCATENATE("'",'Inverter-Full Data'!#REF!,"     ",'Inverter-Full Data'!#REF!,",",'Inverter-Full Data'!#REF!,",",'Inverter-Full Data'!#REF!,",",'Inverter-Full Data'!#REF!,"'")</f>
        <v>#REF!</v>
      </c>
    </row>
    <row r="982" spans="1:1">
      <c r="A982" s="2" t="e">
        <f>CONCATENATE("'",'Inverter-Full Data'!#REF!,"     ",'Inverter-Full Data'!#REF!,",",'Inverter-Full Data'!#REF!,",",'Inverter-Full Data'!#REF!,",",'Inverter-Full Data'!#REF!,"'")</f>
        <v>#REF!</v>
      </c>
    </row>
    <row r="983" spans="1:1">
      <c r="A983" s="2" t="str">
        <f>CONCATENATE("'",'Inverter-Full Data'!A185,"     ",'Inverter-Full Data'!B185,",",'Inverter-Full Data'!S185,",",'Inverter-Full Data'!J185,",",'Inverter-Full Data'!T185,"'")</f>
        <v>'Delta Electronics     M10-TL-US [208V],Y,97.5,N'</v>
      </c>
    </row>
    <row r="984" spans="1:1">
      <c r="A984" s="2" t="str">
        <f>CONCATENATE("'",'Inverter-Full Data'!A186,"     ",'Inverter-Full Data'!B186,",",'Inverter-Full Data'!S186,",",'Inverter-Full Data'!J186,",",'Inverter-Full Data'!T186,"'")</f>
        <v>'Delta Electronics     M10-TL-US [240V],Y,97.5,N'</v>
      </c>
    </row>
    <row r="985" spans="1:1">
      <c r="A985" s="2" t="str">
        <f>CONCATENATE("'",'Inverter-Full Data'!A187,"     ",'Inverter-Full Data'!B187,",",'Inverter-Full Data'!S187,",",'Inverter-Full Data'!J187,",",'Inverter-Full Data'!T187,"'")</f>
        <v>'Delta Electronics     M125HV [600V],N,99,N'</v>
      </c>
    </row>
    <row r="986" spans="1:1">
      <c r="A986" s="2" t="e">
        <f>CONCATENATE("'",'Inverter-Full Data'!#REF!,"     ",'Inverter-Full Data'!#REF!,",",'Inverter-Full Data'!#REF!,",",'Inverter-Full Data'!#REF!,",",'Inverter-Full Data'!#REF!,"'")</f>
        <v>#REF!</v>
      </c>
    </row>
    <row r="987" spans="1:1">
      <c r="A987" s="2" t="e">
        <f>CONCATENATE("'",'Inverter-Full Data'!#REF!,"     ",'Inverter-Full Data'!#REF!,",",'Inverter-Full Data'!#REF!,",",'Inverter-Full Data'!#REF!,",",'Inverter-Full Data'!#REF!,"'")</f>
        <v>#REF!</v>
      </c>
    </row>
    <row r="988" spans="1:1">
      <c r="A988" s="2" t="e">
        <f>CONCATENATE("'",'Inverter-Full Data'!#REF!,"     ",'Inverter-Full Data'!#REF!,",",'Inverter-Full Data'!#REF!,",",'Inverter-Full Data'!#REF!,",",'Inverter-Full Data'!#REF!,"'")</f>
        <v>#REF!</v>
      </c>
    </row>
    <row r="989" spans="1:1">
      <c r="A989" s="2" t="e">
        <f>CONCATENATE("'",'Inverter-Full Data'!#REF!,"     ",'Inverter-Full Data'!#REF!,",",'Inverter-Full Data'!#REF!,",",'Inverter-Full Data'!#REF!,",",'Inverter-Full Data'!#REF!,"'")</f>
        <v>#REF!</v>
      </c>
    </row>
    <row r="990" spans="1:1">
      <c r="A990" s="2" t="e">
        <f>CONCATENATE("'",'Inverter-Full Data'!#REF!,"     ",'Inverter-Full Data'!#REF!,",",'Inverter-Full Data'!#REF!,",",'Inverter-Full Data'!#REF!,",",'Inverter-Full Data'!#REF!,"'")</f>
        <v>#REF!</v>
      </c>
    </row>
    <row r="991" spans="1:1">
      <c r="A991" s="2" t="e">
        <f>CONCATENATE("'",'Inverter-Full Data'!#REF!,"     ",'Inverter-Full Data'!#REF!,",",'Inverter-Full Data'!#REF!,",",'Inverter-Full Data'!#REF!,",",'Inverter-Full Data'!#REF!,"'")</f>
        <v>#REF!</v>
      </c>
    </row>
    <row r="992" spans="1:1">
      <c r="A992" s="2" t="e">
        <f>CONCATENATE("'",'Inverter-Full Data'!#REF!,"     ",'Inverter-Full Data'!#REF!,",",'Inverter-Full Data'!#REF!,",",'Inverter-Full Data'!#REF!,",",'Inverter-Full Data'!#REF!,"'")</f>
        <v>#REF!</v>
      </c>
    </row>
    <row r="993" spans="1:1">
      <c r="A993" s="2" t="e">
        <f>CONCATENATE("'",'Inverter-Full Data'!#REF!,"     ",'Inverter-Full Data'!#REF!,",",'Inverter-Full Data'!#REF!,",",'Inverter-Full Data'!#REF!,",",'Inverter-Full Data'!#REF!,"'")</f>
        <v>#REF!</v>
      </c>
    </row>
    <row r="994" spans="1:1">
      <c r="A994" s="2" t="e">
        <f>CONCATENATE("'",'Inverter-Full Data'!#REF!,"     ",'Inverter-Full Data'!#REF!,",",'Inverter-Full Data'!#REF!,",",'Inverter-Full Data'!#REF!,",",'Inverter-Full Data'!#REF!,"'")</f>
        <v>#REF!</v>
      </c>
    </row>
    <row r="995" spans="1:1">
      <c r="A995" s="2" t="e">
        <f>CONCATENATE("'",'Inverter-Full Data'!#REF!,"     ",'Inverter-Full Data'!#REF!,",",'Inverter-Full Data'!#REF!,",",'Inverter-Full Data'!#REF!,",",'Inverter-Full Data'!#REF!,"'")</f>
        <v>#REF!</v>
      </c>
    </row>
    <row r="996" spans="1:1">
      <c r="A996" s="2" t="e">
        <f>CONCATENATE("'",'Inverter-Full Data'!#REF!,"     ",'Inverter-Full Data'!#REF!,",",'Inverter-Full Data'!#REF!,",",'Inverter-Full Data'!#REF!,",",'Inverter-Full Data'!#REF!,"'")</f>
        <v>#REF!</v>
      </c>
    </row>
    <row r="997" spans="1:1">
      <c r="A997" s="2" t="e">
        <f>CONCATENATE("'",'Inverter-Full Data'!#REF!,"     ",'Inverter-Full Data'!#REF!,",",'Inverter-Full Data'!#REF!,",",'Inverter-Full Data'!#REF!,",",'Inverter-Full Data'!#REF!,"'")</f>
        <v>#REF!</v>
      </c>
    </row>
    <row r="998" spans="1:1">
      <c r="A998" s="2" t="e">
        <f>CONCATENATE("'",'Inverter-Full Data'!#REF!,"     ",'Inverter-Full Data'!#REF!,",",'Inverter-Full Data'!#REF!,",",'Inverter-Full Data'!#REF!,",",'Inverter-Full Data'!#REF!,"'")</f>
        <v>#REF!</v>
      </c>
    </row>
    <row r="999" spans="1:1">
      <c r="A999" s="2" t="e">
        <f>CONCATENATE("'",'Inverter-Full Data'!#REF!,"     ",'Inverter-Full Data'!#REF!,",",'Inverter-Full Data'!#REF!,",",'Inverter-Full Data'!#REF!,",",'Inverter-Full Data'!#REF!,"'")</f>
        <v>#REF!</v>
      </c>
    </row>
    <row r="1000" spans="1:1">
      <c r="A1000" s="2" t="e">
        <f>CONCATENATE("'",'Inverter-Full Data'!#REF!,"     ",'Inverter-Full Data'!#REF!,",",'Inverter-Full Data'!#REF!,",",'Inverter-Full Data'!#REF!,",",'Inverter-Full Data'!#REF!,"'")</f>
        <v>#REF!</v>
      </c>
    </row>
    <row r="1001" spans="1:1">
      <c r="A1001" s="2" t="e">
        <f>CONCATENATE("'",'Inverter-Full Data'!#REF!,"     ",'Inverter-Full Data'!#REF!,",",'Inverter-Full Data'!#REF!,",",'Inverter-Full Data'!#REF!,",",'Inverter-Full Data'!#REF!,"'")</f>
        <v>#REF!</v>
      </c>
    </row>
    <row r="1002" spans="1:1">
      <c r="A1002" s="2" t="e">
        <f>CONCATENATE("'",'Inverter-Full Data'!#REF!,"     ",'Inverter-Full Data'!#REF!,",",'Inverter-Full Data'!#REF!,",",'Inverter-Full Data'!#REF!,",",'Inverter-Full Data'!#REF!,"'")</f>
        <v>#REF!</v>
      </c>
    </row>
    <row r="1003" spans="1:1">
      <c r="A1003" s="2" t="e">
        <f>CONCATENATE("'",'Inverter-Full Data'!#REF!,"     ",'Inverter-Full Data'!#REF!,",",'Inverter-Full Data'!#REF!,",",'Inverter-Full Data'!#REF!,",",'Inverter-Full Data'!#REF!,"'")</f>
        <v>#REF!</v>
      </c>
    </row>
    <row r="1004" spans="1:1">
      <c r="A1004" s="2" t="e">
        <f>CONCATENATE("'",'Inverter-Full Data'!#REF!,"     ",'Inverter-Full Data'!#REF!,",",'Inverter-Full Data'!#REF!,",",'Inverter-Full Data'!#REF!,",",'Inverter-Full Data'!#REF!,"'")</f>
        <v>#REF!</v>
      </c>
    </row>
    <row r="1005" spans="1:1">
      <c r="A1005" s="2" t="e">
        <f>CONCATENATE("'",'Inverter-Full Data'!#REF!,"     ",'Inverter-Full Data'!#REF!,",",'Inverter-Full Data'!#REF!,",",'Inverter-Full Data'!#REF!,",",'Inverter-Full Data'!#REF!,"'")</f>
        <v>#REF!</v>
      </c>
    </row>
    <row r="1006" spans="1:1">
      <c r="A1006" s="2" t="e">
        <f>CONCATENATE("'",'Inverter-Full Data'!#REF!,"     ",'Inverter-Full Data'!#REF!,",",'Inverter-Full Data'!#REF!,",",'Inverter-Full Data'!#REF!,",",'Inverter-Full Data'!#REF!,"'")</f>
        <v>#REF!</v>
      </c>
    </row>
    <row r="1007" spans="1:1">
      <c r="A1007" s="2" t="e">
        <f>CONCATENATE("'",'Inverter-Full Data'!#REF!,"     ",'Inverter-Full Data'!#REF!,",",'Inverter-Full Data'!#REF!,",",'Inverter-Full Data'!#REF!,",",'Inverter-Full Data'!#REF!,"'")</f>
        <v>#REF!</v>
      </c>
    </row>
    <row r="1008" spans="1:1">
      <c r="A1008" s="2" t="e">
        <f>CONCATENATE("'",'Inverter-Full Data'!#REF!,"     ",'Inverter-Full Data'!#REF!,",",'Inverter-Full Data'!#REF!,",",'Inverter-Full Data'!#REF!,",",'Inverter-Full Data'!#REF!,"'")</f>
        <v>#REF!</v>
      </c>
    </row>
    <row r="1009" spans="1:1">
      <c r="A1009" s="2" t="e">
        <f>CONCATENATE("'",'Inverter-Full Data'!#REF!,"     ",'Inverter-Full Data'!#REF!,",",'Inverter-Full Data'!#REF!,",",'Inverter-Full Data'!#REF!,",",'Inverter-Full Data'!#REF!,"'")</f>
        <v>#REF!</v>
      </c>
    </row>
    <row r="1010" spans="1:1">
      <c r="A1010" s="2" t="e">
        <f>CONCATENATE("'",'Inverter-Full Data'!#REF!,"     ",'Inverter-Full Data'!#REF!,",",'Inverter-Full Data'!#REF!,",",'Inverter-Full Data'!#REF!,",",'Inverter-Full Data'!#REF!,"'")</f>
        <v>#REF!</v>
      </c>
    </row>
    <row r="1011" spans="1:1">
      <c r="A1011" s="2" t="e">
        <f>CONCATENATE("'",'Inverter-Full Data'!#REF!,"     ",'Inverter-Full Data'!#REF!,",",'Inverter-Full Data'!#REF!,",",'Inverter-Full Data'!#REF!,",",'Inverter-Full Data'!#REF!,"'")</f>
        <v>#REF!</v>
      </c>
    </row>
    <row r="1012" spans="1:1">
      <c r="A1012" s="2" t="e">
        <f>CONCATENATE("'",'Inverter-Full Data'!#REF!,"     ",'Inverter-Full Data'!#REF!,",",'Inverter-Full Data'!#REF!,",",'Inverter-Full Data'!#REF!,",",'Inverter-Full Data'!#REF!,"'")</f>
        <v>#REF!</v>
      </c>
    </row>
    <row r="1013" spans="1:1">
      <c r="A1013" s="2" t="e">
        <f>CONCATENATE("'",'Inverter-Full Data'!#REF!,"     ",'Inverter-Full Data'!#REF!,",",'Inverter-Full Data'!#REF!,",",'Inverter-Full Data'!#REF!,",",'Inverter-Full Data'!#REF!,"'")</f>
        <v>#REF!</v>
      </c>
    </row>
    <row r="1014" spans="1:1">
      <c r="A1014" s="2" t="e">
        <f>CONCATENATE("'",'Inverter-Full Data'!#REF!,"     ",'Inverter-Full Data'!#REF!,",",'Inverter-Full Data'!#REF!,",",'Inverter-Full Data'!#REF!,",",'Inverter-Full Data'!#REF!,"'")</f>
        <v>#REF!</v>
      </c>
    </row>
    <row r="1015" spans="1:1">
      <c r="A1015" s="2" t="e">
        <f>CONCATENATE("'",'Inverter-Full Data'!#REF!,"     ",'Inverter-Full Data'!#REF!,",",'Inverter-Full Data'!#REF!,",",'Inverter-Full Data'!#REF!,",",'Inverter-Full Data'!#REF!,"'")</f>
        <v>#REF!</v>
      </c>
    </row>
    <row r="1016" spans="1:1">
      <c r="A1016" s="2" t="e">
        <f>CONCATENATE("'",'Inverter-Full Data'!#REF!,"     ",'Inverter-Full Data'!#REF!,",",'Inverter-Full Data'!#REF!,",",'Inverter-Full Data'!#REF!,",",'Inverter-Full Data'!#REF!,"'")</f>
        <v>#REF!</v>
      </c>
    </row>
    <row r="1017" spans="1:1">
      <c r="A1017" s="2" t="e">
        <f>CONCATENATE("'",'Inverter-Full Data'!#REF!,"     ",'Inverter-Full Data'!#REF!,",",'Inverter-Full Data'!#REF!,",",'Inverter-Full Data'!#REF!,",",'Inverter-Full Data'!#REF!,"'")</f>
        <v>#REF!</v>
      </c>
    </row>
    <row r="1018" spans="1:1">
      <c r="A1018" s="2" t="e">
        <f>CONCATENATE("'",'Inverter-Full Data'!#REF!,"     ",'Inverter-Full Data'!#REF!,",",'Inverter-Full Data'!#REF!,",",'Inverter-Full Data'!#REF!,",",'Inverter-Full Data'!#REF!,"'")</f>
        <v>#REF!</v>
      </c>
    </row>
    <row r="1019" spans="1:1">
      <c r="A1019" s="2" t="e">
        <f>CONCATENATE("'",'Inverter-Full Data'!#REF!,"     ",'Inverter-Full Data'!#REF!,",",'Inverter-Full Data'!#REF!,",",'Inverter-Full Data'!#REF!,",",'Inverter-Full Data'!#REF!,"'")</f>
        <v>#REF!</v>
      </c>
    </row>
    <row r="1020" spans="1:1">
      <c r="A1020" s="2" t="e">
        <f>CONCATENATE("'",'Inverter-Full Data'!#REF!,"     ",'Inverter-Full Data'!#REF!,",",'Inverter-Full Data'!#REF!,",",'Inverter-Full Data'!#REF!,",",'Inverter-Full Data'!#REF!,"'")</f>
        <v>#REF!</v>
      </c>
    </row>
    <row r="1021" spans="1:1">
      <c r="A1021" s="2" t="e">
        <f>CONCATENATE("'",'Inverter-Full Data'!#REF!,"     ",'Inverter-Full Data'!#REF!,",",'Inverter-Full Data'!#REF!,",",'Inverter-Full Data'!#REF!,",",'Inverter-Full Data'!#REF!,"'")</f>
        <v>#REF!</v>
      </c>
    </row>
    <row r="1022" spans="1:1">
      <c r="A1022" s="2" t="e">
        <f>CONCATENATE("'",'Inverter-Full Data'!#REF!,"     ",'Inverter-Full Data'!#REF!,",",'Inverter-Full Data'!#REF!,",",'Inverter-Full Data'!#REF!,",",'Inverter-Full Data'!#REF!,"'")</f>
        <v>#REF!</v>
      </c>
    </row>
    <row r="1023" spans="1:1">
      <c r="A1023" s="2" t="e">
        <f>CONCATENATE("'",'Inverter-Full Data'!#REF!,"     ",'Inverter-Full Data'!#REF!,",",'Inverter-Full Data'!#REF!,",",'Inverter-Full Data'!#REF!,",",'Inverter-Full Data'!#REF!,"'")</f>
        <v>#REF!</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e">
        <f>CONCATENATE("'",'Inverter-Full Data'!#REF!,"     ",'Inverter-Full Data'!#REF!,",",'Inverter-Full Data'!#REF!,",",'Inverter-Full Data'!#REF!,",",'Inverter-Full Data'!#REF!,"'")</f>
        <v>#REF!</v>
      </c>
    </row>
    <row r="1027" spans="1:1">
      <c r="A1027" s="2" t="e">
        <f>CONCATENATE("'",'Inverter-Full Data'!#REF!,"     ",'Inverter-Full Data'!#REF!,",",'Inverter-Full Data'!#REF!,",",'Inverter-Full Data'!#REF!,",",'Inverter-Full Data'!#REF!,"'")</f>
        <v>#REF!</v>
      </c>
    </row>
    <row r="1028" spans="1:1">
      <c r="A1028" s="2" t="e">
        <f>CONCATENATE("'",'Inverter-Full Data'!#REF!,"     ",'Inverter-Full Data'!#REF!,",",'Inverter-Full Data'!#REF!,",",'Inverter-Full Data'!#REF!,",",'Inverter-Full Data'!#REF!,"'")</f>
        <v>#REF!</v>
      </c>
    </row>
    <row r="1029" spans="1:1">
      <c r="A1029" s="2" t="e">
        <f>CONCATENATE("'",'Inverter-Full Data'!#REF!,"     ",'Inverter-Full Data'!#REF!,",",'Inverter-Full Data'!#REF!,",",'Inverter-Full Data'!#REF!,",",'Inverter-Full Data'!#REF!,"'")</f>
        <v>#REF!</v>
      </c>
    </row>
    <row r="1030" spans="1:1">
      <c r="A1030" s="2" t="e">
        <f>CONCATENATE("'",'Inverter-Full Data'!#REF!,"     ",'Inverter-Full Data'!#REF!,",",'Inverter-Full Data'!#REF!,",",'Inverter-Full Data'!#REF!,",",'Inverter-Full Data'!#REF!,"'")</f>
        <v>#REF!</v>
      </c>
    </row>
    <row r="1031" spans="1:1">
      <c r="A1031" s="2" t="e">
        <f>CONCATENATE("'",'Inverter-Full Data'!#REF!,"     ",'Inverter-Full Data'!#REF!,",",'Inverter-Full Data'!#REF!,",",'Inverter-Full Data'!#REF!,",",'Inverter-Full Data'!#REF!,"'")</f>
        <v>#REF!</v>
      </c>
    </row>
    <row r="1032" spans="1:1">
      <c r="A1032" s="2" t="e">
        <f>CONCATENATE("'",'Inverter-Full Data'!#REF!,"     ",'Inverter-Full Data'!#REF!,",",'Inverter-Full Data'!#REF!,",",'Inverter-Full Data'!#REF!,",",'Inverter-Full Data'!#REF!,"'")</f>
        <v>#REF!</v>
      </c>
    </row>
    <row r="1033" spans="1:1">
      <c r="A1033" s="2" t="e">
        <f>CONCATENATE("'",'Inverter-Full Data'!#REF!,"     ",'Inverter-Full Data'!#REF!,",",'Inverter-Full Data'!#REF!,",",'Inverter-Full Data'!#REF!,",",'Inverter-Full Data'!#REF!,"'")</f>
        <v>#REF!</v>
      </c>
    </row>
    <row r="1034" spans="1:1">
      <c r="A1034" s="2" t="e">
        <f>CONCATENATE("'",'Inverter-Full Data'!#REF!,"     ",'Inverter-Full Data'!#REF!,",",'Inverter-Full Data'!#REF!,",",'Inverter-Full Data'!#REF!,",",'Inverter-Full Data'!#REF!,"'")</f>
        <v>#REF!</v>
      </c>
    </row>
    <row r="1035" spans="1:1">
      <c r="A1035" s="2" t="e">
        <f>CONCATENATE("'",'Inverter-Full Data'!#REF!,"     ",'Inverter-Full Data'!#REF!,",",'Inverter-Full Data'!#REF!,",",'Inverter-Full Data'!#REF!,",",'Inverter-Full Data'!#REF!,"'")</f>
        <v>#REF!</v>
      </c>
    </row>
    <row r="1036" spans="1:1">
      <c r="A1036" s="2" t="e">
        <f>CONCATENATE("'",'Inverter-Full Data'!#REF!,"     ",'Inverter-Full Data'!#REF!,",",'Inverter-Full Data'!#REF!,",",'Inverter-Full Data'!#REF!,",",'Inverter-Full Data'!#REF!,"'")</f>
        <v>#REF!</v>
      </c>
    </row>
    <row r="1037" spans="1:1">
      <c r="A1037" s="2" t="e">
        <f>CONCATENATE("'",'Inverter-Full Data'!#REF!,"     ",'Inverter-Full Data'!#REF!,",",'Inverter-Full Data'!#REF!,",",'Inverter-Full Data'!#REF!,",",'Inverter-Full Data'!#REF!,"'")</f>
        <v>#REF!</v>
      </c>
    </row>
    <row r="1038" spans="1:1">
      <c r="A1038" s="2" t="e">
        <f>CONCATENATE("'",'Inverter-Full Data'!#REF!,"     ",'Inverter-Full Data'!#REF!,",",'Inverter-Full Data'!#REF!,",",'Inverter-Full Data'!#REF!,",",'Inverter-Full Data'!#REF!,"'")</f>
        <v>#REF!</v>
      </c>
    </row>
    <row r="1039" spans="1:1">
      <c r="A1039" s="2" t="e">
        <f>CONCATENATE("'",'Inverter-Full Data'!#REF!,"     ",'Inverter-Full Data'!#REF!,",",'Inverter-Full Data'!#REF!,",",'Inverter-Full Data'!#REF!,",",'Inverter-Full Data'!#REF!,"'")</f>
        <v>#REF!</v>
      </c>
    </row>
    <row r="1040" spans="1:1">
      <c r="A1040" s="2" t="e">
        <f>CONCATENATE("'",'Inverter-Full Data'!#REF!,"     ",'Inverter-Full Data'!#REF!,",",'Inverter-Full Data'!#REF!,",",'Inverter-Full Data'!#REF!,",",'Inverter-Full Data'!#REF!,"'")</f>
        <v>#REF!</v>
      </c>
    </row>
    <row r="1041" spans="1:1">
      <c r="A1041" s="2" t="e">
        <f>CONCATENATE("'",'Inverter-Full Data'!#REF!,"     ",'Inverter-Full Data'!#REF!,",",'Inverter-Full Data'!#REF!,",",'Inverter-Full Data'!#REF!,",",'Inverter-Full Data'!#REF!,"'")</f>
        <v>#REF!</v>
      </c>
    </row>
    <row r="1042" spans="1:1">
      <c r="A1042" s="2" t="e">
        <f>CONCATENATE("'",'Inverter-Full Data'!#REF!,"     ",'Inverter-Full Data'!#REF!,",",'Inverter-Full Data'!#REF!,",",'Inverter-Full Data'!#REF!,",",'Inverter-Full Data'!#REF!,"'")</f>
        <v>#REF!</v>
      </c>
    </row>
    <row r="1043" spans="1:1">
      <c r="A1043" s="2" t="e">
        <f>CONCATENATE("'",'Inverter-Full Data'!#REF!,"     ",'Inverter-Full Data'!#REF!,",",'Inverter-Full Data'!#REF!,",",'Inverter-Full Data'!#REF!,",",'Inverter-Full Data'!#REF!,"'")</f>
        <v>#REF!</v>
      </c>
    </row>
    <row r="1044" spans="1:1">
      <c r="A1044" s="2" t="e">
        <f>CONCATENATE("'",'Inverter-Full Data'!#REF!,"     ",'Inverter-Full Data'!#REF!,",",'Inverter-Full Data'!#REF!,",",'Inverter-Full Data'!#REF!,",",'Inverter-Full Data'!#REF!,"'")</f>
        <v>#REF!</v>
      </c>
    </row>
    <row r="1045" spans="1:1">
      <c r="A1045" s="2" t="e">
        <f>CONCATENATE("'",'Inverter-Full Data'!#REF!,"     ",'Inverter-Full Data'!#REF!,",",'Inverter-Full Data'!#REF!,",",'Inverter-Full Data'!#REF!,",",'Inverter-Full Data'!#REF!,"'")</f>
        <v>#REF!</v>
      </c>
    </row>
    <row r="1046" spans="1:1">
      <c r="A1046" s="2" t="e">
        <f>CONCATENATE("'",'Inverter-Full Data'!#REF!,"     ",'Inverter-Full Data'!#REF!,",",'Inverter-Full Data'!#REF!,",",'Inverter-Full Data'!#REF!,",",'Inverter-Full Data'!#REF!,"'")</f>
        <v>#REF!</v>
      </c>
    </row>
    <row r="1047" spans="1:1">
      <c r="A1047" s="2" t="e">
        <f>CONCATENATE("'",'Inverter-Full Data'!#REF!,"     ",'Inverter-Full Data'!#REF!,",",'Inverter-Full Data'!#REF!,",",'Inverter-Full Data'!#REF!,",",'Inverter-Full Data'!#REF!,"'")</f>
        <v>#REF!</v>
      </c>
    </row>
    <row r="1048" spans="1:1">
      <c r="A1048" s="2" t="e">
        <f>CONCATENATE("'",'Inverter-Full Data'!#REF!,"     ",'Inverter-Full Data'!#REF!,",",'Inverter-Full Data'!#REF!,",",'Inverter-Full Data'!#REF!,",",'Inverter-Full Data'!#REF!,"'")</f>
        <v>#REF!</v>
      </c>
    </row>
    <row r="1049" spans="1:1">
      <c r="A1049" s="2" t="e">
        <f>CONCATENATE("'",'Inverter-Full Data'!#REF!,"     ",'Inverter-Full Data'!#REF!,",",'Inverter-Full Data'!#REF!,",",'Inverter-Full Data'!#REF!,",",'Inverter-Full Data'!#REF!,"'")</f>
        <v>#REF!</v>
      </c>
    </row>
    <row r="1050" spans="1:1">
      <c r="A1050" s="2" t="e">
        <f>CONCATENATE("'",'Inverter-Full Data'!#REF!,"     ",'Inverter-Full Data'!#REF!,",",'Inverter-Full Data'!#REF!,",",'Inverter-Full Data'!#REF!,",",'Inverter-Full Data'!#REF!,"'")</f>
        <v>#REF!</v>
      </c>
    </row>
    <row r="1051" spans="1:1">
      <c r="A1051" s="2" t="e">
        <f>CONCATENATE("'",'Inverter-Full Data'!#REF!,"     ",'Inverter-Full Data'!#REF!,",",'Inverter-Full Data'!#REF!,",",'Inverter-Full Data'!#REF!,",",'Inverter-Full Data'!#REF!,"'")</f>
        <v>#REF!</v>
      </c>
    </row>
    <row r="1052" spans="1:1">
      <c r="A1052" s="2" t="e">
        <f>CONCATENATE("'",'Inverter-Full Data'!#REF!,"     ",'Inverter-Full Data'!#REF!,",",'Inverter-Full Data'!#REF!,",",'Inverter-Full Data'!#REF!,",",'Inverter-Full Data'!#REF!,"'")</f>
        <v>#REF!</v>
      </c>
    </row>
    <row r="1053" spans="1:1">
      <c r="A1053" s="2" t="e">
        <f>CONCATENATE("'",'Inverter-Full Data'!#REF!,"     ",'Inverter-Full Data'!#REF!,",",'Inverter-Full Data'!#REF!,",",'Inverter-Full Data'!#REF!,",",'Inverter-Full Data'!#REF!,"'")</f>
        <v>#REF!</v>
      </c>
    </row>
    <row r="1054" spans="1:1">
      <c r="A1054" s="2" t="e">
        <f>CONCATENATE("'",'Inverter-Full Data'!#REF!,"     ",'Inverter-Full Data'!#REF!,",",'Inverter-Full Data'!#REF!,",",'Inverter-Full Data'!#REF!,",",'Inverter-Full Data'!#REF!,"'")</f>
        <v>#REF!</v>
      </c>
    </row>
    <row r="1055" spans="1:1">
      <c r="A1055" s="2" t="e">
        <f>CONCATENATE("'",'Inverter-Full Data'!#REF!,"     ",'Inverter-Full Data'!#REF!,",",'Inverter-Full Data'!#REF!,",",'Inverter-Full Data'!#REF!,",",'Inverter-Full Data'!#REF!,"'")</f>
        <v>#REF!</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e">
        <f>CONCATENATE("'",'Inverter-Full Data'!#REF!,"     ",'Inverter-Full Data'!#REF!,",",'Inverter-Full Data'!#REF!,",",'Inverter-Full Data'!#REF!,",",'Inverter-Full Data'!#REF!,"'")</f>
        <v>#REF!</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e">
        <f>CONCATENATE("'",'Inverter-Full Data'!#REF!,"     ",'Inverter-Full Data'!#REF!,",",'Inverter-Full Data'!#REF!,",",'Inverter-Full Data'!#REF!,",",'Inverter-Full Data'!#REF!,"'")</f>
        <v>#REF!</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e">
        <f>CONCATENATE("'",'Inverter-Full Data'!#REF!,"     ",'Inverter-Full Data'!#REF!,",",'Inverter-Full Data'!#REF!,",",'Inverter-Full Data'!#REF!,",",'Inverter-Full Data'!#REF!,"'")</f>
        <v>#REF!</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e">
        <f>CONCATENATE("'",'Inverter-Full Data'!#REF!,"     ",'Inverter-Full Data'!#REF!,",",'Inverter-Full Data'!#REF!,",",'Inverter-Full Data'!#REF!,",",'Inverter-Full Data'!#REF!,"'")</f>
        <v>#REF!</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Data'!A188,"     ",'Inverter-Full Data'!B188,",",'Inverter-Full Data'!S188,",",'Inverter-Full Data'!J188,",",'Inverter-Full Data'!T188,"'")</f>
        <v>'Delta Electronics     M24U_XXX [480V],N,98,N'</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Data'!A189,"     ",'Inverter-Full Data'!B189,",",'Inverter-Full Data'!S189,",",'Inverter-Full Data'!J189,",",'Inverter-Full Data'!T189,"'")</f>
        <v>'Delta Electronics     M28U_XXX [480V],N,98,N'</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Data'!A190,"     ",'Inverter-Full Data'!B190,",",'Inverter-Full Data'!S190,",",'Inverter-Full Data'!J190,",",'Inverter-Full Data'!T190,"'")</f>
        <v>'Delta Electronics     M36U_XXX [480V],N,98,N'</v>
      </c>
    </row>
    <row r="1080" spans="1:1">
      <c r="A1080" s="2" t="e">
        <f>CONCATENATE("'",'Inverter-Full Data'!#REF!,"     ",'Inverter-Full Data'!#REF!,",",'Inverter-Full Data'!#REF!,",",'Inverter-Full Data'!#REF!,",",'Inverter-Full Data'!#REF!,"'")</f>
        <v>#REF!</v>
      </c>
    </row>
    <row r="1081" spans="1:1">
      <c r="A1081" s="2" t="str">
        <f>CONCATENATE("'",'Inverter-Full Data'!A191,"     ",'Inverter-Full Data'!B191,",",'Inverter-Full Data'!S191,",",'Inverter-Full Data'!J191,",",'Inverter-Full Data'!T191,"'")</f>
        <v>'Delta Electronics     M42U_XXX [480V],N,98,N'</v>
      </c>
    </row>
    <row r="1082" spans="1:1">
      <c r="A1082" s="2" t="e">
        <f>CONCATENATE("'",'Inverter-Full Data'!#REF!,"     ",'Inverter-Full Data'!#REF!,",",'Inverter-Full Data'!#REF!,",",'Inverter-Full Data'!#REF!,",",'Inverter-Full Data'!#REF!,"'")</f>
        <v>#REF!</v>
      </c>
    </row>
    <row r="1083" spans="1:1">
      <c r="A1083" s="2" t="str">
        <f>CONCATENATE("'",'Inverter-Full Data'!A192,"     ",'Inverter-Full Data'!B192,",",'Inverter-Full Data'!S192,",",'Inverter-Full Data'!J192,",",'Inverter-Full Data'!T192,"'")</f>
        <v>'Delta Electronics     M4-TL-US [208V],Y,97,N'</v>
      </c>
    </row>
    <row r="1084" spans="1:1">
      <c r="A1084" s="2" t="e">
        <f>CONCATENATE("'",'Inverter-Full Data'!#REF!,"     ",'Inverter-Full Data'!#REF!,",",'Inverter-Full Data'!#REF!,",",'Inverter-Full Data'!#REF!,",",'Inverter-Full Data'!#REF!,"'")</f>
        <v>#REF!</v>
      </c>
    </row>
    <row r="1085" spans="1:1">
      <c r="A1085" s="2" t="str">
        <f>CONCATENATE("'",'Inverter-Full Data'!A193,"     ",'Inverter-Full Data'!B193,",",'Inverter-Full Data'!S193,",",'Inverter-Full Data'!J193,",",'Inverter-Full Data'!T193,"'")</f>
        <v>'Delta Electronics     M4-TL-US [240V],Y,97.5,N'</v>
      </c>
    </row>
    <row r="1086" spans="1:1">
      <c r="A1086" s="2" t="str">
        <f>CONCATENATE("'",'Inverter-Full Data'!A194,"     ",'Inverter-Full Data'!B194,",",'Inverter-Full Data'!S194,",",'Inverter-Full Data'!J194,",",'Inverter-Full Data'!T194,"'")</f>
        <v>'Delta Electronics     M5-TL-US [208V],Y,97.5,N'</v>
      </c>
    </row>
    <row r="1087" spans="1:1">
      <c r="A1087" s="2" t="str">
        <f>CONCATENATE("'",'Inverter-Full Data'!A195,"     ",'Inverter-Full Data'!B195,",",'Inverter-Full Data'!S195,",",'Inverter-Full Data'!J195,",",'Inverter-Full Data'!T195,"'")</f>
        <v>'Delta Electronics     M5-TL-US [240V],Y,97.5,N'</v>
      </c>
    </row>
    <row r="1088" spans="1:1">
      <c r="A1088" s="2" t="str">
        <f>CONCATENATE("'",'Inverter-Full Data'!A196,"     ",'Inverter-Full Data'!B196,",",'Inverter-Full Data'!S196,",",'Inverter-Full Data'!J196,",",'Inverter-Full Data'!T196,"'")</f>
        <v>'Delta Electronics     M60U_XXX [480V],N,98.5,N'</v>
      </c>
    </row>
    <row r="1089" spans="1:1">
      <c r="A1089" s="2" t="str">
        <f>CONCATENATE("'",'Inverter-Full Data'!A197,"     ",'Inverter-Full Data'!B197,",",'Inverter-Full Data'!S197,",",'Inverter-Full Data'!J197,",",'Inverter-Full Data'!T197,"'")</f>
        <v>'Delta Electronics     M6-TL-US [208V],Y,97,N'</v>
      </c>
    </row>
    <row r="1090" spans="1:1">
      <c r="A1090" s="2" t="e">
        <f>CONCATENATE("'",'Inverter-Full Data'!#REF!,"     ",'Inverter-Full Data'!#REF!,",",'Inverter-Full Data'!#REF!,",",'Inverter-Full Data'!#REF!,",",'Inverter-Full Data'!#REF!,"'")</f>
        <v>#REF!</v>
      </c>
    </row>
    <row r="1091" spans="1:1">
      <c r="A1091" s="2" t="e">
        <f>CONCATENATE("'",'Inverter-Full Data'!#REF!,"     ",'Inverter-Full Data'!#REF!,",",'Inverter-Full Data'!#REF!,",",'Inverter-Full Data'!#REF!,",",'Inverter-Full Data'!#REF!,"'")</f>
        <v>#REF!</v>
      </c>
    </row>
    <row r="1092" spans="1:1">
      <c r="A1092" s="2" t="e">
        <f>CONCATENATE("'",'Inverter-Full Data'!#REF!,"     ",'Inverter-Full Data'!#REF!,",",'Inverter-Full Data'!#REF!,",",'Inverter-Full Data'!#REF!,",",'Inverter-Full Data'!#REF!,"'")</f>
        <v>#REF!</v>
      </c>
    </row>
    <row r="1093" spans="1:1">
      <c r="A1093" s="2" t="e">
        <f>CONCATENATE("'",'Inverter-Full Data'!#REF!,"     ",'Inverter-Full Data'!#REF!,",",'Inverter-Full Data'!#REF!,",",'Inverter-Full Data'!#REF!,",",'Inverter-Full Data'!#REF!,"'")</f>
        <v>#REF!</v>
      </c>
    </row>
    <row r="1094" spans="1:1">
      <c r="A1094" s="2" t="e">
        <f>CONCATENATE("'",'Inverter-Full Data'!#REF!,"     ",'Inverter-Full Data'!#REF!,",",'Inverter-Full Data'!#REF!,",",'Inverter-Full Data'!#REF!,",",'Inverter-Full Data'!#REF!,"'")</f>
        <v>#REF!</v>
      </c>
    </row>
    <row r="1095" spans="1:1">
      <c r="A1095" s="2" t="e">
        <f>CONCATENATE("'",'Inverter-Full Data'!#REF!,"     ",'Inverter-Full Data'!#REF!,",",'Inverter-Full Data'!#REF!,",",'Inverter-Full Data'!#REF!,",",'Inverter-Full Data'!#REF!,"'")</f>
        <v>#REF!</v>
      </c>
    </row>
    <row r="1096" spans="1:1">
      <c r="A1096" s="2" t="e">
        <f>CONCATENATE("'",'Inverter-Full Data'!#REF!,"     ",'Inverter-Full Data'!#REF!,",",'Inverter-Full Data'!#REF!,",",'Inverter-Full Data'!#REF!,",",'Inverter-Full Data'!#REF!,"'")</f>
        <v>#REF!</v>
      </c>
    </row>
    <row r="1097" spans="1:1">
      <c r="A1097" s="2" t="e">
        <f>CONCATENATE("'",'Inverter-Full Data'!#REF!,"     ",'Inverter-Full Data'!#REF!,",",'Inverter-Full Data'!#REF!,",",'Inverter-Full Data'!#REF!,",",'Inverter-Full Data'!#REF!,"'")</f>
        <v>#REF!</v>
      </c>
    </row>
    <row r="1098" spans="1:1">
      <c r="A1098" s="2" t="e">
        <f>CONCATENATE("'",'Inverter-Full Data'!#REF!,"     ",'Inverter-Full Data'!#REF!,",",'Inverter-Full Data'!#REF!,",",'Inverter-Full Data'!#REF!,",",'Inverter-Full Data'!#REF!,"'")</f>
        <v>#REF!</v>
      </c>
    </row>
    <row r="1099" spans="1:1">
      <c r="A1099" s="2" t="e">
        <f>CONCATENATE("'",'Inverter-Full Data'!#REF!,"     ",'Inverter-Full Data'!#REF!,",",'Inverter-Full Data'!#REF!,",",'Inverter-Full Data'!#REF!,",",'Inverter-Full Data'!#REF!,"'")</f>
        <v>#REF!</v>
      </c>
    </row>
    <row r="1100" spans="1:1">
      <c r="A1100" s="2" t="str">
        <f>CONCATENATE("'",'Inverter-Full Data'!A198,"     ",'Inverter-Full Data'!B198,",",'Inverter-Full Data'!S198,",",'Inverter-Full Data'!J198,",",'Inverter-Full Data'!T198,"'")</f>
        <v>'Delta Electronics     M6-TL-US [240V],Y,97.5,N'</v>
      </c>
    </row>
    <row r="1101" spans="1:1">
      <c r="A1101" s="2" t="e">
        <f>CONCATENATE("'",'Inverter-Full Data'!#REF!,"     ",'Inverter-Full Data'!#REF!,",",'Inverter-Full Data'!#REF!,",",'Inverter-Full Data'!#REF!,",",'Inverter-Full Data'!#REF!,"'")</f>
        <v>#REF!</v>
      </c>
    </row>
    <row r="1102" spans="1:1">
      <c r="A1102" s="2" t="str">
        <f>CONCATENATE("'",'Inverter-Full Data'!A199,"     ",'Inverter-Full Data'!B199,",",'Inverter-Full Data'!S199,",",'Inverter-Full Data'!J199,",",'Inverter-Full Data'!T199,"'")</f>
        <v>'Delta Electronics     M80U_XXX [480V],N,98.5,N'</v>
      </c>
    </row>
    <row r="1103" spans="1:1">
      <c r="A1103" s="2" t="e">
        <f>CONCATENATE("'",'Inverter-Full Data'!#REF!,"     ",'Inverter-Full Data'!#REF!,",",'Inverter-Full Data'!#REF!,",",'Inverter-Full Data'!#REF!,",",'Inverter-Full Data'!#REF!,"'")</f>
        <v>#REF!</v>
      </c>
    </row>
    <row r="1104" spans="1:1">
      <c r="A1104" s="2" t="str">
        <f>CONCATENATE("'",'Inverter-Full Data'!A200,"     ",'Inverter-Full Data'!B200,",",'Inverter-Full Data'!S200,",",'Inverter-Full Data'!J200,",",'Inverter-Full Data'!T200,"'")</f>
        <v>'Delta Electronics     M8-TL-US [208V],Y,97.5,N'</v>
      </c>
    </row>
    <row r="1105" spans="1:1">
      <c r="A1105" s="2" t="e">
        <f>CONCATENATE("'",'Inverter-Full Data'!#REF!,"     ",'Inverter-Full Data'!#REF!,",",'Inverter-Full Data'!#REF!,",",'Inverter-Full Data'!#REF!,",",'Inverter-Full Data'!#REF!,"'")</f>
        <v>#REF!</v>
      </c>
    </row>
    <row r="1106" spans="1:1">
      <c r="A1106" s="2" t="str">
        <f>CONCATENATE("'",'Inverter-Full Data'!A201,"     ",'Inverter-Full Data'!B201,",",'Inverter-Full Data'!S201,",",'Inverter-Full Data'!J201,",",'Inverter-Full Data'!T201,"'")</f>
        <v>'Delta Electronics     M8-TL-US [240V],Y,97.5,N'</v>
      </c>
    </row>
    <row r="1107" spans="1:1">
      <c r="A1107" s="2" t="e">
        <f>CONCATENATE("'",'Inverter-Full Data'!#REF!,"     ",'Inverter-Full Data'!#REF!,",",'Inverter-Full Data'!#REF!,",",'Inverter-Full Data'!#REF!,",",'Inverter-Full Data'!#REF!,"'")</f>
        <v>#REF!</v>
      </c>
    </row>
    <row r="1108" spans="1:1">
      <c r="A1108" s="2" t="str">
        <f>CONCATENATE("'",'Inverter-Full Data'!A202,"     ",'Inverter-Full Data'!B202,",",'Inverter-Full Data'!S202,",",'Inverter-Full Data'!J202,",",'Inverter-Full Data'!T202,"'")</f>
        <v>'Delta Electronics     SOLIVIA 3.8 NA G4 TL [208V],Y,97.5,N'</v>
      </c>
    </row>
    <row r="1109" spans="1:1">
      <c r="A1109" s="2" t="e">
        <f>CONCATENATE("'",'Inverter-Full Data'!#REF!,"     ",'Inverter-Full Data'!#REF!,",",'Inverter-Full Data'!#REF!,",",'Inverter-Full Data'!#REF!,",",'Inverter-Full Data'!#REF!,"'")</f>
        <v>#REF!</v>
      </c>
    </row>
    <row r="1110" spans="1:1">
      <c r="A1110" s="2" t="str">
        <f>CONCATENATE("'",'Inverter-Full Data'!A203,"     ",'Inverter-Full Data'!B203,",",'Inverter-Full Data'!S203,",",'Inverter-Full Data'!J203,",",'Inverter-Full Data'!T203,"'")</f>
        <v>'Delta Electronics     SOLIVIA 3.8 NA G4 TL [240V],Y,97.5,N'</v>
      </c>
    </row>
    <row r="1111" spans="1:1">
      <c r="A1111" s="2" t="e">
        <f>CONCATENATE("'",'Inverter-Full Data'!#REF!,"     ",'Inverter-Full Data'!#REF!,",",'Inverter-Full Data'!#REF!,",",'Inverter-Full Data'!#REF!,",",'Inverter-Full Data'!#REF!,"'")</f>
        <v>#REF!</v>
      </c>
    </row>
    <row r="1112" spans="1:1">
      <c r="A1112" s="2" t="str">
        <f>CONCATENATE("'",'Inverter-Full Data'!A204,"     ",'Inverter-Full Data'!B204,",",'Inverter-Full Data'!S204,",",'Inverter-Full Data'!J204,",",'Inverter-Full Data'!T204,"'")</f>
        <v>'Delta Electronics     SOLIVIA 5.2 NA G4 TL [208V],Y,97.5,N'</v>
      </c>
    </row>
    <row r="1113" spans="1:1">
      <c r="A1113" s="2" t="e">
        <f>CONCATENATE("'",'Inverter-Full Data'!#REF!,"     ",'Inverter-Full Data'!#REF!,",",'Inverter-Full Data'!#REF!,",",'Inverter-Full Data'!#REF!,",",'Inverter-Full Data'!#REF!,"'")</f>
        <v>#REF!</v>
      </c>
    </row>
    <row r="1114" spans="1:1">
      <c r="A1114" s="2" t="str">
        <f>CONCATENATE("'",'Inverter-Full Data'!A205,"     ",'Inverter-Full Data'!B205,",",'Inverter-Full Data'!S205,",",'Inverter-Full Data'!J205,",",'Inverter-Full Data'!T205,"'")</f>
        <v>'Delta Electronics     SOLIVIA 5.2 NA G4 TL [240V],Y,97.5,N'</v>
      </c>
    </row>
    <row r="1115" spans="1:1">
      <c r="A1115" s="2" t="e">
        <f>CONCATENATE("'",'Inverter-Full Data'!#REF!,"     ",'Inverter-Full Data'!#REF!,",",'Inverter-Full Data'!#REF!,",",'Inverter-Full Data'!#REF!,",",'Inverter-Full Data'!#REF!,"'")</f>
        <v>#REF!</v>
      </c>
    </row>
    <row r="1116" spans="1:1">
      <c r="A1116" s="2" t="str">
        <f>CONCATENATE("'",'Inverter-Full Data'!A206,"     ",'Inverter-Full Data'!B206,",",'Inverter-Full Data'!S206,",",'Inverter-Full Data'!J206,",",'Inverter-Full Data'!T206,"'")</f>
        <v>'Delta Electronics     SOLIVIA 6.6 NA G4 TL [208V],Y,97.5,N'</v>
      </c>
    </row>
    <row r="1117" spans="1:1">
      <c r="A1117" s="2" t="e">
        <f>CONCATENATE("'",'Inverter-Full Data'!#REF!,"     ",'Inverter-Full Data'!#REF!,",",'Inverter-Full Data'!#REF!,",",'Inverter-Full Data'!#REF!,",",'Inverter-Full Data'!#REF!,"'")</f>
        <v>#REF!</v>
      </c>
    </row>
    <row r="1118" spans="1:1">
      <c r="A1118" s="2" t="str">
        <f>CONCATENATE("'",'Inverter-Full Data'!A207,"     ",'Inverter-Full Data'!B207,",",'Inverter-Full Data'!S207,",",'Inverter-Full Data'!J207,",",'Inverter-Full Data'!T207,"'")</f>
        <v>'Delta Electronics     SOLIVIA 6.6 NA G4 TL [240V],Y,97.5,N'</v>
      </c>
    </row>
    <row r="1119" spans="1:1">
      <c r="A1119" s="2" t="e">
        <f>CONCATENATE("'",'Inverter-Full Data'!#REF!,"     ",'Inverter-Full Data'!#REF!,",",'Inverter-Full Data'!#REF!,",",'Inverter-Full Data'!#REF!,",",'Inverter-Full Data'!#REF!,"'")</f>
        <v>#REF!</v>
      </c>
    </row>
    <row r="1120" spans="1:1">
      <c r="A1120" s="2" t="str">
        <f>CONCATENATE("'",'Inverter-Full Data'!A208,"     ",'Inverter-Full Data'!B208,",",'Inverter-Full Data'!S208,",",'Inverter-Full Data'!J208,",",'Inverter-Full Data'!T208,"'")</f>
        <v>'Delta Electronics     SOLIVIA 7.6 NA G4 TL [208V],Y,97.5,N'</v>
      </c>
    </row>
    <row r="1121" spans="1:1">
      <c r="A1121" s="2" t="e">
        <f>CONCATENATE("'",'Inverter-Full Data'!#REF!,"     ",'Inverter-Full Data'!#REF!,",",'Inverter-Full Data'!#REF!,",",'Inverter-Full Data'!#REF!,",",'Inverter-Full Data'!#REF!,"'")</f>
        <v>#REF!</v>
      </c>
    </row>
    <row r="1122" spans="1:1">
      <c r="A1122" s="2" t="str">
        <f>CONCATENATE("'",'Inverter-Full Data'!A209,"     ",'Inverter-Full Data'!B209,",",'Inverter-Full Data'!S209,",",'Inverter-Full Data'!J209,",",'Inverter-Full Data'!T209,"'")</f>
        <v>'Delta Electronics     SOLIVIA 7.6 NA G4 TL [240V],Y,97.5,N'</v>
      </c>
    </row>
    <row r="1123" spans="1:1">
      <c r="A1123" s="2" t="e">
        <f>CONCATENATE("'",'Inverter-Full Data'!#REF!,"     ",'Inverter-Full Data'!#REF!,",",'Inverter-Full Data'!#REF!,",",'Inverter-Full Data'!#REF!,",",'Inverter-Full Data'!#REF!,"'")</f>
        <v>#REF!</v>
      </c>
    </row>
    <row r="1124" spans="1:1">
      <c r="A1124" s="2" t="str">
        <f>CONCATENATE("'",'Inverter-Full Data'!A210,"     ",'Inverter-Full Data'!B210,",",'Inverter-Full Data'!S210,",",'Inverter-Full Data'!J210,",",'Inverter-Full Data'!T210,"'")</f>
        <v>'Destin Power Inc.     SAVEEN1000-ES02H.US [440V],N,98,N'</v>
      </c>
    </row>
    <row r="1125" spans="1:1">
      <c r="A1125" s="2" t="str">
        <f>CONCATENATE("'",'Inverter-Full Data'!A211,"     ",'Inverter-Full Data'!B211,",",'Inverter-Full Data'!S211,",",'Inverter-Full Data'!J211,",",'Inverter-Full Data'!T211,"'")</f>
        <v>'DYNAPOWER COMPANY LLC     MPS-100 [480],N,93,N'</v>
      </c>
    </row>
    <row r="1126" spans="1:1">
      <c r="A1126" s="2" t="str">
        <f>CONCATENATE("'",'Inverter-Full Data'!A212,"     ",'Inverter-Full Data'!B212,",",'Inverter-Full Data'!S212,",",'Inverter-Full Data'!J212,",",'Inverter-Full Data'!T212,"'")</f>
        <v>'DYNAPOWER COMPANY LLC     MPS-250 [480V],N,95,N'</v>
      </c>
    </row>
    <row r="1127" spans="1:1">
      <c r="A1127" s="2" t="str">
        <f>CONCATENATE("'",'Inverter-Full Data'!A213,"     ",'Inverter-Full Data'!B213,",",'Inverter-Full Data'!S213,",",'Inverter-Full Data'!J213,",",'Inverter-Full Data'!T213,"'")</f>
        <v>'DYNAPOWER COMPANY LLC     MPS-250HV [480V],N,95.5,N'</v>
      </c>
    </row>
    <row r="1128" spans="1:1">
      <c r="A1128" s="2" t="str">
        <f>CONCATENATE("'",'Inverter-Full Data'!A214,"     ",'Inverter-Full Data'!B214,",",'Inverter-Full Data'!S214,",",'Inverter-Full Data'!J214,",",'Inverter-Full Data'!T214,"'")</f>
        <v>'Enphase Energy Inc.     IQ6-60-ACM-US [208V],N,97,Y'</v>
      </c>
    </row>
    <row r="1129" spans="1:1">
      <c r="A1129" s="2" t="e">
        <f>CONCATENATE("'",'Inverter-Full Data'!#REF!,"     ",'Inverter-Full Data'!#REF!,",",'Inverter-Full Data'!#REF!,",",'Inverter-Full Data'!#REF!,",",'Inverter-Full Data'!#REF!,"'")</f>
        <v>#REF!</v>
      </c>
    </row>
    <row r="1130" spans="1:1">
      <c r="A1130" s="2" t="e">
        <f>CONCATENATE("'",'Inverter-Full Data'!#REF!,"     ",'Inverter-Full Data'!#REF!,",",'Inverter-Full Data'!#REF!,",",'Inverter-Full Data'!#REF!,",",'Inverter-Full Data'!#REF!,"'")</f>
        <v>#REF!</v>
      </c>
    </row>
    <row r="1131" spans="1:1">
      <c r="A1131" s="2" t="e">
        <f>CONCATENATE("'",'Inverter-Full Data'!#REF!,"     ",'Inverter-Full Data'!#REF!,",",'Inverter-Full Data'!#REF!,",",'Inverter-Full Data'!#REF!,",",'Inverter-Full Data'!#REF!,"'")</f>
        <v>#REF!</v>
      </c>
    </row>
    <row r="1132" spans="1:1">
      <c r="A1132" s="2" t="e">
        <f>CONCATENATE("'",'Inverter-Full Data'!#REF!,"     ",'Inverter-Full Data'!#REF!,",",'Inverter-Full Data'!#REF!,",",'Inverter-Full Data'!#REF!,",",'Inverter-Full Data'!#REF!,"'")</f>
        <v>#REF!</v>
      </c>
    </row>
    <row r="1133" spans="1:1">
      <c r="A1133" s="2" t="e">
        <f>CONCATENATE("'",'Inverter-Full Data'!#REF!,"     ",'Inverter-Full Data'!#REF!,",",'Inverter-Full Data'!#REF!,",",'Inverter-Full Data'!#REF!,",",'Inverter-Full Data'!#REF!,"'")</f>
        <v>#REF!</v>
      </c>
    </row>
    <row r="1134" spans="1:1">
      <c r="A1134" s="2" t="e">
        <f>CONCATENATE("'",'Inverter-Full Data'!#REF!,"     ",'Inverter-Full Data'!#REF!,",",'Inverter-Full Data'!#REF!,",",'Inverter-Full Data'!#REF!,",",'Inverter-Full Data'!#REF!,"'")</f>
        <v>#REF!</v>
      </c>
    </row>
    <row r="1135" spans="1:1">
      <c r="A1135" s="2" t="e">
        <f>CONCATENATE("'",'Inverter-Full Data'!#REF!,"     ",'Inverter-Full Data'!#REF!,",",'Inverter-Full Data'!#REF!,",",'Inverter-Full Data'!#REF!,",",'Inverter-Full Data'!#REF!,"'")</f>
        <v>#REF!</v>
      </c>
    </row>
    <row r="1136" spans="1:1">
      <c r="A1136" s="2" t="e">
        <f>CONCATENATE("'",'Inverter-Full Data'!#REF!,"     ",'Inverter-Full Data'!#REF!,",",'Inverter-Full Data'!#REF!,",",'Inverter-Full Data'!#REF!,",",'Inverter-Full Data'!#REF!,"'")</f>
        <v>#REF!</v>
      </c>
    </row>
    <row r="1137" spans="1:1">
      <c r="A1137" s="2" t="e">
        <f>CONCATENATE("'",'Inverter-Full Data'!#REF!,"     ",'Inverter-Full Data'!#REF!,",",'Inverter-Full Data'!#REF!,",",'Inverter-Full Data'!#REF!,",",'Inverter-Full Data'!#REF!,"'")</f>
        <v>#REF!</v>
      </c>
    </row>
    <row r="1138" spans="1:1">
      <c r="A1138" s="2" t="e">
        <f>CONCATENATE("'",'Inverter-Full Data'!#REF!,"     ",'Inverter-Full Data'!#REF!,",",'Inverter-Full Data'!#REF!,",",'Inverter-Full Data'!#REF!,",",'Inverter-Full Data'!#REF!,"'")</f>
        <v>#REF!</v>
      </c>
    </row>
    <row r="1139" spans="1:1">
      <c r="A1139" s="2" t="e">
        <f>CONCATENATE("'",'Inverter-Full Data'!#REF!,"     ",'Inverter-Full Data'!#REF!,",",'Inverter-Full Data'!#REF!,",",'Inverter-Full Data'!#REF!,",",'Inverter-Full Data'!#REF!,"'")</f>
        <v>#REF!</v>
      </c>
    </row>
    <row r="1140" spans="1:1">
      <c r="A1140" s="2" t="e">
        <f>CONCATENATE("'",'Inverter-Full Data'!#REF!,"     ",'Inverter-Full Data'!#REF!,",",'Inverter-Full Data'!#REF!,",",'Inverter-Full Data'!#REF!,",",'Inverter-Full Data'!#REF!,"'")</f>
        <v>#REF!</v>
      </c>
    </row>
    <row r="1141" spans="1:1">
      <c r="A1141" s="2" t="e">
        <f>CONCATENATE("'",'Inverter-Full Data'!#REF!,"     ",'Inverter-Full Data'!#REF!,",",'Inverter-Full Data'!#REF!,",",'Inverter-Full Data'!#REF!,",",'Inverter-Full Data'!#REF!,"'")</f>
        <v>#REF!</v>
      </c>
    </row>
    <row r="1142" spans="1:1">
      <c r="A1142" s="2" t="e">
        <f>CONCATENATE("'",'Inverter-Full Data'!#REF!,"     ",'Inverter-Full Data'!#REF!,",",'Inverter-Full Data'!#REF!,",",'Inverter-Full Data'!#REF!,",",'Inverter-Full Data'!#REF!,"'")</f>
        <v>#REF!</v>
      </c>
    </row>
    <row r="1143" spans="1:1">
      <c r="A1143" s="2" t="e">
        <f>CONCATENATE("'",'Inverter-Full Data'!#REF!,"     ",'Inverter-Full Data'!#REF!,",",'Inverter-Full Data'!#REF!,",",'Inverter-Full Data'!#REF!,",",'Inverter-Full Data'!#REF!,"'")</f>
        <v>#REF!</v>
      </c>
    </row>
    <row r="1144" spans="1:1">
      <c r="A1144" s="2" t="e">
        <f>CONCATENATE("'",'Inverter-Full Data'!#REF!,"     ",'Inverter-Full Data'!#REF!,",",'Inverter-Full Data'!#REF!,",",'Inverter-Full Data'!#REF!,",",'Inverter-Full Data'!#REF!,"'")</f>
        <v>#REF!</v>
      </c>
    </row>
    <row r="1145" spans="1:1">
      <c r="A1145" s="2" t="e">
        <f>CONCATENATE("'",'Inverter-Full Data'!#REF!,"     ",'Inverter-Full Data'!#REF!,",",'Inverter-Full Data'!#REF!,",",'Inverter-Full Data'!#REF!,",",'Inverter-Full Data'!#REF!,"'")</f>
        <v>#REF!</v>
      </c>
    </row>
    <row r="1146" spans="1:1">
      <c r="A1146" s="2" t="e">
        <f>CONCATENATE("'",'Inverter-Full Data'!#REF!,"     ",'Inverter-Full Data'!#REF!,",",'Inverter-Full Data'!#REF!,",",'Inverter-Full Data'!#REF!,",",'Inverter-Full Data'!#REF!,"'")</f>
        <v>#REF!</v>
      </c>
    </row>
    <row r="1147" spans="1:1">
      <c r="A1147" s="2" t="e">
        <f>CONCATENATE("'",'Inverter-Full Data'!#REF!,"     ",'Inverter-Full Data'!#REF!,",",'Inverter-Full Data'!#REF!,",",'Inverter-Full Data'!#REF!,",",'Inverter-Full Data'!#REF!,"'")</f>
        <v>#REF!</v>
      </c>
    </row>
    <row r="1148" spans="1:1">
      <c r="A1148" s="2" t="e">
        <f>CONCATENATE("'",'Inverter-Full Data'!#REF!,"     ",'Inverter-Full Data'!#REF!,",",'Inverter-Full Data'!#REF!,",",'Inverter-Full Data'!#REF!,",",'Inverter-Full Data'!#REF!,"'")</f>
        <v>#REF!</v>
      </c>
    </row>
    <row r="1149" spans="1:1">
      <c r="A1149" s="2" t="e">
        <f>CONCATENATE("'",'Inverter-Full Data'!#REF!,"     ",'Inverter-Full Data'!#REF!,",",'Inverter-Full Data'!#REF!,",",'Inverter-Full Data'!#REF!,",",'Inverter-Full Data'!#REF!,"'")</f>
        <v>#REF!</v>
      </c>
    </row>
    <row r="1150" spans="1:1">
      <c r="A1150" s="2" t="e">
        <f>CONCATENATE("'",'Inverter-Full Data'!#REF!,"     ",'Inverter-Full Data'!#REF!,",",'Inverter-Full Data'!#REF!,",",'Inverter-Full Data'!#REF!,",",'Inverter-Full Data'!#REF!,"'")</f>
        <v>#REF!</v>
      </c>
    </row>
    <row r="1151" spans="1:1">
      <c r="A1151" s="2" t="e">
        <f>CONCATENATE("'",'Inverter-Full Data'!#REF!,"     ",'Inverter-Full Data'!#REF!,",",'Inverter-Full Data'!#REF!,",",'Inverter-Full Data'!#REF!,",",'Inverter-Full Data'!#REF!,"'")</f>
        <v>#REF!</v>
      </c>
    </row>
    <row r="1152" spans="1:1">
      <c r="A1152" s="2" t="e">
        <f>CONCATENATE("'",'Inverter-Full Data'!#REF!,"     ",'Inverter-Full Data'!#REF!,",",'Inverter-Full Data'!#REF!,",",'Inverter-Full Data'!#REF!,",",'Inverter-Full Data'!#REF!,"'")</f>
        <v>#REF!</v>
      </c>
    </row>
    <row r="1153" spans="1:1">
      <c r="A1153" s="2" t="e">
        <f>CONCATENATE("'",'Inverter-Full Data'!#REF!,"     ",'Inverter-Full Data'!#REF!,",",'Inverter-Full Data'!#REF!,",",'Inverter-Full Data'!#REF!,",",'Inverter-Full Data'!#REF!,"'")</f>
        <v>#REF!</v>
      </c>
    </row>
    <row r="1154" spans="1:1">
      <c r="A1154" s="2" t="e">
        <f>CONCATENATE("'",'Inverter-Full Data'!#REF!,"     ",'Inverter-Full Data'!#REF!,",",'Inverter-Full Data'!#REF!,",",'Inverter-Full Data'!#REF!,",",'Inverter-Full Data'!#REF!,"'")</f>
        <v>#REF!</v>
      </c>
    </row>
    <row r="1155" spans="1:1">
      <c r="A1155" s="2" t="e">
        <f>CONCATENATE("'",'Inverter-Full Data'!#REF!,"     ",'Inverter-Full Data'!#REF!,",",'Inverter-Full Data'!#REF!,",",'Inverter-Full Data'!#REF!,",",'Inverter-Full Data'!#REF!,"'")</f>
        <v>#REF!</v>
      </c>
    </row>
    <row r="1156" spans="1:1">
      <c r="A1156" s="2" t="e">
        <f>CONCATENATE("'",'Inverter-Full Data'!#REF!,"     ",'Inverter-Full Data'!#REF!,",",'Inverter-Full Data'!#REF!,",",'Inverter-Full Data'!#REF!,",",'Inverter-Full Data'!#REF!,"'")</f>
        <v>#REF!</v>
      </c>
    </row>
    <row r="1157" spans="1:1">
      <c r="A1157" s="2" t="e">
        <f>CONCATENATE("'",'Inverter-Full Data'!#REF!,"     ",'Inverter-Full Data'!#REF!,",",'Inverter-Full Data'!#REF!,",",'Inverter-Full Data'!#REF!,",",'Inverter-Full Data'!#REF!,"'")</f>
        <v>#REF!</v>
      </c>
    </row>
    <row r="1158" spans="1:1">
      <c r="A1158" s="2" t="e">
        <f>CONCATENATE("'",'Inverter-Full Data'!#REF!,"     ",'Inverter-Full Data'!#REF!,",",'Inverter-Full Data'!#REF!,",",'Inverter-Full Data'!#REF!,",",'Inverter-Full Data'!#REF!,"'")</f>
        <v>#REF!</v>
      </c>
    </row>
    <row r="1159" spans="1:1">
      <c r="A1159" s="2" t="e">
        <f>CONCATENATE("'",'Inverter-Full Data'!#REF!,"     ",'Inverter-Full Data'!#REF!,",",'Inverter-Full Data'!#REF!,",",'Inverter-Full Data'!#REF!,",",'Inverter-Full Data'!#REF!,"'")</f>
        <v>#REF!</v>
      </c>
    </row>
    <row r="1160" spans="1:1">
      <c r="A1160" s="2" t="e">
        <f>CONCATENATE("'",'Inverter-Full Data'!#REF!,"     ",'Inverter-Full Data'!#REF!,",",'Inverter-Full Data'!#REF!,",",'Inverter-Full Data'!#REF!,",",'Inverter-Full Data'!#REF!,"'")</f>
        <v>#REF!</v>
      </c>
    </row>
    <row r="1161" spans="1:1">
      <c r="A1161" s="2" t="e">
        <f>CONCATENATE("'",'Inverter-Full Data'!#REF!,"     ",'Inverter-Full Data'!#REF!,",",'Inverter-Full Data'!#REF!,",",'Inverter-Full Data'!#REF!,",",'Inverter-Full Data'!#REF!,"'")</f>
        <v>#REF!</v>
      </c>
    </row>
    <row r="1162" spans="1:1">
      <c r="A1162" s="2" t="e">
        <f>CONCATENATE("'",'Inverter-Full Data'!#REF!,"     ",'Inverter-Full Data'!#REF!,",",'Inverter-Full Data'!#REF!,",",'Inverter-Full Data'!#REF!,",",'Inverter-Full Data'!#REF!,"'")</f>
        <v>#REF!</v>
      </c>
    </row>
    <row r="1163" spans="1:1">
      <c r="A1163" s="2" t="e">
        <f>CONCATENATE("'",'Inverter-Full Data'!#REF!,"     ",'Inverter-Full Data'!#REF!,",",'Inverter-Full Data'!#REF!,",",'Inverter-Full Data'!#REF!,",",'Inverter-Full Data'!#REF!,"'")</f>
        <v>#REF!</v>
      </c>
    </row>
    <row r="1164" spans="1:1">
      <c r="A1164" s="2" t="e">
        <f>CONCATENATE("'",'Inverter-Full Data'!#REF!,"     ",'Inverter-Full Data'!#REF!,",",'Inverter-Full Data'!#REF!,",",'Inverter-Full Data'!#REF!,",",'Inverter-Full Data'!#REF!,"'")</f>
        <v>#REF!</v>
      </c>
    </row>
    <row r="1165" spans="1:1">
      <c r="A1165" s="2" t="e">
        <f>CONCATENATE("'",'Inverter-Full Data'!#REF!,"     ",'Inverter-Full Data'!#REF!,",",'Inverter-Full Data'!#REF!,",",'Inverter-Full Data'!#REF!,",",'Inverter-Full Data'!#REF!,"'")</f>
        <v>#REF!</v>
      </c>
    </row>
    <row r="1166" spans="1:1">
      <c r="A1166" s="2" t="e">
        <f>CONCATENATE("'",'Inverter-Full Data'!#REF!,"     ",'Inverter-Full Data'!#REF!,",",'Inverter-Full Data'!#REF!,",",'Inverter-Full Data'!#REF!,",",'Inverter-Full Data'!#REF!,"'")</f>
        <v>#REF!</v>
      </c>
    </row>
    <row r="1167" spans="1:1">
      <c r="A1167" s="2" t="e">
        <f>CONCATENATE("'",'Inverter-Full Data'!#REF!,"     ",'Inverter-Full Data'!#REF!,",",'Inverter-Full Data'!#REF!,",",'Inverter-Full Data'!#REF!,",",'Inverter-Full Data'!#REF!,"'")</f>
        <v>#REF!</v>
      </c>
    </row>
    <row r="1168" spans="1:1">
      <c r="A1168" s="2" t="e">
        <f>CONCATENATE("'",'Inverter-Full Data'!#REF!,"     ",'Inverter-Full Data'!#REF!,",",'Inverter-Full Data'!#REF!,",",'Inverter-Full Data'!#REF!,",",'Inverter-Full Data'!#REF!,"'")</f>
        <v>#REF!</v>
      </c>
    </row>
    <row r="1169" spans="1:1">
      <c r="A1169" s="2" t="e">
        <f>CONCATENATE("'",'Inverter-Full Data'!#REF!,"     ",'Inverter-Full Data'!#REF!,",",'Inverter-Full Data'!#REF!,",",'Inverter-Full Data'!#REF!,",",'Inverter-Full Data'!#REF!,"'")</f>
        <v>#REF!</v>
      </c>
    </row>
    <row r="1170" spans="1:1">
      <c r="A1170" s="2" t="e">
        <f>CONCATENATE("'",'Inverter-Full Data'!#REF!,"     ",'Inverter-Full Data'!#REF!,",",'Inverter-Full Data'!#REF!,",",'Inverter-Full Data'!#REF!,",",'Inverter-Full Data'!#REF!,"'")</f>
        <v>#REF!</v>
      </c>
    </row>
    <row r="1171" spans="1:1">
      <c r="A1171" s="2" t="e">
        <f>CONCATENATE("'",'Inverter-Full Data'!#REF!,"     ",'Inverter-Full Data'!#REF!,",",'Inverter-Full Data'!#REF!,",",'Inverter-Full Data'!#REF!,",",'Inverter-Full Data'!#REF!,"'")</f>
        <v>#REF!</v>
      </c>
    </row>
    <row r="1172" spans="1:1">
      <c r="A1172" s="2" t="e">
        <f>CONCATENATE("'",'Inverter-Full Data'!#REF!,"     ",'Inverter-Full Data'!#REF!,",",'Inverter-Full Data'!#REF!,",",'Inverter-Full Data'!#REF!,",",'Inverter-Full Data'!#REF!,"'")</f>
        <v>#REF!</v>
      </c>
    </row>
    <row r="1173" spans="1:1">
      <c r="A1173" s="2" t="e">
        <f>CONCATENATE("'",'Inverter-Full Data'!#REF!,"     ",'Inverter-Full Data'!#REF!,",",'Inverter-Full Data'!#REF!,",",'Inverter-Full Data'!#REF!,",",'Inverter-Full Data'!#REF!,"'")</f>
        <v>#REF!</v>
      </c>
    </row>
    <row r="1174" spans="1:1">
      <c r="A1174" s="2" t="e">
        <f>CONCATENATE("'",'Inverter-Full Data'!#REF!,"     ",'Inverter-Full Data'!#REF!,",",'Inverter-Full Data'!#REF!,",",'Inverter-Full Data'!#REF!,",",'Inverter-Full Data'!#REF!,"'")</f>
        <v>#REF!</v>
      </c>
    </row>
    <row r="1175" spans="1:1">
      <c r="A1175" s="2" t="e">
        <f>CONCATENATE("'",'Inverter-Full Data'!#REF!,"     ",'Inverter-Full Data'!#REF!,",",'Inverter-Full Data'!#REF!,",",'Inverter-Full Data'!#REF!,",",'Inverter-Full Data'!#REF!,"'")</f>
        <v>#REF!</v>
      </c>
    </row>
    <row r="1176" spans="1:1">
      <c r="A1176" s="2" t="e">
        <f>CONCATENATE("'",'Inverter-Full Data'!#REF!,"     ",'Inverter-Full Data'!#REF!,",",'Inverter-Full Data'!#REF!,",",'Inverter-Full Data'!#REF!,",",'Inverter-Full Data'!#REF!,"'")</f>
        <v>#REF!</v>
      </c>
    </row>
    <row r="1177" spans="1:1">
      <c r="A1177" s="2" t="e">
        <f>CONCATENATE("'",'Inverter-Full Data'!#REF!,"     ",'Inverter-Full Data'!#REF!,",",'Inverter-Full Data'!#REF!,",",'Inverter-Full Data'!#REF!,",",'Inverter-Full Data'!#REF!,"'")</f>
        <v>#REF!</v>
      </c>
    </row>
    <row r="1178" spans="1:1">
      <c r="A1178" s="2" t="e">
        <f>CONCATENATE("'",'Inverter-Full Data'!#REF!,"     ",'Inverter-Full Data'!#REF!,",",'Inverter-Full Data'!#REF!,",",'Inverter-Full Data'!#REF!,",",'Inverter-Full Data'!#REF!,"'")</f>
        <v>#REF!</v>
      </c>
    </row>
    <row r="1179" spans="1:1">
      <c r="A1179" s="2" t="e">
        <f>CONCATENATE("'",'Inverter-Full Data'!#REF!,"     ",'Inverter-Full Data'!#REF!,",",'Inverter-Full Data'!#REF!,",",'Inverter-Full Data'!#REF!,",",'Inverter-Full Data'!#REF!,"'")</f>
        <v>#REF!</v>
      </c>
    </row>
    <row r="1180" spans="1:1">
      <c r="A1180" s="2" t="e">
        <f>CONCATENATE("'",'Inverter-Full Data'!#REF!,"     ",'Inverter-Full Data'!#REF!,",",'Inverter-Full Data'!#REF!,",",'Inverter-Full Data'!#REF!,",",'Inverter-Full Data'!#REF!,"'")</f>
        <v>#REF!</v>
      </c>
    </row>
    <row r="1181" spans="1:1">
      <c r="A1181" s="2" t="e">
        <f>CONCATENATE("'",'Inverter-Full Data'!#REF!,"     ",'Inverter-Full Data'!#REF!,",",'Inverter-Full Data'!#REF!,",",'Inverter-Full Data'!#REF!,",",'Inverter-Full Data'!#REF!,"'")</f>
        <v>#REF!</v>
      </c>
    </row>
    <row r="1182" spans="1:1">
      <c r="A1182" s="2" t="e">
        <f>CONCATENATE("'",'Inverter-Full Data'!#REF!,"     ",'Inverter-Full Data'!#REF!,",",'Inverter-Full Data'!#REF!,",",'Inverter-Full Data'!#REF!,",",'Inverter-Full Data'!#REF!,"'")</f>
        <v>#REF!</v>
      </c>
    </row>
    <row r="1183" spans="1:1">
      <c r="A1183" s="2" t="e">
        <f>CONCATENATE("'",'Inverter-Full Data'!#REF!,"     ",'Inverter-Full Data'!#REF!,",",'Inverter-Full Data'!#REF!,",",'Inverter-Full Data'!#REF!,",",'Inverter-Full Data'!#REF!,"'")</f>
        <v>#REF!</v>
      </c>
    </row>
    <row r="1184" spans="1:1">
      <c r="A1184" s="2" t="e">
        <f>CONCATENATE("'",'Inverter-Full Data'!#REF!,"     ",'Inverter-Full Data'!#REF!,",",'Inverter-Full Data'!#REF!,",",'Inverter-Full Data'!#REF!,",",'Inverter-Full Data'!#REF!,"'")</f>
        <v>#REF!</v>
      </c>
    </row>
    <row r="1185" spans="1:1">
      <c r="A1185" s="2" t="e">
        <f>CONCATENATE("'",'Inverter-Full Data'!#REF!,"     ",'Inverter-Full Data'!#REF!,",",'Inverter-Full Data'!#REF!,",",'Inverter-Full Data'!#REF!,",",'Inverter-Full Data'!#REF!,"'")</f>
        <v>#REF!</v>
      </c>
    </row>
    <row r="1186" spans="1:1">
      <c r="A1186" s="2" t="e">
        <f>CONCATENATE("'",'Inverter-Full Data'!#REF!,"     ",'Inverter-Full Data'!#REF!,",",'Inverter-Full Data'!#REF!,",",'Inverter-Full Data'!#REF!,",",'Inverter-Full Data'!#REF!,"'")</f>
        <v>#REF!</v>
      </c>
    </row>
    <row r="1187" spans="1:1">
      <c r="A1187" s="2" t="e">
        <f>CONCATENATE("'",'Inverter-Full Data'!#REF!,"     ",'Inverter-Full Data'!#REF!,",",'Inverter-Full Data'!#REF!,",",'Inverter-Full Data'!#REF!,",",'Inverter-Full Data'!#REF!,"'")</f>
        <v>#REF!</v>
      </c>
    </row>
    <row r="1188" spans="1:1">
      <c r="A1188" s="2" t="e">
        <f>CONCATENATE("'",'Inverter-Full Data'!#REF!,"     ",'Inverter-Full Data'!#REF!,",",'Inverter-Full Data'!#REF!,",",'Inverter-Full Data'!#REF!,",",'Inverter-Full Data'!#REF!,"'")</f>
        <v>#REF!</v>
      </c>
    </row>
    <row r="1189" spans="1:1">
      <c r="A1189" s="2" t="e">
        <f>CONCATENATE("'",'Inverter-Full Data'!#REF!,"     ",'Inverter-Full Data'!#REF!,",",'Inverter-Full Data'!#REF!,",",'Inverter-Full Data'!#REF!,",",'Inverter-Full Data'!#REF!,"'")</f>
        <v>#REF!</v>
      </c>
    </row>
    <row r="1190" spans="1:1">
      <c r="A1190" s="2" t="e">
        <f>CONCATENATE("'",'Inverter-Full Data'!#REF!,"     ",'Inverter-Full Data'!#REF!,",",'Inverter-Full Data'!#REF!,",",'Inverter-Full Data'!#REF!,",",'Inverter-Full Data'!#REF!,"'")</f>
        <v>#REF!</v>
      </c>
    </row>
    <row r="1191" spans="1:1">
      <c r="A1191" s="2" t="e">
        <f>CONCATENATE("'",'Inverter-Full Data'!#REF!,"     ",'Inverter-Full Data'!#REF!,",",'Inverter-Full Data'!#REF!,",",'Inverter-Full Data'!#REF!,",",'Inverter-Full Data'!#REF!,"'")</f>
        <v>#REF!</v>
      </c>
    </row>
    <row r="1192" spans="1:1">
      <c r="A1192" s="2" t="e">
        <f>CONCATENATE("'",'Inverter-Full Data'!#REF!,"     ",'Inverter-Full Data'!#REF!,",",'Inverter-Full Data'!#REF!,",",'Inverter-Full Data'!#REF!,",",'Inverter-Full Data'!#REF!,"'")</f>
        <v>#REF!</v>
      </c>
    </row>
    <row r="1193" spans="1:1">
      <c r="A1193" s="2" t="e">
        <f>CONCATENATE("'",'Inverter-Full Data'!#REF!,"     ",'Inverter-Full Data'!#REF!,",",'Inverter-Full Data'!#REF!,",",'Inverter-Full Data'!#REF!,",",'Inverter-Full Data'!#REF!,"'")</f>
        <v>#REF!</v>
      </c>
    </row>
    <row r="1194" spans="1:1">
      <c r="A1194" s="2" t="e">
        <f>CONCATENATE("'",'Inverter-Full Data'!#REF!,"     ",'Inverter-Full Data'!#REF!,",",'Inverter-Full Data'!#REF!,",",'Inverter-Full Data'!#REF!,",",'Inverter-Full Data'!#REF!,"'")</f>
        <v>#REF!</v>
      </c>
    </row>
    <row r="1195" spans="1:1">
      <c r="A1195" s="2" t="e">
        <f>CONCATENATE("'",'Inverter-Full Data'!#REF!,"     ",'Inverter-Full Data'!#REF!,",",'Inverter-Full Data'!#REF!,",",'Inverter-Full Data'!#REF!,",",'Inverter-Full Data'!#REF!,"'")</f>
        <v>#REF!</v>
      </c>
    </row>
    <row r="1196" spans="1:1">
      <c r="A1196" s="2" t="e">
        <f>CONCATENATE("'",'Inverter-Full Data'!#REF!,"     ",'Inverter-Full Data'!#REF!,",",'Inverter-Full Data'!#REF!,",",'Inverter-Full Data'!#REF!,",",'Inverter-Full Data'!#REF!,"'")</f>
        <v>#REF!</v>
      </c>
    </row>
    <row r="1197" spans="1:1">
      <c r="A1197" s="2" t="e">
        <f>CONCATENATE("'",'Inverter-Full Data'!#REF!,"     ",'Inverter-Full Data'!#REF!,",",'Inverter-Full Data'!#REF!,",",'Inverter-Full Data'!#REF!,",",'Inverter-Full Data'!#REF!,"'")</f>
        <v>#REF!</v>
      </c>
    </row>
    <row r="1198" spans="1:1">
      <c r="A1198" s="2" t="e">
        <f>CONCATENATE("'",'Inverter-Full Data'!#REF!,"     ",'Inverter-Full Data'!#REF!,",",'Inverter-Full Data'!#REF!,",",'Inverter-Full Data'!#REF!,",",'Inverter-Full Data'!#REF!,"'")</f>
        <v>#REF!</v>
      </c>
    </row>
    <row r="1199" spans="1:1">
      <c r="A1199" s="2" t="e">
        <f>CONCATENATE("'",'Inverter-Full Data'!#REF!,"     ",'Inverter-Full Data'!#REF!,",",'Inverter-Full Data'!#REF!,",",'Inverter-Full Data'!#REF!,",",'Inverter-Full Data'!#REF!,"'")</f>
        <v>#REF!</v>
      </c>
    </row>
    <row r="1200" spans="1:1">
      <c r="A1200" s="2" t="e">
        <f>CONCATENATE("'",'Inverter-Full Data'!#REF!,"     ",'Inverter-Full Data'!#REF!,",",'Inverter-Full Data'!#REF!,",",'Inverter-Full Data'!#REF!,",",'Inverter-Full Data'!#REF!,"'")</f>
        <v>#REF!</v>
      </c>
    </row>
    <row r="1201" spans="1:1">
      <c r="A1201" s="2" t="e">
        <f>CONCATENATE("'",'Inverter-Full Data'!#REF!,"     ",'Inverter-Full Data'!#REF!,",",'Inverter-Full Data'!#REF!,",",'Inverter-Full Data'!#REF!,",",'Inverter-Full Data'!#REF!,"'")</f>
        <v>#REF!</v>
      </c>
    </row>
    <row r="1202" spans="1:1">
      <c r="A1202" s="2" t="e">
        <f>CONCATENATE("'",'Inverter-Full Data'!#REF!,"     ",'Inverter-Full Data'!#REF!,",",'Inverter-Full Data'!#REF!,",",'Inverter-Full Data'!#REF!,",",'Inverter-Full Data'!#REF!,"'")</f>
        <v>#REF!</v>
      </c>
    </row>
    <row r="1203" spans="1:1">
      <c r="A1203" s="2" t="e">
        <f>CONCATENATE("'",'Inverter-Full Data'!#REF!,"     ",'Inverter-Full Data'!#REF!,",",'Inverter-Full Data'!#REF!,",",'Inverter-Full Data'!#REF!,",",'Inverter-Full Data'!#REF!,"'")</f>
        <v>#REF!</v>
      </c>
    </row>
    <row r="1204" spans="1:1">
      <c r="A1204" s="2" t="e">
        <f>CONCATENATE("'",'Inverter-Full Data'!#REF!,"     ",'Inverter-Full Data'!#REF!,",",'Inverter-Full Data'!#REF!,",",'Inverter-Full Data'!#REF!,",",'Inverter-Full Data'!#REF!,"'")</f>
        <v>#REF!</v>
      </c>
    </row>
    <row r="1205" spans="1:1">
      <c r="A1205" s="2" t="e">
        <f>CONCATENATE("'",'Inverter-Full Data'!#REF!,"     ",'Inverter-Full Data'!#REF!,",",'Inverter-Full Data'!#REF!,",",'Inverter-Full Data'!#REF!,",",'Inverter-Full Data'!#REF!,"'")</f>
        <v>#REF!</v>
      </c>
    </row>
    <row r="1206" spans="1:1">
      <c r="A1206" s="2" t="e">
        <f>CONCATENATE("'",'Inverter-Full Data'!#REF!,"     ",'Inverter-Full Data'!#REF!,",",'Inverter-Full Data'!#REF!,",",'Inverter-Full Data'!#REF!,",",'Inverter-Full Data'!#REF!,"'")</f>
        <v>#REF!</v>
      </c>
    </row>
    <row r="1207" spans="1:1">
      <c r="A1207" s="2" t="e">
        <f>CONCATENATE("'",'Inverter-Full Data'!#REF!,"     ",'Inverter-Full Data'!#REF!,",",'Inverter-Full Data'!#REF!,",",'Inverter-Full Data'!#REF!,",",'Inverter-Full Data'!#REF!,"'")</f>
        <v>#REF!</v>
      </c>
    </row>
    <row r="1208" spans="1:1">
      <c r="A1208" s="2" t="e">
        <f>CONCATENATE("'",'Inverter-Full Data'!#REF!,"     ",'Inverter-Full Data'!#REF!,",",'Inverter-Full Data'!#REF!,",",'Inverter-Full Data'!#REF!,",",'Inverter-Full Data'!#REF!,"'")</f>
        <v>#REF!</v>
      </c>
    </row>
    <row r="1209" spans="1:1">
      <c r="A1209" s="2" t="e">
        <f>CONCATENATE("'",'Inverter-Full Data'!#REF!,"     ",'Inverter-Full Data'!#REF!,",",'Inverter-Full Data'!#REF!,",",'Inverter-Full Data'!#REF!,",",'Inverter-Full Data'!#REF!,"'")</f>
        <v>#REF!</v>
      </c>
    </row>
    <row r="1210" spans="1:1">
      <c r="A1210" s="2" t="e">
        <f>CONCATENATE("'",'Inverter-Full Data'!#REF!,"     ",'Inverter-Full Data'!#REF!,",",'Inverter-Full Data'!#REF!,",",'Inverter-Full Data'!#REF!,",",'Inverter-Full Data'!#REF!,"'")</f>
        <v>#REF!</v>
      </c>
    </row>
    <row r="1211" spans="1:1">
      <c r="A1211" s="2" t="e">
        <f>CONCATENATE("'",'Inverter-Full Data'!#REF!,"     ",'Inverter-Full Data'!#REF!,",",'Inverter-Full Data'!#REF!,",",'Inverter-Full Data'!#REF!,",",'Inverter-Full Data'!#REF!,"'")</f>
        <v>#REF!</v>
      </c>
    </row>
    <row r="1212" spans="1:1">
      <c r="A1212" s="2" t="e">
        <f>CONCATENATE("'",'Inverter-Full Data'!#REF!,"     ",'Inverter-Full Data'!#REF!,",",'Inverter-Full Data'!#REF!,",",'Inverter-Full Data'!#REF!,",",'Inverter-Full Data'!#REF!,"'")</f>
        <v>#REF!</v>
      </c>
    </row>
    <row r="1213" spans="1:1">
      <c r="A1213" s="2" t="e">
        <f>CONCATENATE("'",'Inverter-Full Data'!#REF!,"     ",'Inverter-Full Data'!#REF!,",",'Inverter-Full Data'!#REF!,",",'Inverter-Full Data'!#REF!,",",'Inverter-Full Data'!#REF!,"'")</f>
        <v>#REF!</v>
      </c>
    </row>
    <row r="1214" spans="1:1">
      <c r="A1214" s="2" t="e">
        <f>CONCATENATE("'",'Inverter-Full Data'!#REF!,"     ",'Inverter-Full Data'!#REF!,",",'Inverter-Full Data'!#REF!,",",'Inverter-Full Data'!#REF!,",",'Inverter-Full Data'!#REF!,"'")</f>
        <v>#REF!</v>
      </c>
    </row>
    <row r="1215" spans="1:1">
      <c r="A1215" s="2" t="e">
        <f>CONCATENATE("'",'Inverter-Full Data'!#REF!,"     ",'Inverter-Full Data'!#REF!,",",'Inverter-Full Data'!#REF!,",",'Inverter-Full Data'!#REF!,",",'Inverter-Full Data'!#REF!,"'")</f>
        <v>#REF!</v>
      </c>
    </row>
    <row r="1216" spans="1:1">
      <c r="A1216" s="2" t="e">
        <f>CONCATENATE("'",'Inverter-Full Data'!#REF!,"     ",'Inverter-Full Data'!#REF!,",",'Inverter-Full Data'!#REF!,",",'Inverter-Full Data'!#REF!,",",'Inverter-Full Data'!#REF!,"'")</f>
        <v>#REF!</v>
      </c>
    </row>
    <row r="1217" spans="1:1">
      <c r="A1217" s="2" t="e">
        <f>CONCATENATE("'",'Inverter-Full Data'!#REF!,"     ",'Inverter-Full Data'!#REF!,",",'Inverter-Full Data'!#REF!,",",'Inverter-Full Data'!#REF!,",",'Inverter-Full Data'!#REF!,"'")</f>
        <v>#REF!</v>
      </c>
    </row>
    <row r="1218" spans="1:1">
      <c r="A1218" s="2" t="e">
        <f>CONCATENATE("'",'Inverter-Full Data'!#REF!,"     ",'Inverter-Full Data'!#REF!,",",'Inverter-Full Data'!#REF!,",",'Inverter-Full Data'!#REF!,",",'Inverter-Full Data'!#REF!,"'")</f>
        <v>#REF!</v>
      </c>
    </row>
    <row r="1219" spans="1:1">
      <c r="A1219" s="2" t="e">
        <f>CONCATENATE("'",'Inverter-Full Data'!#REF!,"     ",'Inverter-Full Data'!#REF!,",",'Inverter-Full Data'!#REF!,",",'Inverter-Full Data'!#REF!,",",'Inverter-Full Data'!#REF!,"'")</f>
        <v>#REF!</v>
      </c>
    </row>
    <row r="1220" spans="1:1">
      <c r="A1220" s="2" t="e">
        <f>CONCATENATE("'",'Inverter-Full Data'!#REF!,"     ",'Inverter-Full Data'!#REF!,",",'Inverter-Full Data'!#REF!,",",'Inverter-Full Data'!#REF!,",",'Inverter-Full Data'!#REF!,"'")</f>
        <v>#REF!</v>
      </c>
    </row>
    <row r="1221" spans="1:1">
      <c r="A1221" s="2" t="e">
        <f>CONCATENATE("'",'Inverter-Full Data'!#REF!,"     ",'Inverter-Full Data'!#REF!,",",'Inverter-Full Data'!#REF!,",",'Inverter-Full Data'!#REF!,",",'Inverter-Full Data'!#REF!,"'")</f>
        <v>#REF!</v>
      </c>
    </row>
    <row r="1222" spans="1:1">
      <c r="A1222" s="2" t="e">
        <f>CONCATENATE("'",'Inverter-Full Data'!#REF!,"     ",'Inverter-Full Data'!#REF!,",",'Inverter-Full Data'!#REF!,",",'Inverter-Full Data'!#REF!,",",'Inverter-Full Data'!#REF!,"'")</f>
        <v>#REF!</v>
      </c>
    </row>
    <row r="1223" spans="1:1">
      <c r="A1223" s="2" t="e">
        <f>CONCATENATE("'",'Inverter-Full Data'!#REF!,"     ",'Inverter-Full Data'!#REF!,",",'Inverter-Full Data'!#REF!,",",'Inverter-Full Data'!#REF!,",",'Inverter-Full Data'!#REF!,"'")</f>
        <v>#REF!</v>
      </c>
    </row>
    <row r="1224" spans="1:1">
      <c r="A1224" s="2" t="e">
        <f>CONCATENATE("'",'Inverter-Full Data'!#REF!,"     ",'Inverter-Full Data'!#REF!,",",'Inverter-Full Data'!#REF!,",",'Inverter-Full Data'!#REF!,",",'Inverter-Full Data'!#REF!,"'")</f>
        <v>#REF!</v>
      </c>
    </row>
    <row r="1225" spans="1:1">
      <c r="A1225" s="2" t="e">
        <f>CONCATENATE("'",'Inverter-Full Data'!#REF!,"     ",'Inverter-Full Data'!#REF!,",",'Inverter-Full Data'!#REF!,",",'Inverter-Full Data'!#REF!,",",'Inverter-Full Data'!#REF!,"'")</f>
        <v>#REF!</v>
      </c>
    </row>
    <row r="1226" spans="1:1">
      <c r="A1226" s="2" t="e">
        <f>CONCATENATE("'",'Inverter-Full Data'!#REF!,"     ",'Inverter-Full Data'!#REF!,",",'Inverter-Full Data'!#REF!,",",'Inverter-Full Data'!#REF!,",",'Inverter-Full Data'!#REF!,"'")</f>
        <v>#REF!</v>
      </c>
    </row>
    <row r="1227" spans="1:1">
      <c r="A1227" s="2" t="e">
        <f>CONCATENATE("'",'Inverter-Full Data'!#REF!,"     ",'Inverter-Full Data'!#REF!,",",'Inverter-Full Data'!#REF!,",",'Inverter-Full Data'!#REF!,",",'Inverter-Full Data'!#REF!,"'")</f>
        <v>#REF!</v>
      </c>
    </row>
    <row r="1228" spans="1:1">
      <c r="A1228" s="2" t="e">
        <f>CONCATENATE("'",'Inverter-Full Data'!#REF!,"     ",'Inverter-Full Data'!#REF!,",",'Inverter-Full Data'!#REF!,",",'Inverter-Full Data'!#REF!,",",'Inverter-Full Data'!#REF!,"'")</f>
        <v>#REF!</v>
      </c>
    </row>
    <row r="1229" spans="1:1">
      <c r="A1229" s="2" t="e">
        <f>CONCATENATE("'",'Inverter-Full Data'!#REF!,"     ",'Inverter-Full Data'!#REF!,",",'Inverter-Full Data'!#REF!,",",'Inverter-Full Data'!#REF!,",",'Inverter-Full Data'!#REF!,"'")</f>
        <v>#REF!</v>
      </c>
    </row>
    <row r="1230" spans="1:1">
      <c r="A1230" s="2" t="e">
        <f>CONCATENATE("'",'Inverter-Full Data'!#REF!,"     ",'Inverter-Full Data'!#REF!,",",'Inverter-Full Data'!#REF!,",",'Inverter-Full Data'!#REF!,",",'Inverter-Full Data'!#REF!,"'")</f>
        <v>#REF!</v>
      </c>
    </row>
    <row r="1231" spans="1:1">
      <c r="A1231" s="2" t="e">
        <f>CONCATENATE("'",'Inverter-Full Data'!#REF!,"     ",'Inverter-Full Data'!#REF!,",",'Inverter-Full Data'!#REF!,",",'Inverter-Full Data'!#REF!,",",'Inverter-Full Data'!#REF!,"'")</f>
        <v>#REF!</v>
      </c>
    </row>
    <row r="1232" spans="1:1">
      <c r="A1232" s="2" t="str">
        <f>CONCATENATE("'",'Inverter-Full Data'!A216,"     ",'Inverter-Full Data'!B216,",",'Inverter-Full Data'!S216,",",'Inverter-Full Data'!J216,",",'Inverter-Full Data'!T216,"'")</f>
        <v>'Enphase Energy Inc.     IQ6-60-x-US [208V],N,97,Y'</v>
      </c>
    </row>
    <row r="1233" spans="1:1">
      <c r="A1233" s="2" t="str">
        <f>CONCATENATE("'",'Inverter-Full Data'!A217,"     ",'Inverter-Full Data'!B217,",",'Inverter-Full Data'!S217,",",'Inverter-Full Data'!J217,",",'Inverter-Full Data'!T217,"'")</f>
        <v>'Enphase Energy Inc.     IQ6-60-x-US [240V],N,97,Y'</v>
      </c>
    </row>
    <row r="1234" spans="1:1">
      <c r="A1234" s="2" t="str">
        <f>CONCATENATE("'",'Inverter-Full Data'!A218,"     ",'Inverter-Full Data'!B218,",",'Inverter-Full Data'!S218,",",'Inverter-Full Data'!J218,",",'Inverter-Full Data'!T218,"'")</f>
        <v>'Enphase Energy Inc.     IQ6PLUS-72-ACM-US [208V],N,97,Y'</v>
      </c>
    </row>
    <row r="1235" spans="1:1">
      <c r="A1235" s="2" t="e">
        <f>CONCATENATE("'",'Inverter-Full Data'!#REF!,"     ",'Inverter-Full Data'!#REF!,",",'Inverter-Full Data'!#REF!,",",'Inverter-Full Data'!#REF!,",",'Inverter-Full Data'!#REF!,"'")</f>
        <v>#REF!</v>
      </c>
    </row>
    <row r="1236" spans="1:1">
      <c r="A1236" s="2" t="str">
        <f>CONCATENATE("'",'Inverter-Full Data'!A219,"     ",'Inverter-Full Data'!B219,",",'Inverter-Full Data'!S219,",",'Inverter-Full Data'!J219,",",'Inverter-Full Data'!T219,"'")</f>
        <v>'Enphase Energy Inc.     IQ6PLUS-72-ACM-US [240V],N,97,Y'</v>
      </c>
    </row>
    <row r="1237" spans="1:1">
      <c r="A1237" s="2" t="e">
        <f>CONCATENATE("'",'Inverter-Full Data'!#REF!,"     ",'Inverter-Full Data'!#REF!,",",'Inverter-Full Data'!#REF!,",",'Inverter-Full Data'!#REF!,",",'Inverter-Full Data'!#REF!,"'")</f>
        <v>#REF!</v>
      </c>
    </row>
    <row r="1238" spans="1:1">
      <c r="A1238" s="2" t="str">
        <f>CONCATENATE("'",'Inverter-Full Data'!A220,"     ",'Inverter-Full Data'!B220,",",'Inverter-Full Data'!S220,",",'Inverter-Full Data'!J220,",",'Inverter-Full Data'!T220,"'")</f>
        <v>'Enphase Energy Inc.     IQ6PLUS-72-x-US [208V],N,97,Y'</v>
      </c>
    </row>
    <row r="1239" spans="1:1">
      <c r="A1239" s="2" t="e">
        <f>CONCATENATE("'",'Inverter-Full Data'!#REF!,"     ",'Inverter-Full Data'!#REF!,",",'Inverter-Full Data'!#REF!,",",'Inverter-Full Data'!#REF!,",",'Inverter-Full Data'!#REF!,"'")</f>
        <v>#REF!</v>
      </c>
    </row>
    <row r="1240" spans="1:1">
      <c r="A1240" s="2" t="str">
        <f>CONCATENATE("'",'Inverter-Full Data'!A221,"     ",'Inverter-Full Data'!B221,",",'Inverter-Full Data'!S221,",",'Inverter-Full Data'!J221,",",'Inverter-Full Data'!T221,"'")</f>
        <v>'Enphase Energy Inc.     IQ6PLUS-72-x-US [240V],N,97,Y'</v>
      </c>
    </row>
    <row r="1241" spans="1:1">
      <c r="A1241" s="2" t="str">
        <f>CONCATENATE("'",'Inverter-Full Data'!A222,"     ",'Inverter-Full Data'!B222,",",'Inverter-Full Data'!S222,",",'Inverter-Full Data'!J222,",",'Inverter-Full Data'!T222,"'")</f>
        <v>'Enphase Energy Inc.     IQ6PLUS-ACB-LL [240V],N,95.5,Y'</v>
      </c>
    </row>
    <row r="1242" spans="1:1">
      <c r="A1242" s="2" t="str">
        <f>CONCATENATE("'",'Inverter-Full Data'!A223,"     ",'Inverter-Full Data'!B223,",",'Inverter-Full Data'!S223,",",'Inverter-Full Data'!J223,",",'Inverter-Full Data'!T223,"'")</f>
        <v>'Enphase Energy Inc.     IQ7-60-x-ACM-US [208V],N,97,Y'</v>
      </c>
    </row>
    <row r="1243" spans="1:1">
      <c r="A1243" s="2" t="str">
        <f>CONCATENATE("'",'Inverter-Full Data'!A224,"     ",'Inverter-Full Data'!B224,",",'Inverter-Full Data'!S224,",",'Inverter-Full Data'!J224,",",'Inverter-Full Data'!T224,"'")</f>
        <v>'Enphase Energy Inc.     IQ7-60-x-ACM-US [240V],N,97,Y'</v>
      </c>
    </row>
    <row r="1244" spans="1:1">
      <c r="A1244" s="2" t="str">
        <f>CONCATENATE("'",'Inverter-Full Data'!A225,"     ",'Inverter-Full Data'!B225,",",'Inverter-Full Data'!S225,",",'Inverter-Full Data'!J225,",",'Inverter-Full Data'!T225,"'")</f>
        <v>'Enphase Energy Inc.     IQ7-60-x-US [208V],N,97,Y'</v>
      </c>
    </row>
    <row r="1245" spans="1:1">
      <c r="A1245" s="2" t="str">
        <f>CONCATENATE("'",'Inverter-Full Data'!A226,"     ",'Inverter-Full Data'!B226,",",'Inverter-Full Data'!S226,",",'Inverter-Full Data'!J226,",",'Inverter-Full Data'!T226,"'")</f>
        <v>'Enphase Energy Inc.     IQ7-60-x-US [240V],N,97,Y'</v>
      </c>
    </row>
    <row r="1246" spans="1:1">
      <c r="A1246" s="2" t="str">
        <f>CONCATENATE("'",'Inverter-Full Data'!A227,"     ",'Inverter-Full Data'!B227,",",'Inverter-Full Data'!S227,",",'Inverter-Full Data'!J227,",",'Inverter-Full Data'!T227,"'")</f>
        <v>'Enphase Energy Inc.     IQ7A-66-x-US+ [208V],N,96.5,Y'</v>
      </c>
    </row>
    <row r="1247" spans="1:1">
      <c r="A1247" s="2" t="str">
        <f>CONCATENATE("'",'Inverter-Full Data'!A228,"     ",'Inverter-Full Data'!B228,",",'Inverter-Full Data'!S228,",",'Inverter-Full Data'!J228,",",'Inverter-Full Data'!T228,"'")</f>
        <v>'Enphase Energy Inc.     IQ7A-66-x-US+ [240V],N,97,Y'</v>
      </c>
    </row>
    <row r="1248" spans="1:1">
      <c r="A1248" s="2" t="str">
        <f>CONCATENATE("'",'Inverter-Full Data'!A229,"     ",'Inverter-Full Data'!B229,",",'Inverter-Full Data'!S229,",",'Inverter-Full Data'!J229,",",'Inverter-Full Data'!T229,"'")</f>
        <v>'Enphase Energy Inc.     IQ7AS-66-ACM-US-x [208V],N,96.5,Y'</v>
      </c>
    </row>
    <row r="1249" spans="1:1">
      <c r="A1249" s="2" t="str">
        <f>CONCATENATE("'",'Inverter-Full Data'!A230,"     ",'Inverter-Full Data'!B230,",",'Inverter-Full Data'!S230,",",'Inverter-Full Data'!J230,",",'Inverter-Full Data'!T230,"'")</f>
        <v>'Enphase Energy Inc.     IQ7AS-66-ACM-US-x [240V],N,97,Y'</v>
      </c>
    </row>
    <row r="1250" spans="1:1">
      <c r="A1250" s="2" t="str">
        <f>CONCATENATE("'",'Inverter-Full Data'!A231,"     ",'Inverter-Full Data'!B231,",",'Inverter-Full Data'!S231,",",'Inverter-Full Data'!J231,",",'Inverter-Full Data'!T231,"'")</f>
        <v>'Enphase Energy Inc.     IQ7PLUS-72-x-ACM-US [208V],N,96.5,Y'</v>
      </c>
    </row>
    <row r="1251" spans="1:1">
      <c r="A1251" s="2" t="str">
        <f>CONCATENATE("'",'Inverter-Full Data'!A232,"     ",'Inverter-Full Data'!B232,",",'Inverter-Full Data'!S232,",",'Inverter-Full Data'!J232,",",'Inverter-Full Data'!T232,"'")</f>
        <v>'Enphase Energy Inc.     IQ7PLUS-72-x-ACM-US [240V],N,97,Y'</v>
      </c>
    </row>
    <row r="1252" spans="1:1">
      <c r="A1252" s="2" t="str">
        <f>CONCATENATE("'",'Inverter-Full Data'!A233,"     ",'Inverter-Full Data'!B233,",",'Inverter-Full Data'!S233,",",'Inverter-Full Data'!J233,",",'Inverter-Full Data'!T233,"'")</f>
        <v>'Enphase Energy Inc.     IQ7PLUS-72-x-US [208V],N,96.5,Y'</v>
      </c>
    </row>
    <row r="1253" spans="1:1">
      <c r="A1253" s="2" t="str">
        <f>CONCATENATE("'",'Inverter-Full Data'!A234,"     ",'Inverter-Full Data'!B234,",",'Inverter-Full Data'!S234,",",'Inverter-Full Data'!J234,",",'Inverter-Full Data'!T234,"'")</f>
        <v>'Enphase Energy Inc.     IQ7PLUS-72-x-US [240V],N,97,Y'</v>
      </c>
    </row>
    <row r="1254" spans="1:1">
      <c r="A1254" s="2" t="str">
        <f>CONCATENATE("'",'Inverter-Full Data'!A235,"     ",'Inverter-Full Data'!B235,",",'Inverter-Full Data'!S235,",",'Inverter-Full Data'!J235,",",'Inverter-Full Data'!T235,"'")</f>
        <v>'Enphase Energy Inc.     IQ7X-96-x-ACM-US [208V],N,97,Y'</v>
      </c>
    </row>
    <row r="1255" spans="1:1">
      <c r="A1255" s="2" t="str">
        <f>CONCATENATE("'",'Inverter-Full Data'!A236,"     ",'Inverter-Full Data'!B236,",",'Inverter-Full Data'!S236,",",'Inverter-Full Data'!J236,",",'Inverter-Full Data'!T236,"'")</f>
        <v>'Enphase Energy Inc.     IQ7X-96-x-ACM-US [240V],N,97.5,Y'</v>
      </c>
    </row>
    <row r="1256" spans="1:1">
      <c r="A1256" s="2" t="str">
        <f>CONCATENATE("'",'Inverter-Full Data'!A237,"     ",'Inverter-Full Data'!B237,",",'Inverter-Full Data'!S237,",",'Inverter-Full Data'!J237,",",'Inverter-Full Data'!T237,"'")</f>
        <v>'Enphase Energy Inc.     IQ7X-96-x-US [208V],N,97,Y'</v>
      </c>
    </row>
    <row r="1257" spans="1:1">
      <c r="A1257" s="2" t="str">
        <f>CONCATENATE("'",'Inverter-Full Data'!A238,"     ",'Inverter-Full Data'!B238,",",'Inverter-Full Data'!S238,",",'Inverter-Full Data'!J238,",",'Inverter-Full Data'!T238,"'")</f>
        <v>'Enphase Energy Inc.     IQ7X-96-x-US [240V],N,97.5,Y'</v>
      </c>
    </row>
    <row r="1258" spans="1:1">
      <c r="A1258" s="2" t="str">
        <f>CONCATENATE("'",'Inverter-Full Data'!A239,"     ",'Inverter-Full Data'!B239,",",'Inverter-Full Data'!S239,",",'Inverter-Full Data'!J239,",",'Inverter-Full Data'!T239,"'")</f>
        <v>'Enphase Energy Inc.     IQ7XS-96-y-ACM-z [208V],N,97,Y'</v>
      </c>
    </row>
    <row r="1259" spans="1:1">
      <c r="A1259" s="2" t="str">
        <f>CONCATENATE("'",'Inverter-Full Data'!A240,"     ",'Inverter-Full Data'!B240,",",'Inverter-Full Data'!S240,",",'Inverter-Full Data'!J240,",",'Inverter-Full Data'!T240,"'")</f>
        <v>'Enphase Energy Inc.     IQ7XS-96-y-ACM-z [240V],N,97.5,Y'</v>
      </c>
    </row>
    <row r="1260" spans="1:1">
      <c r="A1260" s="2" t="str">
        <f>CONCATENATE("'",'Inverter-Full Data'!A241,"     ",'Inverter-Full Data'!B241,",",'Inverter-Full Data'!S241,",",'Inverter-Full Data'!J241,",",'Inverter-Full Data'!T241,"'")</f>
        <v>'Enphase Energy Inc.     S230-60-LL-x [208V],N,97,Y'</v>
      </c>
    </row>
    <row r="1261" spans="1:1">
      <c r="A1261" s="2" t="str">
        <f>CONCATENATE("'",'Inverter-Full Data'!A242,"     ",'Inverter-Full Data'!B242,",",'Inverter-Full Data'!S242,",",'Inverter-Full Data'!J242,",",'Inverter-Full Data'!T242,"'")</f>
        <v>'Enphase Energy Inc.     S230-60-LL-x [240V],N,97,Y'</v>
      </c>
    </row>
    <row r="1262" spans="1:1">
      <c r="A1262" s="2" t="str">
        <f>CONCATENATE("'",'Inverter-Full Data'!A243,"     ",'Inverter-Full Data'!B243,",",'Inverter-Full Data'!S243,",",'Inverter-Full Data'!J243,",",'Inverter-Full Data'!T243,"'")</f>
        <v>'Enphase Energy Inc.     S280-60-LL-x [208V],N,96.5,Y'</v>
      </c>
    </row>
    <row r="1263" spans="1:1">
      <c r="A1263" s="2" t="str">
        <f>CONCATENATE("'",'Inverter-Full Data'!A244,"     ",'Inverter-Full Data'!B244,",",'Inverter-Full Data'!S244,",",'Inverter-Full Data'!J244,",",'Inverter-Full Data'!T244,"'")</f>
        <v>'Enphase Energy Inc.     S280-60-LL-x [240V],N,97,Y'</v>
      </c>
    </row>
    <row r="1264" spans="1:1">
      <c r="A1264" s="2" t="str">
        <f>CONCATENATE("'",'Inverter-Full Data'!A245,"     ",'Inverter-Full Data'!B245,",",'Inverter-Full Data'!S245,",",'Inverter-Full Data'!J245,",",'Inverter-Full Data'!T245,"'")</f>
        <v>'EPC Power Corp.     50-100122 [480V],N,97,N'</v>
      </c>
    </row>
    <row r="1265" spans="1:1">
      <c r="A1265" s="2" t="e">
        <f>CONCATENATE("'",'Inverter-Full Data'!#REF!,"     ",'Inverter-Full Data'!#REF!,",",'Inverter-Full Data'!#REF!,",",'Inverter-Full Data'!#REF!,",",'Inverter-Full Data'!#REF!,"'")</f>
        <v>#REF!</v>
      </c>
    </row>
    <row r="1266" spans="1:1">
      <c r="A1266" s="2" t="e">
        <f>CONCATENATE("'",'Inverter-Full Data'!#REF!,"     ",'Inverter-Full Data'!#REF!,",",'Inverter-Full Data'!#REF!,",",'Inverter-Full Data'!#REF!,",",'Inverter-Full Data'!#REF!,"'")</f>
        <v>#REF!</v>
      </c>
    </row>
    <row r="1267" spans="1:1">
      <c r="A1267" s="2" t="e">
        <f>CONCATENATE("'",'Inverter-Full Data'!#REF!,"     ",'Inverter-Full Data'!#REF!,",",'Inverter-Full Data'!#REF!,",",'Inverter-Full Data'!#REF!,",",'Inverter-Full Data'!#REF!,"'")</f>
        <v>#REF!</v>
      </c>
    </row>
    <row r="1268" spans="1:1">
      <c r="A1268" s="2" t="e">
        <f>CONCATENATE("'",'Inverter-Full Data'!#REF!,"     ",'Inverter-Full Data'!#REF!,",",'Inverter-Full Data'!#REF!,",",'Inverter-Full Data'!#REF!,",",'Inverter-Full Data'!#REF!,"'")</f>
        <v>#REF!</v>
      </c>
    </row>
    <row r="1269" spans="1:1">
      <c r="A1269" s="2" t="e">
        <f>CONCATENATE("'",'Inverter-Full Data'!#REF!,"     ",'Inverter-Full Data'!#REF!,",",'Inverter-Full Data'!#REF!,",",'Inverter-Full Data'!#REF!,",",'Inverter-Full Data'!#REF!,"'")</f>
        <v>#REF!</v>
      </c>
    </row>
    <row r="1270" spans="1:1">
      <c r="A1270" s="2" t="e">
        <f>CONCATENATE("'",'Inverter-Full Data'!#REF!,"     ",'Inverter-Full Data'!#REF!,",",'Inverter-Full Data'!#REF!,",",'Inverter-Full Data'!#REF!,",",'Inverter-Full Data'!#REF!,"'")</f>
        <v>#REF!</v>
      </c>
    </row>
    <row r="1271" spans="1:1">
      <c r="A1271" s="2" t="e">
        <f>CONCATENATE("'",'Inverter-Full Data'!#REF!,"     ",'Inverter-Full Data'!#REF!,",",'Inverter-Full Data'!#REF!,",",'Inverter-Full Data'!#REF!,",",'Inverter-Full Data'!#REF!,"'")</f>
        <v>#REF!</v>
      </c>
    </row>
    <row r="1272" spans="1:1">
      <c r="A1272" s="2" t="e">
        <f>CONCATENATE("'",'Inverter-Full Data'!#REF!,"     ",'Inverter-Full Data'!#REF!,",",'Inverter-Full Data'!#REF!,",",'Inverter-Full Data'!#REF!,",",'Inverter-Full Data'!#REF!,"'")</f>
        <v>#REF!</v>
      </c>
    </row>
    <row r="1273" spans="1:1">
      <c r="A1273" s="2" t="e">
        <f>CONCATENATE("'",'Inverter-Full Data'!#REF!,"     ",'Inverter-Full Data'!#REF!,",",'Inverter-Full Data'!#REF!,",",'Inverter-Full Data'!#REF!,",",'Inverter-Full Data'!#REF!,"'")</f>
        <v>#REF!</v>
      </c>
    </row>
    <row r="1274" spans="1:1">
      <c r="A1274" s="2" t="e">
        <f>CONCATENATE("'",'Inverter-Full Data'!#REF!,"     ",'Inverter-Full Data'!#REF!,",",'Inverter-Full Data'!#REF!,",",'Inverter-Full Data'!#REF!,",",'Inverter-Full Data'!#REF!,"'")</f>
        <v>#REF!</v>
      </c>
    </row>
    <row r="1275" spans="1:1">
      <c r="A1275" s="2" t="e">
        <f>CONCATENATE("'",'Inverter-Full Data'!#REF!,"     ",'Inverter-Full Data'!#REF!,",",'Inverter-Full Data'!#REF!,",",'Inverter-Full Data'!#REF!,",",'Inverter-Full Data'!#REF!,"'")</f>
        <v>#REF!</v>
      </c>
    </row>
    <row r="1276" spans="1:1">
      <c r="A1276" s="2" t="e">
        <f>CONCATENATE("'",'Inverter-Full Data'!#REF!,"     ",'Inverter-Full Data'!#REF!,",",'Inverter-Full Data'!#REF!,",",'Inverter-Full Data'!#REF!,",",'Inverter-Full Data'!#REF!,"'")</f>
        <v>#REF!</v>
      </c>
    </row>
    <row r="1277" spans="1:1">
      <c r="A1277" s="2" t="e">
        <f>CONCATENATE("'",'Inverter-Full Data'!#REF!,"     ",'Inverter-Full Data'!#REF!,",",'Inverter-Full Data'!#REF!,",",'Inverter-Full Data'!#REF!,",",'Inverter-Full Data'!#REF!,"'")</f>
        <v>#REF!</v>
      </c>
    </row>
    <row r="1278" spans="1:1">
      <c r="A1278" s="2" t="e">
        <f>CONCATENATE("'",'Inverter-Full Data'!#REF!,"     ",'Inverter-Full Data'!#REF!,",",'Inverter-Full Data'!#REF!,",",'Inverter-Full Data'!#REF!,",",'Inverter-Full Data'!#REF!,"'")</f>
        <v>#REF!</v>
      </c>
    </row>
    <row r="1279" spans="1:1">
      <c r="A1279" s="2" t="e">
        <f>CONCATENATE("'",'Inverter-Full Data'!#REF!,"     ",'Inverter-Full Data'!#REF!,",",'Inverter-Full Data'!#REF!,",",'Inverter-Full Data'!#REF!,",",'Inverter-Full Data'!#REF!,"'")</f>
        <v>#REF!</v>
      </c>
    </row>
    <row r="1280" spans="1:1">
      <c r="A1280" s="2" t="e">
        <f>CONCATENATE("'",'Inverter-Full Data'!#REF!,"     ",'Inverter-Full Data'!#REF!,",",'Inverter-Full Data'!#REF!,",",'Inverter-Full Data'!#REF!,",",'Inverter-Full Data'!#REF!,"'")</f>
        <v>#REF!</v>
      </c>
    </row>
    <row r="1281" spans="1:1">
      <c r="A1281" s="2" t="e">
        <f>CONCATENATE("'",'Inverter-Full Data'!#REF!,"     ",'Inverter-Full Data'!#REF!,",",'Inverter-Full Data'!#REF!,",",'Inverter-Full Data'!#REF!,",",'Inverter-Full Data'!#REF!,"'")</f>
        <v>#REF!</v>
      </c>
    </row>
    <row r="1282" spans="1:1">
      <c r="A1282" s="2" t="e">
        <f>CONCATENATE("'",'Inverter-Full Data'!#REF!,"     ",'Inverter-Full Data'!#REF!,",",'Inverter-Full Data'!#REF!,",",'Inverter-Full Data'!#REF!,",",'Inverter-Full Data'!#REF!,"'")</f>
        <v>#REF!</v>
      </c>
    </row>
    <row r="1283" spans="1:1">
      <c r="A1283" s="2" t="e">
        <f>CONCATENATE("'",'Inverter-Full Data'!#REF!,"     ",'Inverter-Full Data'!#REF!,",",'Inverter-Full Data'!#REF!,",",'Inverter-Full Data'!#REF!,",",'Inverter-Full Data'!#REF!,"'")</f>
        <v>#REF!</v>
      </c>
    </row>
    <row r="1284" spans="1:1">
      <c r="A1284" s="2" t="e">
        <f>CONCATENATE("'",'Inverter-Full Data'!#REF!,"     ",'Inverter-Full Data'!#REF!,",",'Inverter-Full Data'!#REF!,",",'Inverter-Full Data'!#REF!,",",'Inverter-Full Data'!#REF!,"'")</f>
        <v>#REF!</v>
      </c>
    </row>
    <row r="1285" spans="1:1">
      <c r="A1285" s="2" t="e">
        <f>CONCATENATE("'",'Inverter-Full Data'!#REF!,"     ",'Inverter-Full Data'!#REF!,",",'Inverter-Full Data'!#REF!,",",'Inverter-Full Data'!#REF!,",",'Inverter-Full Data'!#REF!,"'")</f>
        <v>#REF!</v>
      </c>
    </row>
    <row r="1286" spans="1:1">
      <c r="A1286" s="2" t="e">
        <f>CONCATENATE("'",'Inverter-Full Data'!#REF!,"     ",'Inverter-Full Data'!#REF!,",",'Inverter-Full Data'!#REF!,",",'Inverter-Full Data'!#REF!,",",'Inverter-Full Data'!#REF!,"'")</f>
        <v>#REF!</v>
      </c>
    </row>
    <row r="1287" spans="1:1">
      <c r="A1287" s="2" t="e">
        <f>CONCATENATE("'",'Inverter-Full Data'!#REF!,"     ",'Inverter-Full Data'!#REF!,",",'Inverter-Full Data'!#REF!,",",'Inverter-Full Data'!#REF!,",",'Inverter-Full Data'!#REF!,"'")</f>
        <v>#REF!</v>
      </c>
    </row>
    <row r="1288" spans="1:1">
      <c r="A1288" s="2" t="e">
        <f>CONCATENATE("'",'Inverter-Full Data'!#REF!,"     ",'Inverter-Full Data'!#REF!,",",'Inverter-Full Data'!#REF!,",",'Inverter-Full Data'!#REF!,",",'Inverter-Full Data'!#REF!,"'")</f>
        <v>#REF!</v>
      </c>
    </row>
    <row r="1289" spans="1:1">
      <c r="A1289" s="2" t="e">
        <f>CONCATENATE("'",'Inverter-Full Data'!#REF!,"     ",'Inverter-Full Data'!#REF!,",",'Inverter-Full Data'!#REF!,",",'Inverter-Full Data'!#REF!,",",'Inverter-Full Data'!#REF!,"'")</f>
        <v>#REF!</v>
      </c>
    </row>
    <row r="1290" spans="1:1">
      <c r="A1290" s="2" t="e">
        <f>CONCATENATE("'",'Inverter-Full Data'!#REF!,"     ",'Inverter-Full Data'!#REF!,",",'Inverter-Full Data'!#REF!,",",'Inverter-Full Data'!#REF!,",",'Inverter-Full Data'!#REF!,"'")</f>
        <v>#REF!</v>
      </c>
    </row>
    <row r="1291" spans="1:1">
      <c r="A1291" s="2" t="e">
        <f>CONCATENATE("'",'Inverter-Full Data'!#REF!,"     ",'Inverter-Full Data'!#REF!,",",'Inverter-Full Data'!#REF!,",",'Inverter-Full Data'!#REF!,",",'Inverter-Full Data'!#REF!,"'")</f>
        <v>#REF!</v>
      </c>
    </row>
    <row r="1292" spans="1:1">
      <c r="A1292" s="2" t="e">
        <f>CONCATENATE("'",'Inverter-Full Data'!#REF!,"     ",'Inverter-Full Data'!#REF!,",",'Inverter-Full Data'!#REF!,",",'Inverter-Full Data'!#REF!,",",'Inverter-Full Data'!#REF!,"'")</f>
        <v>#REF!</v>
      </c>
    </row>
    <row r="1293" spans="1:1">
      <c r="A1293" s="2" t="e">
        <f>CONCATENATE("'",'Inverter-Full Data'!#REF!,"     ",'Inverter-Full Data'!#REF!,",",'Inverter-Full Data'!#REF!,",",'Inverter-Full Data'!#REF!,",",'Inverter-Full Data'!#REF!,"'")</f>
        <v>#REF!</v>
      </c>
    </row>
    <row r="1294" spans="1:1">
      <c r="A1294" s="2" t="e">
        <f>CONCATENATE("'",'Inverter-Full Data'!#REF!,"     ",'Inverter-Full Data'!#REF!,",",'Inverter-Full Data'!#REF!,",",'Inverter-Full Data'!#REF!,",",'Inverter-Full Data'!#REF!,"'")</f>
        <v>#REF!</v>
      </c>
    </row>
    <row r="1295" spans="1:1">
      <c r="A1295" s="2" t="e">
        <f>CONCATENATE("'",'Inverter-Full Data'!#REF!,"     ",'Inverter-Full Data'!#REF!,",",'Inverter-Full Data'!#REF!,",",'Inverter-Full Data'!#REF!,",",'Inverter-Full Data'!#REF!,"'")</f>
        <v>#REF!</v>
      </c>
    </row>
    <row r="1296" spans="1:1">
      <c r="A1296" s="2" t="e">
        <f>CONCATENATE("'",'Inverter-Full Data'!#REF!,"     ",'Inverter-Full Data'!#REF!,",",'Inverter-Full Data'!#REF!,",",'Inverter-Full Data'!#REF!,",",'Inverter-Full Data'!#REF!,"'")</f>
        <v>#REF!</v>
      </c>
    </row>
    <row r="1297" spans="1:1">
      <c r="A1297" s="2" t="e">
        <f>CONCATENATE("'",'Inverter-Full Data'!#REF!,"     ",'Inverter-Full Data'!#REF!,",",'Inverter-Full Data'!#REF!,",",'Inverter-Full Data'!#REF!,",",'Inverter-Full Data'!#REF!,"'")</f>
        <v>#REF!</v>
      </c>
    </row>
    <row r="1298" spans="1:1">
      <c r="A1298" s="2" t="e">
        <f>CONCATENATE("'",'Inverter-Full Data'!#REF!,"     ",'Inverter-Full Data'!#REF!,",",'Inverter-Full Data'!#REF!,",",'Inverter-Full Data'!#REF!,",",'Inverter-Full Data'!#REF!,"'")</f>
        <v>#REF!</v>
      </c>
    </row>
    <row r="1299" spans="1:1">
      <c r="A1299" s="2" t="e">
        <f>CONCATENATE("'",'Inverter-Full Data'!#REF!,"     ",'Inverter-Full Data'!#REF!,",",'Inverter-Full Data'!#REF!,",",'Inverter-Full Data'!#REF!,",",'Inverter-Full Data'!#REF!,"'")</f>
        <v>#REF!</v>
      </c>
    </row>
    <row r="1300" spans="1:1">
      <c r="A1300" s="2" t="e">
        <f>CONCATENATE("'",'Inverter-Full Data'!#REF!,"     ",'Inverter-Full Data'!#REF!,",",'Inverter-Full Data'!#REF!,",",'Inverter-Full Data'!#REF!,",",'Inverter-Full Data'!#REF!,"'")</f>
        <v>#REF!</v>
      </c>
    </row>
    <row r="1301" spans="1:1">
      <c r="A1301" s="2" t="e">
        <f>CONCATENATE("'",'Inverter-Full Data'!#REF!,"     ",'Inverter-Full Data'!#REF!,",",'Inverter-Full Data'!#REF!,",",'Inverter-Full Data'!#REF!,",",'Inverter-Full Data'!#REF!,"'")</f>
        <v>#REF!</v>
      </c>
    </row>
    <row r="1302" spans="1:1">
      <c r="A1302" s="2" t="e">
        <f>CONCATENATE("'",'Inverter-Full Data'!#REF!,"     ",'Inverter-Full Data'!#REF!,",",'Inverter-Full Data'!#REF!,",",'Inverter-Full Data'!#REF!,",",'Inverter-Full Data'!#REF!,"'")</f>
        <v>#REF!</v>
      </c>
    </row>
    <row r="1303" spans="1:1">
      <c r="A1303" s="2" t="e">
        <f>CONCATENATE("'",'Inverter-Full Data'!#REF!,"     ",'Inverter-Full Data'!#REF!,",",'Inverter-Full Data'!#REF!,",",'Inverter-Full Data'!#REF!,",",'Inverter-Full Data'!#REF!,"'")</f>
        <v>#REF!</v>
      </c>
    </row>
    <row r="1304" spans="1:1">
      <c r="A1304" s="2" t="e">
        <f>CONCATENATE("'",'Inverter-Full Data'!#REF!,"     ",'Inverter-Full Data'!#REF!,",",'Inverter-Full Data'!#REF!,",",'Inverter-Full Data'!#REF!,",",'Inverter-Full Data'!#REF!,"'")</f>
        <v>#REF!</v>
      </c>
    </row>
    <row r="1305" spans="1:1">
      <c r="A1305" s="2" t="e">
        <f>CONCATENATE("'",'Inverter-Full Data'!#REF!,"     ",'Inverter-Full Data'!#REF!,",",'Inverter-Full Data'!#REF!,",",'Inverter-Full Data'!#REF!,",",'Inverter-Full Data'!#REF!,"'")</f>
        <v>#REF!</v>
      </c>
    </row>
    <row r="1306" spans="1:1">
      <c r="A1306" s="2" t="e">
        <f>CONCATENATE("'",'Inverter-Full Data'!#REF!,"     ",'Inverter-Full Data'!#REF!,",",'Inverter-Full Data'!#REF!,",",'Inverter-Full Data'!#REF!,",",'Inverter-Full Data'!#REF!,"'")</f>
        <v>#REF!</v>
      </c>
    </row>
    <row r="1307" spans="1:1">
      <c r="A1307" s="2" t="e">
        <f>CONCATENATE("'",'Inverter-Full Data'!#REF!,"     ",'Inverter-Full Data'!#REF!,",",'Inverter-Full Data'!#REF!,",",'Inverter-Full Data'!#REF!,",",'Inverter-Full Data'!#REF!,"'")</f>
        <v>#REF!</v>
      </c>
    </row>
    <row r="1308" spans="1:1">
      <c r="A1308" s="2" t="e">
        <f>CONCATENATE("'",'Inverter-Full Data'!#REF!,"     ",'Inverter-Full Data'!#REF!,",",'Inverter-Full Data'!#REF!,",",'Inverter-Full Data'!#REF!,",",'Inverter-Full Data'!#REF!,"'")</f>
        <v>#REF!</v>
      </c>
    </row>
    <row r="1309" spans="1:1">
      <c r="A1309" s="2" t="e">
        <f>CONCATENATE("'",'Inverter-Full Data'!#REF!,"     ",'Inverter-Full Data'!#REF!,",",'Inverter-Full Data'!#REF!,",",'Inverter-Full Data'!#REF!,",",'Inverter-Full Data'!#REF!,"'")</f>
        <v>#REF!</v>
      </c>
    </row>
    <row r="1310" spans="1:1">
      <c r="A1310" s="2" t="e">
        <f>CONCATENATE("'",'Inverter-Full Data'!#REF!,"     ",'Inverter-Full Data'!#REF!,",",'Inverter-Full Data'!#REF!,",",'Inverter-Full Data'!#REF!,",",'Inverter-Full Data'!#REF!,"'")</f>
        <v>#REF!</v>
      </c>
    </row>
    <row r="1311" spans="1:1">
      <c r="A1311" s="2" t="e">
        <f>CONCATENATE("'",'Inverter-Full Data'!#REF!,"     ",'Inverter-Full Data'!#REF!,",",'Inverter-Full Data'!#REF!,",",'Inverter-Full Data'!#REF!,",",'Inverter-Full Data'!#REF!,"'")</f>
        <v>#REF!</v>
      </c>
    </row>
    <row r="1312" spans="1:1">
      <c r="A1312" s="2" t="e">
        <f>CONCATENATE("'",'Inverter-Full Data'!#REF!,"     ",'Inverter-Full Data'!#REF!,",",'Inverter-Full Data'!#REF!,",",'Inverter-Full Data'!#REF!,",",'Inverter-Full Data'!#REF!,"'")</f>
        <v>#REF!</v>
      </c>
    </row>
    <row r="1313" spans="1:1">
      <c r="A1313" s="2" t="e">
        <f>CONCATENATE("'",'Inverter-Full Data'!#REF!,"     ",'Inverter-Full Data'!#REF!,",",'Inverter-Full Data'!#REF!,",",'Inverter-Full Data'!#REF!,",",'Inverter-Full Data'!#REF!,"'")</f>
        <v>#REF!</v>
      </c>
    </row>
    <row r="1314" spans="1:1">
      <c r="A1314" s="2" t="e">
        <f>CONCATENATE("'",'Inverter-Full Data'!#REF!,"     ",'Inverter-Full Data'!#REF!,",",'Inverter-Full Data'!#REF!,",",'Inverter-Full Data'!#REF!,",",'Inverter-Full Data'!#REF!,"'")</f>
        <v>#REF!</v>
      </c>
    </row>
    <row r="1315" spans="1:1">
      <c r="A1315" s="2" t="e">
        <f>CONCATENATE("'",'Inverter-Full Data'!#REF!,"     ",'Inverter-Full Data'!#REF!,",",'Inverter-Full Data'!#REF!,",",'Inverter-Full Data'!#REF!,",",'Inverter-Full Data'!#REF!,"'")</f>
        <v>#REF!</v>
      </c>
    </row>
    <row r="1316" spans="1:1">
      <c r="A1316" s="2" t="e">
        <f>CONCATENATE("'",'Inverter-Full Data'!#REF!,"     ",'Inverter-Full Data'!#REF!,",",'Inverter-Full Data'!#REF!,",",'Inverter-Full Data'!#REF!,",",'Inverter-Full Data'!#REF!,"'")</f>
        <v>#REF!</v>
      </c>
    </row>
    <row r="1317" spans="1:1">
      <c r="A1317" s="2" t="e">
        <f>CONCATENATE("'",'Inverter-Full Data'!#REF!,"     ",'Inverter-Full Data'!#REF!,",",'Inverter-Full Data'!#REF!,",",'Inverter-Full Data'!#REF!,",",'Inverter-Full Data'!#REF!,"'")</f>
        <v>#REF!</v>
      </c>
    </row>
    <row r="1318" spans="1:1">
      <c r="A1318" s="2" t="e">
        <f>CONCATENATE("'",'Inverter-Full Data'!#REF!,"     ",'Inverter-Full Data'!#REF!,",",'Inverter-Full Data'!#REF!,",",'Inverter-Full Data'!#REF!,",",'Inverter-Full Data'!#REF!,"'")</f>
        <v>#REF!</v>
      </c>
    </row>
    <row r="1319" spans="1:1">
      <c r="A1319" s="2" t="e">
        <f>CONCATENATE("'",'Inverter-Full Data'!#REF!,"     ",'Inverter-Full Data'!#REF!,",",'Inverter-Full Data'!#REF!,",",'Inverter-Full Data'!#REF!,",",'Inverter-Full Data'!#REF!,"'")</f>
        <v>#REF!</v>
      </c>
    </row>
    <row r="1320" spans="1:1">
      <c r="A1320" s="2" t="e">
        <f>CONCATENATE("'",'Inverter-Full Data'!#REF!,"     ",'Inverter-Full Data'!#REF!,",",'Inverter-Full Data'!#REF!,",",'Inverter-Full Data'!#REF!,",",'Inverter-Full Data'!#REF!,"'")</f>
        <v>#REF!</v>
      </c>
    </row>
    <row r="1321" spans="1:1">
      <c r="A1321" s="2" t="e">
        <f>CONCATENATE("'",'Inverter-Full Data'!#REF!,"     ",'Inverter-Full Data'!#REF!,",",'Inverter-Full Data'!#REF!,",",'Inverter-Full Data'!#REF!,",",'Inverter-Full Data'!#REF!,"'")</f>
        <v>#REF!</v>
      </c>
    </row>
    <row r="1322" spans="1:1">
      <c r="A1322" s="2" t="e">
        <f>CONCATENATE("'",'Inverter-Full Data'!#REF!,"     ",'Inverter-Full Data'!#REF!,",",'Inverter-Full Data'!#REF!,",",'Inverter-Full Data'!#REF!,",",'Inverter-Full Data'!#REF!,"'")</f>
        <v>#REF!</v>
      </c>
    </row>
    <row r="1323" spans="1:1">
      <c r="A1323" s="2" t="e">
        <f>CONCATENATE("'",'Inverter-Full Data'!#REF!,"     ",'Inverter-Full Data'!#REF!,",",'Inverter-Full Data'!#REF!,",",'Inverter-Full Data'!#REF!,",",'Inverter-Full Data'!#REF!,"'")</f>
        <v>#REF!</v>
      </c>
    </row>
    <row r="1324" spans="1:1">
      <c r="A1324" s="2" t="e">
        <f>CONCATENATE("'",'Inverter-Full Data'!#REF!,"     ",'Inverter-Full Data'!#REF!,",",'Inverter-Full Data'!#REF!,",",'Inverter-Full Data'!#REF!,",",'Inverter-Full Data'!#REF!,"'")</f>
        <v>#REF!</v>
      </c>
    </row>
    <row r="1325" spans="1:1">
      <c r="A1325" s="2" t="e">
        <f>CONCATENATE("'",'Inverter-Full Data'!#REF!,"     ",'Inverter-Full Data'!#REF!,",",'Inverter-Full Data'!#REF!,",",'Inverter-Full Data'!#REF!,",",'Inverter-Full Data'!#REF!,"'")</f>
        <v>#REF!</v>
      </c>
    </row>
    <row r="1326" spans="1:1">
      <c r="A1326" s="2" t="e">
        <f>CONCATENATE("'",'Inverter-Full Data'!#REF!,"     ",'Inverter-Full Data'!#REF!,",",'Inverter-Full Data'!#REF!,",",'Inverter-Full Data'!#REF!,",",'Inverter-Full Data'!#REF!,"'")</f>
        <v>#REF!</v>
      </c>
    </row>
    <row r="1327" spans="1:1">
      <c r="A1327" s="2" t="e">
        <f>CONCATENATE("'",'Inverter-Full Data'!#REF!,"     ",'Inverter-Full Data'!#REF!,",",'Inverter-Full Data'!#REF!,",",'Inverter-Full Data'!#REF!,",",'Inverter-Full Data'!#REF!,"'")</f>
        <v>#REF!</v>
      </c>
    </row>
    <row r="1328" spans="1:1">
      <c r="A1328" s="2" t="e">
        <f>CONCATENATE("'",'Inverter-Full Data'!#REF!,"     ",'Inverter-Full Data'!#REF!,",",'Inverter-Full Data'!#REF!,",",'Inverter-Full Data'!#REF!,",",'Inverter-Full Data'!#REF!,"'")</f>
        <v>#REF!</v>
      </c>
    </row>
    <row r="1329" spans="1:1">
      <c r="A1329" s="2" t="e">
        <f>CONCATENATE("'",'Inverter-Full Data'!#REF!,"     ",'Inverter-Full Data'!#REF!,",",'Inverter-Full Data'!#REF!,",",'Inverter-Full Data'!#REF!,",",'Inverter-Full Data'!#REF!,"'")</f>
        <v>#REF!</v>
      </c>
    </row>
    <row r="1330" spans="1:1">
      <c r="A1330" s="2" t="e">
        <f>CONCATENATE("'",'Inverter-Full Data'!#REF!,"     ",'Inverter-Full Data'!#REF!,",",'Inverter-Full Data'!#REF!,",",'Inverter-Full Data'!#REF!,",",'Inverter-Full Data'!#REF!,"'")</f>
        <v>#REF!</v>
      </c>
    </row>
    <row r="1331" spans="1:1">
      <c r="A1331" s="2" t="e">
        <f>CONCATENATE("'",'Inverter-Full Data'!#REF!,"     ",'Inverter-Full Data'!#REF!,",",'Inverter-Full Data'!#REF!,",",'Inverter-Full Data'!#REF!,",",'Inverter-Full Data'!#REF!,"'")</f>
        <v>#REF!</v>
      </c>
    </row>
    <row r="1332" spans="1:1">
      <c r="A1332" s="2" t="e">
        <f>CONCATENATE("'",'Inverter-Full Data'!#REF!,"     ",'Inverter-Full Data'!#REF!,",",'Inverter-Full Data'!#REF!,",",'Inverter-Full Data'!#REF!,",",'Inverter-Full Data'!#REF!,"'")</f>
        <v>#REF!</v>
      </c>
    </row>
    <row r="1333" spans="1:1">
      <c r="A1333" s="2" t="e">
        <f>CONCATENATE("'",'Inverter-Full Data'!#REF!,"     ",'Inverter-Full Data'!#REF!,",",'Inverter-Full Data'!#REF!,",",'Inverter-Full Data'!#REF!,",",'Inverter-Full Data'!#REF!,"'")</f>
        <v>#REF!</v>
      </c>
    </row>
    <row r="1334" spans="1:1">
      <c r="A1334" s="2" t="e">
        <f>CONCATENATE("'",'Inverter-Full Data'!#REF!,"     ",'Inverter-Full Data'!#REF!,",",'Inverter-Full Data'!#REF!,",",'Inverter-Full Data'!#REF!,",",'Inverter-Full Data'!#REF!,"'")</f>
        <v>#REF!</v>
      </c>
    </row>
    <row r="1335" spans="1:1">
      <c r="A1335" s="2" t="e">
        <f>CONCATENATE("'",'Inverter-Full Data'!#REF!,"     ",'Inverter-Full Data'!#REF!,",",'Inverter-Full Data'!#REF!,",",'Inverter-Full Data'!#REF!,",",'Inverter-Full Data'!#REF!,"'")</f>
        <v>#REF!</v>
      </c>
    </row>
    <row r="1336" spans="1:1">
      <c r="A1336" s="2" t="e">
        <f>CONCATENATE("'",'Inverter-Full Data'!#REF!,"     ",'Inverter-Full Data'!#REF!,",",'Inverter-Full Data'!#REF!,",",'Inverter-Full Data'!#REF!,",",'Inverter-Full Data'!#REF!,"'")</f>
        <v>#REF!</v>
      </c>
    </row>
    <row r="1337" spans="1:1">
      <c r="A1337" s="2" t="e">
        <f>CONCATENATE("'",'Inverter-Full Data'!#REF!,"     ",'Inverter-Full Data'!#REF!,",",'Inverter-Full Data'!#REF!,",",'Inverter-Full Data'!#REF!,",",'Inverter-Full Data'!#REF!,"'")</f>
        <v>#REF!</v>
      </c>
    </row>
    <row r="1338" spans="1:1">
      <c r="A1338" s="2" t="e">
        <f>CONCATENATE("'",'Inverter-Full Data'!#REF!,"     ",'Inverter-Full Data'!#REF!,",",'Inverter-Full Data'!#REF!,",",'Inverter-Full Data'!#REF!,",",'Inverter-Full Data'!#REF!,"'")</f>
        <v>#REF!</v>
      </c>
    </row>
    <row r="1339" spans="1:1">
      <c r="A1339" s="2" t="e">
        <f>CONCATENATE("'",'Inverter-Full Data'!#REF!,"     ",'Inverter-Full Data'!#REF!,",",'Inverter-Full Data'!#REF!,",",'Inverter-Full Data'!#REF!,",",'Inverter-Full Data'!#REF!,"'")</f>
        <v>#REF!</v>
      </c>
    </row>
    <row r="1340" spans="1:1">
      <c r="A1340" s="2" t="e">
        <f>CONCATENATE("'",'Inverter-Full Data'!#REF!,"     ",'Inverter-Full Data'!#REF!,",",'Inverter-Full Data'!#REF!,",",'Inverter-Full Data'!#REF!,",",'Inverter-Full Data'!#REF!,"'")</f>
        <v>#REF!</v>
      </c>
    </row>
    <row r="1341" spans="1:1">
      <c r="A1341" s="2" t="e">
        <f>CONCATENATE("'",'Inverter-Full Data'!#REF!,"     ",'Inverter-Full Data'!#REF!,",",'Inverter-Full Data'!#REF!,",",'Inverter-Full Data'!#REF!,",",'Inverter-Full Data'!#REF!,"'")</f>
        <v>#REF!</v>
      </c>
    </row>
    <row r="1342" spans="1:1">
      <c r="A1342" s="2" t="e">
        <f>CONCATENATE("'",'Inverter-Full Data'!#REF!,"     ",'Inverter-Full Data'!#REF!,",",'Inverter-Full Data'!#REF!,",",'Inverter-Full Data'!#REF!,",",'Inverter-Full Data'!#REF!,"'")</f>
        <v>#REF!</v>
      </c>
    </row>
    <row r="1343" spans="1:1">
      <c r="A1343" s="2" t="e">
        <f>CONCATENATE("'",'Inverter-Full Data'!#REF!,"     ",'Inverter-Full Data'!#REF!,",",'Inverter-Full Data'!#REF!,",",'Inverter-Full Data'!#REF!,",",'Inverter-Full Data'!#REF!,"'")</f>
        <v>#REF!</v>
      </c>
    </row>
    <row r="1344" spans="1:1">
      <c r="A1344" s="2" t="e">
        <f>CONCATENATE("'",'Inverter-Full Data'!#REF!,"     ",'Inverter-Full Data'!#REF!,",",'Inverter-Full Data'!#REF!,",",'Inverter-Full Data'!#REF!,",",'Inverter-Full Data'!#REF!,"'")</f>
        <v>#REF!</v>
      </c>
    </row>
    <row r="1345" spans="1:1">
      <c r="A1345" s="2" t="e">
        <f>CONCATENATE("'",'Inverter-Full Data'!#REF!,"     ",'Inverter-Full Data'!#REF!,",",'Inverter-Full Data'!#REF!,",",'Inverter-Full Data'!#REF!,",",'Inverter-Full Data'!#REF!,"'")</f>
        <v>#REF!</v>
      </c>
    </row>
    <row r="1346" spans="1:1">
      <c r="A1346" s="2" t="e">
        <f>CONCATENATE("'",'Inverter-Full Data'!#REF!,"     ",'Inverter-Full Data'!#REF!,",",'Inverter-Full Data'!#REF!,",",'Inverter-Full Data'!#REF!,",",'Inverter-Full Data'!#REF!,"'")</f>
        <v>#REF!</v>
      </c>
    </row>
    <row r="1347" spans="1:1">
      <c r="A1347" s="2" t="e">
        <f>CONCATENATE("'",'Inverter-Full Data'!#REF!,"     ",'Inverter-Full Data'!#REF!,",",'Inverter-Full Data'!#REF!,",",'Inverter-Full Data'!#REF!,",",'Inverter-Full Data'!#REF!,"'")</f>
        <v>#REF!</v>
      </c>
    </row>
    <row r="1348" spans="1:1">
      <c r="A1348" s="2" t="e">
        <f>CONCATENATE("'",'Inverter-Full Data'!#REF!,"     ",'Inverter-Full Data'!#REF!,",",'Inverter-Full Data'!#REF!,",",'Inverter-Full Data'!#REF!,",",'Inverter-Full Data'!#REF!,"'")</f>
        <v>#REF!</v>
      </c>
    </row>
    <row r="1349" spans="1:1">
      <c r="A1349" s="2" t="e">
        <f>CONCATENATE("'",'Inverter-Full Data'!#REF!,"     ",'Inverter-Full Data'!#REF!,",",'Inverter-Full Data'!#REF!,",",'Inverter-Full Data'!#REF!,",",'Inverter-Full Data'!#REF!,"'")</f>
        <v>#REF!</v>
      </c>
    </row>
    <row r="1350" spans="1:1">
      <c r="A1350" s="2" t="e">
        <f>CONCATENATE("'",'Inverter-Full Data'!#REF!,"     ",'Inverter-Full Data'!#REF!,",",'Inverter-Full Data'!#REF!,",",'Inverter-Full Data'!#REF!,",",'Inverter-Full Data'!#REF!,"'")</f>
        <v>#REF!</v>
      </c>
    </row>
    <row r="1351" spans="1:1">
      <c r="A1351" s="2" t="e">
        <f>CONCATENATE("'",'Inverter-Full Data'!#REF!,"     ",'Inverter-Full Data'!#REF!,",",'Inverter-Full Data'!#REF!,",",'Inverter-Full Data'!#REF!,",",'Inverter-Full Data'!#REF!,"'")</f>
        <v>#REF!</v>
      </c>
    </row>
    <row r="1352" spans="1:1">
      <c r="A1352" s="2" t="e">
        <f>CONCATENATE("'",'Inverter-Full Data'!#REF!,"     ",'Inverter-Full Data'!#REF!,",",'Inverter-Full Data'!#REF!,",",'Inverter-Full Data'!#REF!,",",'Inverter-Full Data'!#REF!,"'")</f>
        <v>#REF!</v>
      </c>
    </row>
    <row r="1353" spans="1:1">
      <c r="A1353" s="2" t="e">
        <f>CONCATENATE("'",'Inverter-Full Data'!#REF!,"     ",'Inverter-Full Data'!#REF!,",",'Inverter-Full Data'!#REF!,",",'Inverter-Full Data'!#REF!,",",'Inverter-Full Data'!#REF!,"'")</f>
        <v>#REF!</v>
      </c>
    </row>
    <row r="1354" spans="1:1">
      <c r="A1354" s="2" t="e">
        <f>CONCATENATE("'",'Inverter-Full Data'!#REF!,"     ",'Inverter-Full Data'!#REF!,",",'Inverter-Full Data'!#REF!,",",'Inverter-Full Data'!#REF!,",",'Inverter-Full Data'!#REF!,"'")</f>
        <v>#REF!</v>
      </c>
    </row>
    <row r="1355" spans="1:1">
      <c r="A1355" s="2" t="e">
        <f>CONCATENATE("'",'Inverter-Full Data'!#REF!,"     ",'Inverter-Full Data'!#REF!,",",'Inverter-Full Data'!#REF!,",",'Inverter-Full Data'!#REF!,",",'Inverter-Full Data'!#REF!,"'")</f>
        <v>#REF!</v>
      </c>
    </row>
    <row r="1356" spans="1:1">
      <c r="A1356" s="2" t="e">
        <f>CONCATENATE("'",'Inverter-Full Data'!#REF!,"     ",'Inverter-Full Data'!#REF!,",",'Inverter-Full Data'!#REF!,",",'Inverter-Full Data'!#REF!,",",'Inverter-Full Data'!#REF!,"'")</f>
        <v>#REF!</v>
      </c>
    </row>
    <row r="1357" spans="1:1">
      <c r="A1357" s="2" t="e">
        <f>CONCATENATE("'",'Inverter-Full Data'!#REF!,"     ",'Inverter-Full Data'!#REF!,",",'Inverter-Full Data'!#REF!,",",'Inverter-Full Data'!#REF!,",",'Inverter-Full Data'!#REF!,"'")</f>
        <v>#REF!</v>
      </c>
    </row>
    <row r="1358" spans="1:1">
      <c r="A1358" s="2" t="e">
        <f>CONCATENATE("'",'Inverter-Full Data'!#REF!,"     ",'Inverter-Full Data'!#REF!,",",'Inverter-Full Data'!#REF!,",",'Inverter-Full Data'!#REF!,",",'Inverter-Full Data'!#REF!,"'")</f>
        <v>#REF!</v>
      </c>
    </row>
    <row r="1359" spans="1:1">
      <c r="A1359" s="2" t="e">
        <f>CONCATENATE("'",'Inverter-Full Data'!#REF!,"     ",'Inverter-Full Data'!#REF!,",",'Inverter-Full Data'!#REF!,",",'Inverter-Full Data'!#REF!,",",'Inverter-Full Data'!#REF!,"'")</f>
        <v>#REF!</v>
      </c>
    </row>
    <row r="1360" spans="1:1">
      <c r="A1360" s="2" t="e">
        <f>CONCATENATE("'",'Inverter-Full Data'!#REF!,"     ",'Inverter-Full Data'!#REF!,",",'Inverter-Full Data'!#REF!,",",'Inverter-Full Data'!#REF!,",",'Inverter-Full Data'!#REF!,"'")</f>
        <v>#REF!</v>
      </c>
    </row>
    <row r="1361" spans="1:1">
      <c r="A1361" s="2" t="e">
        <f>CONCATENATE("'",'Inverter-Full Data'!#REF!,"     ",'Inverter-Full Data'!#REF!,",",'Inverter-Full Data'!#REF!,",",'Inverter-Full Data'!#REF!,",",'Inverter-Full Data'!#REF!,"'")</f>
        <v>#REF!</v>
      </c>
    </row>
    <row r="1362" spans="1:1">
      <c r="A1362" s="2" t="e">
        <f>CONCATENATE("'",'Inverter-Full Data'!#REF!,"     ",'Inverter-Full Data'!#REF!,",",'Inverter-Full Data'!#REF!,",",'Inverter-Full Data'!#REF!,",",'Inverter-Full Data'!#REF!,"'")</f>
        <v>#REF!</v>
      </c>
    </row>
    <row r="1363" spans="1:1">
      <c r="A1363" s="2" t="e">
        <f>CONCATENATE("'",'Inverter-Full Data'!#REF!,"     ",'Inverter-Full Data'!#REF!,",",'Inverter-Full Data'!#REF!,",",'Inverter-Full Data'!#REF!,",",'Inverter-Full Data'!#REF!,"'")</f>
        <v>#REF!</v>
      </c>
    </row>
    <row r="1364" spans="1:1">
      <c r="A1364" s="2" t="e">
        <f>CONCATENATE("'",'Inverter-Full Data'!#REF!,"     ",'Inverter-Full Data'!#REF!,",",'Inverter-Full Data'!#REF!,",",'Inverter-Full Data'!#REF!,",",'Inverter-Full Data'!#REF!,"'")</f>
        <v>#REF!</v>
      </c>
    </row>
    <row r="1365" spans="1:1">
      <c r="A1365" s="2" t="e">
        <f>CONCATENATE("'",'Inverter-Full Data'!#REF!,"     ",'Inverter-Full Data'!#REF!,",",'Inverter-Full Data'!#REF!,",",'Inverter-Full Data'!#REF!,",",'Inverter-Full Data'!#REF!,"'")</f>
        <v>#REF!</v>
      </c>
    </row>
    <row r="1366" spans="1:1">
      <c r="A1366" s="2" t="e">
        <f>CONCATENATE("'",'Inverter-Full Data'!#REF!,"     ",'Inverter-Full Data'!#REF!,",",'Inverter-Full Data'!#REF!,",",'Inverter-Full Data'!#REF!,",",'Inverter-Full Data'!#REF!,"'")</f>
        <v>#REF!</v>
      </c>
    </row>
    <row r="1367" spans="1:1">
      <c r="A1367" s="2" t="e">
        <f>CONCATENATE("'",'Inverter-Full Data'!#REF!,"     ",'Inverter-Full Data'!#REF!,",",'Inverter-Full Data'!#REF!,",",'Inverter-Full Data'!#REF!,",",'Inverter-Full Data'!#REF!,"'")</f>
        <v>#REF!</v>
      </c>
    </row>
    <row r="1368" spans="1:1">
      <c r="A1368" s="2" t="e">
        <f>CONCATENATE("'",'Inverter-Full Data'!#REF!,"     ",'Inverter-Full Data'!#REF!,",",'Inverter-Full Data'!#REF!,",",'Inverter-Full Data'!#REF!,",",'Inverter-Full Data'!#REF!,"'")</f>
        <v>#REF!</v>
      </c>
    </row>
    <row r="1369" spans="1:1">
      <c r="A1369" s="2" t="e">
        <f>CONCATENATE("'",'Inverter-Full Data'!#REF!,"     ",'Inverter-Full Data'!#REF!,",",'Inverter-Full Data'!#REF!,",",'Inverter-Full Data'!#REF!,",",'Inverter-Full Data'!#REF!,"'")</f>
        <v>#REF!</v>
      </c>
    </row>
    <row r="1370" spans="1:1">
      <c r="A1370" s="2" t="e">
        <f>CONCATENATE("'",'Inverter-Full Data'!#REF!,"     ",'Inverter-Full Data'!#REF!,",",'Inverter-Full Data'!#REF!,",",'Inverter-Full Data'!#REF!,",",'Inverter-Full Data'!#REF!,"'")</f>
        <v>#REF!</v>
      </c>
    </row>
    <row r="1371" spans="1:1">
      <c r="A1371" s="2" t="e">
        <f>CONCATENATE("'",'Inverter-Full Data'!#REF!,"     ",'Inverter-Full Data'!#REF!,",",'Inverter-Full Data'!#REF!,",",'Inverter-Full Data'!#REF!,",",'Inverter-Full Data'!#REF!,"'")</f>
        <v>#REF!</v>
      </c>
    </row>
    <row r="1372" spans="1:1">
      <c r="A1372" s="2" t="e">
        <f>CONCATENATE("'",'Inverter-Full Data'!#REF!,"     ",'Inverter-Full Data'!#REF!,",",'Inverter-Full Data'!#REF!,",",'Inverter-Full Data'!#REF!,",",'Inverter-Full Data'!#REF!,"'")</f>
        <v>#REF!</v>
      </c>
    </row>
    <row r="1373" spans="1:1">
      <c r="A1373" s="2" t="e">
        <f>CONCATENATE("'",'Inverter-Full Data'!#REF!,"     ",'Inverter-Full Data'!#REF!,",",'Inverter-Full Data'!#REF!,",",'Inverter-Full Data'!#REF!,",",'Inverter-Full Data'!#REF!,"'")</f>
        <v>#REF!</v>
      </c>
    </row>
    <row r="1374" spans="1:1">
      <c r="A1374" s="2" t="e">
        <f>CONCATENATE("'",'Inverter-Full Data'!#REF!,"     ",'Inverter-Full Data'!#REF!,",",'Inverter-Full Data'!#REF!,",",'Inverter-Full Data'!#REF!,",",'Inverter-Full Data'!#REF!,"'")</f>
        <v>#REF!</v>
      </c>
    </row>
    <row r="1375" spans="1:1">
      <c r="A1375" s="2" t="e">
        <f>CONCATENATE("'",'Inverter-Full Data'!#REF!,"     ",'Inverter-Full Data'!#REF!,",",'Inverter-Full Data'!#REF!,",",'Inverter-Full Data'!#REF!,",",'Inverter-Full Data'!#REF!,"'")</f>
        <v>#REF!</v>
      </c>
    </row>
    <row r="1376" spans="1:1">
      <c r="A1376" s="2" t="e">
        <f>CONCATENATE("'",'Inverter-Full Data'!#REF!,"     ",'Inverter-Full Data'!#REF!,",",'Inverter-Full Data'!#REF!,",",'Inverter-Full Data'!#REF!,",",'Inverter-Full Data'!#REF!,"'")</f>
        <v>#REF!</v>
      </c>
    </row>
    <row r="1377" spans="1:1">
      <c r="A1377" s="2" t="e">
        <f>CONCATENATE("'",'Inverter-Full Data'!#REF!,"     ",'Inverter-Full Data'!#REF!,",",'Inverter-Full Data'!#REF!,",",'Inverter-Full Data'!#REF!,",",'Inverter-Full Data'!#REF!,"'")</f>
        <v>#REF!</v>
      </c>
    </row>
    <row r="1378" spans="1:1">
      <c r="A1378" s="2" t="e">
        <f>CONCATENATE("'",'Inverter-Full Data'!#REF!,"     ",'Inverter-Full Data'!#REF!,",",'Inverter-Full Data'!#REF!,",",'Inverter-Full Data'!#REF!,",",'Inverter-Full Data'!#REF!,"'")</f>
        <v>#REF!</v>
      </c>
    </row>
    <row r="1379" spans="1:1">
      <c r="A1379" s="2" t="e">
        <f>CONCATENATE("'",'Inverter-Full Data'!#REF!,"     ",'Inverter-Full Data'!#REF!,",",'Inverter-Full Data'!#REF!,",",'Inverter-Full Data'!#REF!,",",'Inverter-Full Data'!#REF!,"'")</f>
        <v>#REF!</v>
      </c>
    </row>
    <row r="1380" spans="1:1">
      <c r="A1380" s="2" t="e">
        <f>CONCATENATE("'",'Inverter-Full Data'!#REF!,"     ",'Inverter-Full Data'!#REF!,",",'Inverter-Full Data'!#REF!,",",'Inverter-Full Data'!#REF!,",",'Inverter-Full Data'!#REF!,"'")</f>
        <v>#REF!</v>
      </c>
    </row>
    <row r="1381" spans="1:1">
      <c r="A1381" s="2" t="e">
        <f>CONCATENATE("'",'Inverter-Full Data'!#REF!,"     ",'Inverter-Full Data'!#REF!,",",'Inverter-Full Data'!#REF!,",",'Inverter-Full Data'!#REF!,",",'Inverter-Full Data'!#REF!,"'")</f>
        <v>#REF!</v>
      </c>
    </row>
    <row r="1382" spans="1:1">
      <c r="A1382" s="2" t="e">
        <f>CONCATENATE("'",'Inverter-Full Data'!#REF!,"     ",'Inverter-Full Data'!#REF!,",",'Inverter-Full Data'!#REF!,",",'Inverter-Full Data'!#REF!,",",'Inverter-Full Data'!#REF!,"'")</f>
        <v>#REF!</v>
      </c>
    </row>
    <row r="1383" spans="1:1">
      <c r="A1383" s="2" t="e">
        <f>CONCATENATE("'",'Inverter-Full Data'!#REF!,"     ",'Inverter-Full Data'!#REF!,",",'Inverter-Full Data'!#REF!,",",'Inverter-Full Data'!#REF!,",",'Inverter-Full Data'!#REF!,"'")</f>
        <v>#REF!</v>
      </c>
    </row>
    <row r="1384" spans="1:1">
      <c r="A1384" s="2" t="e">
        <f>CONCATENATE("'",'Inverter-Full Data'!#REF!,"     ",'Inverter-Full Data'!#REF!,",",'Inverter-Full Data'!#REF!,",",'Inverter-Full Data'!#REF!,",",'Inverter-Full Data'!#REF!,"'")</f>
        <v>#REF!</v>
      </c>
    </row>
    <row r="1385" spans="1:1">
      <c r="A1385" s="2" t="e">
        <f>CONCATENATE("'",'Inverter-Full Data'!#REF!,"     ",'Inverter-Full Data'!#REF!,",",'Inverter-Full Data'!#REF!,",",'Inverter-Full Data'!#REF!,",",'Inverter-Full Data'!#REF!,"'")</f>
        <v>#REF!</v>
      </c>
    </row>
    <row r="1386" spans="1:1">
      <c r="A1386" s="2" t="e">
        <f>CONCATENATE("'",'Inverter-Full Data'!#REF!,"     ",'Inverter-Full Data'!#REF!,",",'Inverter-Full Data'!#REF!,",",'Inverter-Full Data'!#REF!,",",'Inverter-Full Data'!#REF!,"'")</f>
        <v>#REF!</v>
      </c>
    </row>
    <row r="1387" spans="1:1">
      <c r="A1387" s="2" t="e">
        <f>CONCATENATE("'",'Inverter-Full Data'!#REF!,"     ",'Inverter-Full Data'!#REF!,",",'Inverter-Full Data'!#REF!,",",'Inverter-Full Data'!#REF!,",",'Inverter-Full Data'!#REF!,"'")</f>
        <v>#REF!</v>
      </c>
    </row>
    <row r="1388" spans="1:1">
      <c r="A1388" s="2" t="e">
        <f>CONCATENATE("'",'Inverter-Full Data'!#REF!,"     ",'Inverter-Full Data'!#REF!,",",'Inverter-Full Data'!#REF!,",",'Inverter-Full Data'!#REF!,",",'Inverter-Full Data'!#REF!,"'")</f>
        <v>#REF!</v>
      </c>
    </row>
    <row r="1389" spans="1:1">
      <c r="A1389" s="2" t="e">
        <f>CONCATENATE("'",'Inverter-Full Data'!#REF!,"     ",'Inverter-Full Data'!#REF!,",",'Inverter-Full Data'!#REF!,",",'Inverter-Full Data'!#REF!,",",'Inverter-Full Data'!#REF!,"'")</f>
        <v>#REF!</v>
      </c>
    </row>
    <row r="1390" spans="1:1">
      <c r="A1390" s="2" t="e">
        <f>CONCATENATE("'",'Inverter-Full Data'!#REF!,"     ",'Inverter-Full Data'!#REF!,",",'Inverter-Full Data'!#REF!,",",'Inverter-Full Data'!#REF!,",",'Inverter-Full Data'!#REF!,"'")</f>
        <v>#REF!</v>
      </c>
    </row>
    <row r="1391" spans="1:1">
      <c r="A1391" s="2" t="e">
        <f>CONCATENATE("'",'Inverter-Full Data'!#REF!,"     ",'Inverter-Full Data'!#REF!,",",'Inverter-Full Data'!#REF!,",",'Inverter-Full Data'!#REF!,",",'Inverter-Full Data'!#REF!,"'")</f>
        <v>#REF!</v>
      </c>
    </row>
    <row r="1392" spans="1:1">
      <c r="A1392" s="2" t="e">
        <f>CONCATENATE("'",'Inverter-Full Data'!#REF!,"     ",'Inverter-Full Data'!#REF!,",",'Inverter-Full Data'!#REF!,",",'Inverter-Full Data'!#REF!,",",'Inverter-Full Data'!#REF!,"'")</f>
        <v>#REF!</v>
      </c>
    </row>
    <row r="1393" spans="1:1">
      <c r="A1393" s="2" t="e">
        <f>CONCATENATE("'",'Inverter-Full Data'!#REF!,"     ",'Inverter-Full Data'!#REF!,",",'Inverter-Full Data'!#REF!,",",'Inverter-Full Data'!#REF!,",",'Inverter-Full Data'!#REF!,"'")</f>
        <v>#REF!</v>
      </c>
    </row>
    <row r="1394" spans="1:1">
      <c r="A1394" s="2" t="e">
        <f>CONCATENATE("'",'Inverter-Full Data'!#REF!,"     ",'Inverter-Full Data'!#REF!,",",'Inverter-Full Data'!#REF!,",",'Inverter-Full Data'!#REF!,",",'Inverter-Full Data'!#REF!,"'")</f>
        <v>#REF!</v>
      </c>
    </row>
    <row r="1395" spans="1:1">
      <c r="A1395" s="2" t="e">
        <f>CONCATENATE("'",'Inverter-Full Data'!#REF!,"     ",'Inverter-Full Data'!#REF!,",",'Inverter-Full Data'!#REF!,",",'Inverter-Full Data'!#REF!,",",'Inverter-Full Data'!#REF!,"'")</f>
        <v>#REF!</v>
      </c>
    </row>
    <row r="1396" spans="1:1">
      <c r="A1396" s="2" t="e">
        <f>CONCATENATE("'",'Inverter-Full Data'!#REF!,"     ",'Inverter-Full Data'!#REF!,",",'Inverter-Full Data'!#REF!,",",'Inverter-Full Data'!#REF!,",",'Inverter-Full Data'!#REF!,"'")</f>
        <v>#REF!</v>
      </c>
    </row>
    <row r="1397" spans="1:1">
      <c r="A1397" s="2" t="e">
        <f>CONCATENATE("'",'Inverter-Full Data'!#REF!,"     ",'Inverter-Full Data'!#REF!,",",'Inverter-Full Data'!#REF!,",",'Inverter-Full Data'!#REF!,",",'Inverter-Full Data'!#REF!,"'")</f>
        <v>#REF!</v>
      </c>
    </row>
    <row r="1398" spans="1:1">
      <c r="A1398" s="2" t="e">
        <f>CONCATENATE("'",'Inverter-Full Data'!#REF!,"     ",'Inverter-Full Data'!#REF!,",",'Inverter-Full Data'!#REF!,",",'Inverter-Full Data'!#REF!,",",'Inverter-Full Data'!#REF!,"'")</f>
        <v>#REF!</v>
      </c>
    </row>
    <row r="1399" spans="1:1">
      <c r="A1399" s="2" t="e">
        <f>CONCATENATE("'",'Inverter-Full Data'!#REF!,"     ",'Inverter-Full Data'!#REF!,",",'Inverter-Full Data'!#REF!,",",'Inverter-Full Data'!#REF!,",",'Inverter-Full Data'!#REF!,"'")</f>
        <v>#REF!</v>
      </c>
    </row>
    <row r="1400" spans="1:1">
      <c r="A1400" s="2" t="e">
        <f>CONCATENATE("'",'Inverter-Full Data'!#REF!,"     ",'Inverter-Full Data'!#REF!,",",'Inverter-Full Data'!#REF!,",",'Inverter-Full Data'!#REF!,",",'Inverter-Full Data'!#REF!,"'")</f>
        <v>#REF!</v>
      </c>
    </row>
    <row r="1401" spans="1:1">
      <c r="A1401" s="2" t="e">
        <f>CONCATENATE("'",'Inverter-Full Data'!#REF!,"     ",'Inverter-Full Data'!#REF!,",",'Inverter-Full Data'!#REF!,",",'Inverter-Full Data'!#REF!,",",'Inverter-Full Data'!#REF!,"'")</f>
        <v>#REF!</v>
      </c>
    </row>
    <row r="1402" spans="1:1">
      <c r="A1402" s="2" t="e">
        <f>CONCATENATE("'",'Inverter-Full Data'!#REF!,"     ",'Inverter-Full Data'!#REF!,",",'Inverter-Full Data'!#REF!,",",'Inverter-Full Data'!#REF!,",",'Inverter-Full Data'!#REF!,"'")</f>
        <v>#REF!</v>
      </c>
    </row>
    <row r="1403" spans="1:1">
      <c r="A1403" s="2" t="e">
        <f>CONCATENATE("'",'Inverter-Full Data'!#REF!,"     ",'Inverter-Full Data'!#REF!,",",'Inverter-Full Data'!#REF!,",",'Inverter-Full Data'!#REF!,",",'Inverter-Full Data'!#REF!,"'")</f>
        <v>#REF!</v>
      </c>
    </row>
    <row r="1404" spans="1:1">
      <c r="A1404" s="2" t="e">
        <f>CONCATENATE("'",'Inverter-Full Data'!#REF!,"     ",'Inverter-Full Data'!#REF!,",",'Inverter-Full Data'!#REF!,",",'Inverter-Full Data'!#REF!,",",'Inverter-Full Data'!#REF!,"'")</f>
        <v>#REF!</v>
      </c>
    </row>
    <row r="1405" spans="1:1">
      <c r="A1405" s="2" t="e">
        <f>CONCATENATE("'",'Inverter-Full Data'!#REF!,"     ",'Inverter-Full Data'!#REF!,",",'Inverter-Full Data'!#REF!,",",'Inverter-Full Data'!#REF!,",",'Inverter-Full Data'!#REF!,"'")</f>
        <v>#REF!</v>
      </c>
    </row>
    <row r="1406" spans="1:1">
      <c r="A1406" s="2" t="e">
        <f>CONCATENATE("'",'Inverter-Full Data'!#REF!,"     ",'Inverter-Full Data'!#REF!,",",'Inverter-Full Data'!#REF!,",",'Inverter-Full Data'!#REF!,",",'Inverter-Full Data'!#REF!,"'")</f>
        <v>#REF!</v>
      </c>
    </row>
    <row r="1407" spans="1:1">
      <c r="A1407" s="2" t="e">
        <f>CONCATENATE("'",'Inverter-Full Data'!#REF!,"     ",'Inverter-Full Data'!#REF!,",",'Inverter-Full Data'!#REF!,",",'Inverter-Full Data'!#REF!,",",'Inverter-Full Data'!#REF!,"'")</f>
        <v>#REF!</v>
      </c>
    </row>
    <row r="1408" spans="1:1">
      <c r="A1408" s="2" t="e">
        <f>CONCATENATE("'",'Inverter-Full Data'!#REF!,"     ",'Inverter-Full Data'!#REF!,",",'Inverter-Full Data'!#REF!,",",'Inverter-Full Data'!#REF!,",",'Inverter-Full Data'!#REF!,"'")</f>
        <v>#REF!</v>
      </c>
    </row>
    <row r="1409" spans="1:1">
      <c r="A1409" s="2" t="e">
        <f>CONCATENATE("'",'Inverter-Full Data'!#REF!,"     ",'Inverter-Full Data'!#REF!,",",'Inverter-Full Data'!#REF!,",",'Inverter-Full Data'!#REF!,",",'Inverter-Full Data'!#REF!,"'")</f>
        <v>#REF!</v>
      </c>
    </row>
    <row r="1410" spans="1:1">
      <c r="A1410" s="2" t="e">
        <f>CONCATENATE("'",'Inverter-Full Data'!#REF!,"     ",'Inverter-Full Data'!#REF!,",",'Inverter-Full Data'!#REF!,",",'Inverter-Full Data'!#REF!,",",'Inverter-Full Data'!#REF!,"'")</f>
        <v>#REF!</v>
      </c>
    </row>
    <row r="1411" spans="1:1">
      <c r="A1411" s="2" t="e">
        <f>CONCATENATE("'",'Inverter-Full Data'!#REF!,"     ",'Inverter-Full Data'!#REF!,",",'Inverter-Full Data'!#REF!,",",'Inverter-Full Data'!#REF!,",",'Inverter-Full Data'!#REF!,"'")</f>
        <v>#REF!</v>
      </c>
    </row>
    <row r="1412" spans="1:1">
      <c r="A1412" s="2" t="e">
        <f>CONCATENATE("'",'Inverter-Full Data'!#REF!,"     ",'Inverter-Full Data'!#REF!,",",'Inverter-Full Data'!#REF!,",",'Inverter-Full Data'!#REF!,",",'Inverter-Full Data'!#REF!,"'")</f>
        <v>#REF!</v>
      </c>
    </row>
    <row r="1413" spans="1:1">
      <c r="A1413" s="2" t="e">
        <f>CONCATENATE("'",'Inverter-Full Data'!#REF!,"     ",'Inverter-Full Data'!#REF!,",",'Inverter-Full Data'!#REF!,",",'Inverter-Full Data'!#REF!,",",'Inverter-Full Data'!#REF!,"'")</f>
        <v>#REF!</v>
      </c>
    </row>
    <row r="1414" spans="1:1">
      <c r="A1414" s="2" t="e">
        <f>CONCATENATE("'",'Inverter-Full Data'!#REF!,"     ",'Inverter-Full Data'!#REF!,",",'Inverter-Full Data'!#REF!,",",'Inverter-Full Data'!#REF!,",",'Inverter-Full Data'!#REF!,"'")</f>
        <v>#REF!</v>
      </c>
    </row>
    <row r="1415" spans="1:1">
      <c r="A1415" s="2" t="e">
        <f>CONCATENATE("'",'Inverter-Full Data'!#REF!,"     ",'Inverter-Full Data'!#REF!,",",'Inverter-Full Data'!#REF!,",",'Inverter-Full Data'!#REF!,",",'Inverter-Full Data'!#REF!,"'")</f>
        <v>#REF!</v>
      </c>
    </row>
    <row r="1416" spans="1:1">
      <c r="A1416" s="2" t="e">
        <f>CONCATENATE("'",'Inverter-Full Data'!#REF!,"     ",'Inverter-Full Data'!#REF!,",",'Inverter-Full Data'!#REF!,",",'Inverter-Full Data'!#REF!,",",'Inverter-Full Data'!#REF!,"'")</f>
        <v>#REF!</v>
      </c>
    </row>
    <row r="1417" spans="1:1">
      <c r="A1417" s="2" t="e">
        <f>CONCATENATE("'",'Inverter-Full Data'!#REF!,"     ",'Inverter-Full Data'!#REF!,",",'Inverter-Full Data'!#REF!,",",'Inverter-Full Data'!#REF!,",",'Inverter-Full Data'!#REF!,"'")</f>
        <v>#REF!</v>
      </c>
    </row>
    <row r="1418" spans="1:1">
      <c r="A1418" s="2" t="e">
        <f>CONCATENATE("'",'Inverter-Full Data'!#REF!,"     ",'Inverter-Full Data'!#REF!,",",'Inverter-Full Data'!#REF!,",",'Inverter-Full Data'!#REF!,",",'Inverter-Full Data'!#REF!,"'")</f>
        <v>#REF!</v>
      </c>
    </row>
    <row r="1419" spans="1:1">
      <c r="A1419" s="2" t="e">
        <f>CONCATENATE("'",'Inverter-Full Data'!#REF!,"     ",'Inverter-Full Data'!#REF!,",",'Inverter-Full Data'!#REF!,",",'Inverter-Full Data'!#REF!,",",'Inverter-Full Data'!#REF!,"'")</f>
        <v>#REF!</v>
      </c>
    </row>
    <row r="1420" spans="1:1">
      <c r="A1420" s="2" t="e">
        <f>CONCATENATE("'",'Inverter-Full Data'!#REF!,"     ",'Inverter-Full Data'!#REF!,",",'Inverter-Full Data'!#REF!,",",'Inverter-Full Data'!#REF!,",",'Inverter-Full Data'!#REF!,"'")</f>
        <v>#REF!</v>
      </c>
    </row>
    <row r="1421" spans="1:1">
      <c r="A1421" s="2" t="e">
        <f>CONCATENATE("'",'Inverter-Full Data'!#REF!,"     ",'Inverter-Full Data'!#REF!,",",'Inverter-Full Data'!#REF!,",",'Inverter-Full Data'!#REF!,",",'Inverter-Full Data'!#REF!,"'")</f>
        <v>#REF!</v>
      </c>
    </row>
    <row r="1422" spans="1:1">
      <c r="A1422" s="2" t="e">
        <f>CONCATENATE("'",'Inverter-Full Data'!#REF!,"     ",'Inverter-Full Data'!#REF!,",",'Inverter-Full Data'!#REF!,",",'Inverter-Full Data'!#REF!,",",'Inverter-Full Data'!#REF!,"'")</f>
        <v>#REF!</v>
      </c>
    </row>
    <row r="1423" spans="1:1">
      <c r="A1423" s="2" t="e">
        <f>CONCATENATE("'",'Inverter-Full Data'!#REF!,"     ",'Inverter-Full Data'!#REF!,",",'Inverter-Full Data'!#REF!,",",'Inverter-Full Data'!#REF!,",",'Inverter-Full Data'!#REF!,"'")</f>
        <v>#REF!</v>
      </c>
    </row>
    <row r="1424" spans="1:1">
      <c r="A1424" s="2" t="e">
        <f>CONCATENATE("'",'Inverter-Full Data'!#REF!,"     ",'Inverter-Full Data'!#REF!,",",'Inverter-Full Data'!#REF!,",",'Inverter-Full Data'!#REF!,",",'Inverter-Full Data'!#REF!,"'")</f>
        <v>#REF!</v>
      </c>
    </row>
    <row r="1425" spans="1:1">
      <c r="A1425" s="2" t="e">
        <f>CONCATENATE("'",'Inverter-Full Data'!#REF!,"     ",'Inverter-Full Data'!#REF!,",",'Inverter-Full Data'!#REF!,",",'Inverter-Full Data'!#REF!,",",'Inverter-Full Data'!#REF!,"'")</f>
        <v>#REF!</v>
      </c>
    </row>
    <row r="1426" spans="1:1">
      <c r="A1426" s="2" t="e">
        <f>CONCATENATE("'",'Inverter-Full Data'!#REF!,"     ",'Inverter-Full Data'!#REF!,",",'Inverter-Full Data'!#REF!,",",'Inverter-Full Data'!#REF!,",",'Inverter-Full Data'!#REF!,"'")</f>
        <v>#REF!</v>
      </c>
    </row>
    <row r="1427" spans="1:1">
      <c r="A1427" s="2" t="e">
        <f>CONCATENATE("'",'Inverter-Full Data'!#REF!,"     ",'Inverter-Full Data'!#REF!,",",'Inverter-Full Data'!#REF!,",",'Inverter-Full Data'!#REF!,",",'Inverter-Full Data'!#REF!,"'")</f>
        <v>#REF!</v>
      </c>
    </row>
    <row r="1428" spans="1:1">
      <c r="A1428" s="2" t="e">
        <f>CONCATENATE("'",'Inverter-Full Data'!#REF!,"     ",'Inverter-Full Data'!#REF!,",",'Inverter-Full Data'!#REF!,",",'Inverter-Full Data'!#REF!,",",'Inverter-Full Data'!#REF!,"'")</f>
        <v>#REF!</v>
      </c>
    </row>
    <row r="1429" spans="1:1">
      <c r="A1429" s="2" t="e">
        <f>CONCATENATE("'",'Inverter-Full Data'!#REF!,"     ",'Inverter-Full Data'!#REF!,",",'Inverter-Full Data'!#REF!,",",'Inverter-Full Data'!#REF!,",",'Inverter-Full Data'!#REF!,"'")</f>
        <v>#REF!</v>
      </c>
    </row>
    <row r="1430" spans="1:1">
      <c r="A1430" s="2" t="e">
        <f>CONCATENATE("'",'Inverter-Full Data'!#REF!,"     ",'Inverter-Full Data'!#REF!,",",'Inverter-Full Data'!#REF!,",",'Inverter-Full Data'!#REF!,",",'Inverter-Full Data'!#REF!,"'")</f>
        <v>#REF!</v>
      </c>
    </row>
    <row r="1431" spans="1:1">
      <c r="A1431" s="2" t="e">
        <f>CONCATENATE("'",'Inverter-Full Data'!#REF!,"     ",'Inverter-Full Data'!#REF!,",",'Inverter-Full Data'!#REF!,",",'Inverter-Full Data'!#REF!,",",'Inverter-Full Data'!#REF!,"'")</f>
        <v>#REF!</v>
      </c>
    </row>
    <row r="1432" spans="1:1">
      <c r="A1432" s="2" t="e">
        <f>CONCATENATE("'",'Inverter-Full Data'!#REF!,"     ",'Inverter-Full Data'!#REF!,",",'Inverter-Full Data'!#REF!,",",'Inverter-Full Data'!#REF!,",",'Inverter-Full Data'!#REF!,"'")</f>
        <v>#REF!</v>
      </c>
    </row>
    <row r="1433" spans="1:1">
      <c r="A1433" s="2" t="e">
        <f>CONCATENATE("'",'Inverter-Full Data'!#REF!,"     ",'Inverter-Full Data'!#REF!,",",'Inverter-Full Data'!#REF!,",",'Inverter-Full Data'!#REF!,",",'Inverter-Full Data'!#REF!,"'")</f>
        <v>#REF!</v>
      </c>
    </row>
    <row r="1434" spans="1:1">
      <c r="A1434" s="2" t="e">
        <f>CONCATENATE("'",'Inverter-Full Data'!#REF!,"     ",'Inverter-Full Data'!#REF!,",",'Inverter-Full Data'!#REF!,",",'Inverter-Full Data'!#REF!,",",'Inverter-Full Data'!#REF!,"'")</f>
        <v>#REF!</v>
      </c>
    </row>
    <row r="1435" spans="1:1">
      <c r="A1435" s="2" t="e">
        <f>CONCATENATE("'",'Inverter-Full Data'!#REF!,"     ",'Inverter-Full Data'!#REF!,",",'Inverter-Full Data'!#REF!,",",'Inverter-Full Data'!#REF!,",",'Inverter-Full Data'!#REF!,"'")</f>
        <v>#REF!</v>
      </c>
    </row>
    <row r="1436" spans="1:1">
      <c r="A1436" s="2" t="e">
        <f>CONCATENATE("'",'Inverter-Full Data'!#REF!,"     ",'Inverter-Full Data'!#REF!,",",'Inverter-Full Data'!#REF!,",",'Inverter-Full Data'!#REF!,",",'Inverter-Full Data'!#REF!,"'")</f>
        <v>#REF!</v>
      </c>
    </row>
    <row r="1437" spans="1:1">
      <c r="A1437" s="2" t="e">
        <f>CONCATENATE("'",'Inverter-Full Data'!#REF!,"     ",'Inverter-Full Data'!#REF!,",",'Inverter-Full Data'!#REF!,",",'Inverter-Full Data'!#REF!,",",'Inverter-Full Data'!#REF!,"'")</f>
        <v>#REF!</v>
      </c>
    </row>
    <row r="1438" spans="1:1">
      <c r="A1438" s="2" t="e">
        <f>CONCATENATE("'",'Inverter-Full Data'!#REF!,"     ",'Inverter-Full Data'!#REF!,",",'Inverter-Full Data'!#REF!,",",'Inverter-Full Data'!#REF!,",",'Inverter-Full Data'!#REF!,"'")</f>
        <v>#REF!</v>
      </c>
    </row>
    <row r="1439" spans="1:1">
      <c r="A1439" s="2" t="e">
        <f>CONCATENATE("'",'Inverter-Full Data'!#REF!,"     ",'Inverter-Full Data'!#REF!,",",'Inverter-Full Data'!#REF!,",",'Inverter-Full Data'!#REF!,",",'Inverter-Full Data'!#REF!,"'")</f>
        <v>#REF!</v>
      </c>
    </row>
    <row r="1440" spans="1:1">
      <c r="A1440" s="2" t="e">
        <f>CONCATENATE("'",'Inverter-Full Data'!#REF!,"     ",'Inverter-Full Data'!#REF!,",",'Inverter-Full Data'!#REF!,",",'Inverter-Full Data'!#REF!,",",'Inverter-Full Data'!#REF!,"'")</f>
        <v>#REF!</v>
      </c>
    </row>
    <row r="1441" spans="1:1">
      <c r="A1441" s="2" t="e">
        <f>CONCATENATE("'",'Inverter-Full Data'!#REF!,"     ",'Inverter-Full Data'!#REF!,",",'Inverter-Full Data'!#REF!,",",'Inverter-Full Data'!#REF!,",",'Inverter-Full Data'!#REF!,"'")</f>
        <v>#REF!</v>
      </c>
    </row>
    <row r="1442" spans="1:1">
      <c r="A1442" s="2" t="e">
        <f>CONCATENATE("'",'Inverter-Full Data'!#REF!,"     ",'Inverter-Full Data'!#REF!,",",'Inverter-Full Data'!#REF!,",",'Inverter-Full Data'!#REF!,",",'Inverter-Full Data'!#REF!,"'")</f>
        <v>#REF!</v>
      </c>
    </row>
    <row r="1443" spans="1:1">
      <c r="A1443" s="2" t="e">
        <f>CONCATENATE("'",'Inverter-Full Data'!#REF!,"     ",'Inverter-Full Data'!#REF!,",",'Inverter-Full Data'!#REF!,",",'Inverter-Full Data'!#REF!,",",'Inverter-Full Data'!#REF!,"'")</f>
        <v>#REF!</v>
      </c>
    </row>
    <row r="1444" spans="1:1">
      <c r="A1444" s="2" t="e">
        <f>CONCATENATE("'",'Inverter-Full Data'!#REF!,"     ",'Inverter-Full Data'!#REF!,",",'Inverter-Full Data'!#REF!,",",'Inverter-Full Data'!#REF!,",",'Inverter-Full Data'!#REF!,"'")</f>
        <v>#REF!</v>
      </c>
    </row>
    <row r="1445" spans="1:1">
      <c r="A1445" s="2" t="e">
        <f>CONCATENATE("'",'Inverter-Full Data'!#REF!,"     ",'Inverter-Full Data'!#REF!,",",'Inverter-Full Data'!#REF!,",",'Inverter-Full Data'!#REF!,",",'Inverter-Full Data'!#REF!,"'")</f>
        <v>#REF!</v>
      </c>
    </row>
    <row r="1446" spans="1:1">
      <c r="A1446" s="2" t="e">
        <f>CONCATENATE("'",'Inverter-Full Data'!#REF!,"     ",'Inverter-Full Data'!#REF!,",",'Inverter-Full Data'!#REF!,",",'Inverter-Full Data'!#REF!,",",'Inverter-Full Data'!#REF!,"'")</f>
        <v>#REF!</v>
      </c>
    </row>
    <row r="1447" spans="1:1">
      <c r="A1447" s="2" t="e">
        <f>CONCATENATE("'",'Inverter-Full Data'!#REF!,"     ",'Inverter-Full Data'!#REF!,",",'Inverter-Full Data'!#REF!,",",'Inverter-Full Data'!#REF!,",",'Inverter-Full Data'!#REF!,"'")</f>
        <v>#REF!</v>
      </c>
    </row>
    <row r="1448" spans="1:1">
      <c r="A1448" s="2" t="e">
        <f>CONCATENATE("'",'Inverter-Full Data'!#REF!,"     ",'Inverter-Full Data'!#REF!,",",'Inverter-Full Data'!#REF!,",",'Inverter-Full Data'!#REF!,",",'Inverter-Full Data'!#REF!,"'")</f>
        <v>#REF!</v>
      </c>
    </row>
    <row r="1449" spans="1:1">
      <c r="A1449" s="2" t="e">
        <f>CONCATENATE("'",'Inverter-Full Data'!#REF!,"     ",'Inverter-Full Data'!#REF!,",",'Inverter-Full Data'!#REF!,",",'Inverter-Full Data'!#REF!,",",'Inverter-Full Data'!#REF!,"'")</f>
        <v>#REF!</v>
      </c>
    </row>
    <row r="1450" spans="1:1">
      <c r="A1450" s="2" t="e">
        <f>CONCATENATE("'",'Inverter-Full Data'!#REF!,"     ",'Inverter-Full Data'!#REF!,",",'Inverter-Full Data'!#REF!,",",'Inverter-Full Data'!#REF!,",",'Inverter-Full Data'!#REF!,"'")</f>
        <v>#REF!</v>
      </c>
    </row>
    <row r="1451" spans="1:1">
      <c r="A1451" s="2" t="e">
        <f>CONCATENATE("'",'Inverter-Full Data'!#REF!,"     ",'Inverter-Full Data'!#REF!,",",'Inverter-Full Data'!#REF!,",",'Inverter-Full Data'!#REF!,",",'Inverter-Full Data'!#REF!,"'")</f>
        <v>#REF!</v>
      </c>
    </row>
    <row r="1452" spans="1:1">
      <c r="A1452" s="2" t="e">
        <f>CONCATENATE("'",'Inverter-Full Data'!#REF!,"     ",'Inverter-Full Data'!#REF!,",",'Inverter-Full Data'!#REF!,",",'Inverter-Full Data'!#REF!,",",'Inverter-Full Data'!#REF!,"'")</f>
        <v>#REF!</v>
      </c>
    </row>
    <row r="1453" spans="1:1">
      <c r="A1453" s="2" t="e">
        <f>CONCATENATE("'",'Inverter-Full Data'!#REF!,"     ",'Inverter-Full Data'!#REF!,",",'Inverter-Full Data'!#REF!,",",'Inverter-Full Data'!#REF!,",",'Inverter-Full Data'!#REF!,"'")</f>
        <v>#REF!</v>
      </c>
    </row>
    <row r="1454" spans="1:1">
      <c r="A1454" s="2" t="e">
        <f>CONCATENATE("'",'Inverter-Full Data'!#REF!,"     ",'Inverter-Full Data'!#REF!,",",'Inverter-Full Data'!#REF!,",",'Inverter-Full Data'!#REF!,",",'Inverter-Full Data'!#REF!,"'")</f>
        <v>#REF!</v>
      </c>
    </row>
    <row r="1455" spans="1:1">
      <c r="A1455" s="2" t="e">
        <f>CONCATENATE("'",'Inverter-Full Data'!#REF!,"     ",'Inverter-Full Data'!#REF!,",",'Inverter-Full Data'!#REF!,",",'Inverter-Full Data'!#REF!,",",'Inverter-Full Data'!#REF!,"'")</f>
        <v>#REF!</v>
      </c>
    </row>
    <row r="1456" spans="1:1">
      <c r="A1456" s="2" t="e">
        <f>CONCATENATE("'",'Inverter-Full Data'!#REF!,"     ",'Inverter-Full Data'!#REF!,",",'Inverter-Full Data'!#REF!,",",'Inverter-Full Data'!#REF!,",",'Inverter-Full Data'!#REF!,"'")</f>
        <v>#REF!</v>
      </c>
    </row>
    <row r="1457" spans="1:1">
      <c r="A1457" s="2" t="e">
        <f>CONCATENATE("'",'Inverter-Full Data'!#REF!,"     ",'Inverter-Full Data'!#REF!,",",'Inverter-Full Data'!#REF!,",",'Inverter-Full Data'!#REF!,",",'Inverter-Full Data'!#REF!,"'")</f>
        <v>#REF!</v>
      </c>
    </row>
    <row r="1458" spans="1:1">
      <c r="A1458" s="2" t="e">
        <f>CONCATENATE("'",'Inverter-Full Data'!#REF!,"     ",'Inverter-Full Data'!#REF!,",",'Inverter-Full Data'!#REF!,",",'Inverter-Full Data'!#REF!,",",'Inverter-Full Data'!#REF!,"'")</f>
        <v>#REF!</v>
      </c>
    </row>
    <row r="1459" spans="1:1">
      <c r="A1459" s="2" t="e">
        <f>CONCATENATE("'",'Inverter-Full Data'!#REF!,"     ",'Inverter-Full Data'!#REF!,",",'Inverter-Full Data'!#REF!,",",'Inverter-Full Data'!#REF!,",",'Inverter-Full Data'!#REF!,"'")</f>
        <v>#REF!</v>
      </c>
    </row>
    <row r="1460" spans="1:1">
      <c r="A1460" s="2" t="e">
        <f>CONCATENATE("'",'Inverter-Full Data'!#REF!,"     ",'Inverter-Full Data'!#REF!,",",'Inverter-Full Data'!#REF!,",",'Inverter-Full Data'!#REF!,",",'Inverter-Full Data'!#REF!,"'")</f>
        <v>#REF!</v>
      </c>
    </row>
    <row r="1461" spans="1:1">
      <c r="A1461" s="2" t="str">
        <f>CONCATENATE("'",'Inverter-Full Data'!A246,"     ",'Inverter-Full Data'!B246,",",'Inverter-Full Data'!S246,",",'Inverter-Full Data'!J246,",",'Inverter-Full Data'!T246,"'")</f>
        <v>'EPC Power Corp.     50-100A-BCDEF-G [480V],N,97,N'</v>
      </c>
    </row>
    <row r="1462" spans="1:1">
      <c r="A1462" s="2" t="e">
        <f>CONCATENATE("'",'Inverter-Full Data'!#REF!,"     ",'Inverter-Full Data'!#REF!,",",'Inverter-Full Data'!#REF!,",",'Inverter-Full Data'!#REF!,",",'Inverter-Full Data'!#REF!,"'")</f>
        <v>#REF!</v>
      </c>
    </row>
    <row r="1463" spans="1:1">
      <c r="A1463" s="2" t="e">
        <f>CONCATENATE("'",'Inverter-Full Data'!#REF!,"     ",'Inverter-Full Data'!#REF!,",",'Inverter-Full Data'!#REF!,",",'Inverter-Full Data'!#REF!,",",'Inverter-Full Data'!#REF!,"'")</f>
        <v>#REF!</v>
      </c>
    </row>
    <row r="1464" spans="1:1">
      <c r="A1464" s="2" t="e">
        <f>CONCATENATE("'",'Inverter-Full Data'!#REF!,"     ",'Inverter-Full Data'!#REF!,",",'Inverter-Full Data'!#REF!,",",'Inverter-Full Data'!#REF!,",",'Inverter-Full Data'!#REF!,"'")</f>
        <v>#REF!</v>
      </c>
    </row>
    <row r="1465" spans="1:1">
      <c r="A1465" s="2" t="e">
        <f>CONCATENATE("'",'Inverter-Full Data'!#REF!,"     ",'Inverter-Full Data'!#REF!,",",'Inverter-Full Data'!#REF!,",",'Inverter-Full Data'!#REF!,",",'Inverter-Full Data'!#REF!,"'")</f>
        <v>#REF!</v>
      </c>
    </row>
    <row r="1466" spans="1:1">
      <c r="A1466" s="2" t="e">
        <f>CONCATENATE("'",'Inverter-Full Data'!#REF!,"     ",'Inverter-Full Data'!#REF!,",",'Inverter-Full Data'!#REF!,",",'Inverter-Full Data'!#REF!,",",'Inverter-Full Data'!#REF!,"'")</f>
        <v>#REF!</v>
      </c>
    </row>
    <row r="1467" spans="1:1">
      <c r="A1467" s="2" t="e">
        <f>CONCATENATE("'",'Inverter-Full Data'!#REF!,"     ",'Inverter-Full Data'!#REF!,",",'Inverter-Full Data'!#REF!,",",'Inverter-Full Data'!#REF!,",",'Inverter-Full Data'!#REF!,"'")</f>
        <v>#REF!</v>
      </c>
    </row>
    <row r="1468" spans="1:1">
      <c r="A1468" s="2" t="e">
        <f>CONCATENATE("'",'Inverter-Full Data'!#REF!,"     ",'Inverter-Full Data'!#REF!,",",'Inverter-Full Data'!#REF!,",",'Inverter-Full Data'!#REF!,",",'Inverter-Full Data'!#REF!,"'")</f>
        <v>#REF!</v>
      </c>
    </row>
    <row r="1469" spans="1:1">
      <c r="A1469" s="2" t="e">
        <f>CONCATENATE("'",'Inverter-Full Data'!#REF!,"     ",'Inverter-Full Data'!#REF!,",",'Inverter-Full Data'!#REF!,",",'Inverter-Full Data'!#REF!,",",'Inverter-Full Data'!#REF!,"'")</f>
        <v>#REF!</v>
      </c>
    </row>
    <row r="1470" spans="1:1">
      <c r="A1470" s="2" t="e">
        <f>CONCATENATE("'",'Inverter-Full Data'!#REF!,"     ",'Inverter-Full Data'!#REF!,",",'Inverter-Full Data'!#REF!,",",'Inverter-Full Data'!#REF!,",",'Inverter-Full Data'!#REF!,"'")</f>
        <v>#REF!</v>
      </c>
    </row>
    <row r="1471" spans="1:1">
      <c r="A1471" s="2" t="e">
        <f>CONCATENATE("'",'Inverter-Full Data'!#REF!,"     ",'Inverter-Full Data'!#REF!,",",'Inverter-Full Data'!#REF!,",",'Inverter-Full Data'!#REF!,",",'Inverter-Full Data'!#REF!,"'")</f>
        <v>#REF!</v>
      </c>
    </row>
    <row r="1472" spans="1:1">
      <c r="A1472" s="2" t="e">
        <f>CONCATENATE("'",'Inverter-Full Data'!#REF!,"     ",'Inverter-Full Data'!#REF!,",",'Inverter-Full Data'!#REF!,",",'Inverter-Full Data'!#REF!,",",'Inverter-Full Data'!#REF!,"'")</f>
        <v>#REF!</v>
      </c>
    </row>
    <row r="1473" spans="1:1">
      <c r="A1473" s="2" t="e">
        <f>CONCATENATE("'",'Inverter-Full Data'!#REF!,"     ",'Inverter-Full Data'!#REF!,",",'Inverter-Full Data'!#REF!,",",'Inverter-Full Data'!#REF!,",",'Inverter-Full Data'!#REF!,"'")</f>
        <v>#REF!</v>
      </c>
    </row>
    <row r="1474" spans="1:1">
      <c r="A1474" s="2" t="e">
        <f>CONCATENATE("'",'Inverter-Full Data'!#REF!,"     ",'Inverter-Full Data'!#REF!,",",'Inverter-Full Data'!#REF!,",",'Inverter-Full Data'!#REF!,",",'Inverter-Full Data'!#REF!,"'")</f>
        <v>#REF!</v>
      </c>
    </row>
    <row r="1475" spans="1:1">
      <c r="A1475" s="2" t="e">
        <f>CONCATENATE("'",'Inverter-Full Data'!#REF!,"     ",'Inverter-Full Data'!#REF!,",",'Inverter-Full Data'!#REF!,",",'Inverter-Full Data'!#REF!,",",'Inverter-Full Data'!#REF!,"'")</f>
        <v>#REF!</v>
      </c>
    </row>
    <row r="1476" spans="1:1">
      <c r="A1476" s="2" t="e">
        <f>CONCATENATE("'",'Inverter-Full Data'!#REF!,"     ",'Inverter-Full Data'!#REF!,",",'Inverter-Full Data'!#REF!,",",'Inverter-Full Data'!#REF!,",",'Inverter-Full Data'!#REF!,"'")</f>
        <v>#REF!</v>
      </c>
    </row>
    <row r="1477" spans="1:1">
      <c r="A1477" s="2" t="e">
        <f>CONCATENATE("'",'Inverter-Full Data'!#REF!,"     ",'Inverter-Full Data'!#REF!,",",'Inverter-Full Data'!#REF!,",",'Inverter-Full Data'!#REF!,",",'Inverter-Full Data'!#REF!,"'")</f>
        <v>#REF!</v>
      </c>
    </row>
    <row r="1478" spans="1:1">
      <c r="A1478" s="2" t="e">
        <f>CONCATENATE("'",'Inverter-Full Data'!#REF!,"     ",'Inverter-Full Data'!#REF!,",",'Inverter-Full Data'!#REF!,",",'Inverter-Full Data'!#REF!,",",'Inverter-Full Data'!#REF!,"'")</f>
        <v>#REF!</v>
      </c>
    </row>
    <row r="1479" spans="1:1">
      <c r="A1479" s="2" t="e">
        <f>CONCATENATE("'",'Inverter-Full Data'!#REF!,"     ",'Inverter-Full Data'!#REF!,",",'Inverter-Full Data'!#REF!,",",'Inverter-Full Data'!#REF!,",",'Inverter-Full Data'!#REF!,"'")</f>
        <v>#REF!</v>
      </c>
    </row>
    <row r="1480" spans="1:1">
      <c r="A1480" s="2" t="e">
        <f>CONCATENATE("'",'Inverter-Full Data'!#REF!,"     ",'Inverter-Full Data'!#REF!,",",'Inverter-Full Data'!#REF!,",",'Inverter-Full Data'!#REF!,",",'Inverter-Full Data'!#REF!,"'")</f>
        <v>#REF!</v>
      </c>
    </row>
    <row r="1481" spans="1:1">
      <c r="A1481" s="2" t="str">
        <f>CONCATENATE("'",'Inverter-Full Data'!A247,"     ",'Inverter-Full Data'!B247,",",'Inverter-Full Data'!S247,",",'Inverter-Full Data'!J247,",",'Inverter-Full Data'!T247,"'")</f>
        <v>'EPC Power Corp.      HY LC12/6-7 [480V],N,96,N'</v>
      </c>
    </row>
    <row r="1482" spans="1:1">
      <c r="A1482" s="2" t="str">
        <f>CONCATENATE("'",'Inverter-Full Data'!A248,"     ",'Inverter-Full Data'!B248,",",'Inverter-Full Data'!S248,",",'Inverter-Full Data'!J248,",",'Inverter-Full Data'!T248,"'")</f>
        <v>'Fronius International GmbH     Fronius Primo 10.0-1 208-240 [208V],Y,96.5,N'</v>
      </c>
    </row>
    <row r="1483" spans="1:1">
      <c r="A1483" s="2" t="str">
        <f>CONCATENATE("'",'Inverter-Full Data'!A249,"     ",'Inverter-Full Data'!B249,",",'Inverter-Full Data'!S249,",",'Inverter-Full Data'!J249,",",'Inverter-Full Data'!T249,"'")</f>
        <v>'Fronius International GmbH     Fronius Primo 10.0-1 208-240 [240V],Y,96.5,N'</v>
      </c>
    </row>
    <row r="1484" spans="1:1">
      <c r="A1484" s="2" t="str">
        <f>CONCATENATE("'",'Inverter-Full Data'!A250,"     ",'Inverter-Full Data'!B250,",",'Inverter-Full Data'!S250,",",'Inverter-Full Data'!J250,",",'Inverter-Full Data'!T250,"'")</f>
        <v>'Fronius International GmbH     Fronius Primo 11.4-1 208-240 [208V],Y,96.5,N'</v>
      </c>
    </row>
    <row r="1485" spans="1:1">
      <c r="A1485" s="2" t="str">
        <f>CONCATENATE("'",'Inverter-Full Data'!A251,"     ",'Inverter-Full Data'!B251,",",'Inverter-Full Data'!S251,",",'Inverter-Full Data'!J251,",",'Inverter-Full Data'!T251,"'")</f>
        <v>'Fronius International GmbH     Fronius Primo 11.4-1 208-240 [240V],Y,96.5,N'</v>
      </c>
    </row>
    <row r="1486" spans="1:1">
      <c r="A1486" s="2" t="str">
        <f>CONCATENATE("'",'Inverter-Full Data'!A252,"     ",'Inverter-Full Data'!B252,",",'Inverter-Full Data'!S252,",",'Inverter-Full Data'!J252,",",'Inverter-Full Data'!T252,"'")</f>
        <v>'Fronius International GmbH     Fronius Primo 12.5-1 208-240 [208V],Y,96.5,N'</v>
      </c>
    </row>
    <row r="1487" spans="1:1">
      <c r="A1487" s="2" t="e">
        <f>CONCATENATE("'",'Inverter-Full Data'!#REF!,"     ",'Inverter-Full Data'!#REF!,",",'Inverter-Full Data'!#REF!,",",'Inverter-Full Data'!#REF!,",",'Inverter-Full Data'!#REF!,"'")</f>
        <v>#REF!</v>
      </c>
    </row>
    <row r="1488" spans="1:1">
      <c r="A1488" s="2" t="e">
        <f>CONCATENATE("'",'Inverter-Full Data'!#REF!,"     ",'Inverter-Full Data'!#REF!,",",'Inverter-Full Data'!#REF!,",",'Inverter-Full Data'!#REF!,",",'Inverter-Full Data'!#REF!,"'")</f>
        <v>#REF!</v>
      </c>
    </row>
    <row r="1489" spans="1:1">
      <c r="A1489" s="2" t="e">
        <f>CONCATENATE("'",'Inverter-Full Data'!#REF!,"     ",'Inverter-Full Data'!#REF!,",",'Inverter-Full Data'!#REF!,",",'Inverter-Full Data'!#REF!,",",'Inverter-Full Data'!#REF!,"'")</f>
        <v>#REF!</v>
      </c>
    </row>
    <row r="1490" spans="1:1">
      <c r="A1490" s="2" t="e">
        <f>CONCATENATE("'",'Inverter-Full Data'!#REF!,"     ",'Inverter-Full Data'!#REF!,",",'Inverter-Full Data'!#REF!,",",'Inverter-Full Data'!#REF!,",",'Inverter-Full Data'!#REF!,"'")</f>
        <v>#REF!</v>
      </c>
    </row>
    <row r="1491" spans="1:1">
      <c r="A1491" s="2" t="str">
        <f>CONCATENATE("'",'Inverter-Full Data'!A253,"     ",'Inverter-Full Data'!B253,",",'Inverter-Full Data'!S253,",",'Inverter-Full Data'!J253,",",'Inverter-Full Data'!T253,"'")</f>
        <v>'Fronius International GmbH     Fronius Primo 12.5-1 208-240 [240V],Y,96.5,N'</v>
      </c>
    </row>
    <row r="1492" spans="1:1">
      <c r="A1492" s="2" t="e">
        <f>CONCATENATE("'",'Inverter-Full Data'!#REF!,"     ",'Inverter-Full Data'!#REF!,",",'Inverter-Full Data'!#REF!,",",'Inverter-Full Data'!#REF!,",",'Inverter-Full Data'!#REF!,"'")</f>
        <v>#REF!</v>
      </c>
    </row>
    <row r="1493" spans="1:1">
      <c r="A1493" s="2" t="str">
        <f>CONCATENATE("'",'Inverter-Full Data'!A254,"     ",'Inverter-Full Data'!B254,",",'Inverter-Full Data'!S254,",",'Inverter-Full Data'!J254,",",'Inverter-Full Data'!T254,"'")</f>
        <v>'Fronius International GmbH     Fronius Primo 15.0-1 208-240 [208V],Y,97,N'</v>
      </c>
    </row>
    <row r="1494" spans="1:1">
      <c r="A1494" s="2" t="e">
        <f>CONCATENATE("'",'Inverter-Full Data'!#REF!,"     ",'Inverter-Full Data'!#REF!,",",'Inverter-Full Data'!#REF!,",",'Inverter-Full Data'!#REF!,",",'Inverter-Full Data'!#REF!,"'")</f>
        <v>#REF!</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str">
        <f>CONCATENATE("'",'Inverter-Full Data'!A255,"     ",'Inverter-Full Data'!B255,",",'Inverter-Full Data'!S255,",",'Inverter-Full Data'!J255,",",'Inverter-Full Data'!T255,"'")</f>
        <v>'Fronius International GmbH     Fronius Primo 15.0-1 208-240 [240V],Y,97,N'</v>
      </c>
    </row>
    <row r="1498" spans="1:1">
      <c r="A1498" s="2" t="e">
        <f>CONCATENATE("'",'Inverter-Full Data'!#REF!,"     ",'Inverter-Full Data'!#REF!,",",'Inverter-Full Data'!#REF!,",",'Inverter-Full Data'!#REF!,",",'Inverter-Full Data'!#REF!,"'")</f>
        <v>#REF!</v>
      </c>
    </row>
    <row r="1499" spans="1:1">
      <c r="A1499" s="2" t="e">
        <f>CONCATENATE("'",'Inverter-Full Data'!#REF!,"     ",'Inverter-Full Data'!#REF!,",",'Inverter-Full Data'!#REF!,",",'Inverter-Full Data'!#REF!,",",'Inverter-Full Data'!#REF!,"'")</f>
        <v>#REF!</v>
      </c>
    </row>
    <row r="1500" spans="1:1">
      <c r="A1500" s="2" t="e">
        <f>CONCATENATE("'",'Inverter-Full Data'!#REF!,"     ",'Inverter-Full Data'!#REF!,",",'Inverter-Full Data'!#REF!,",",'Inverter-Full Data'!#REF!,",",'Inverter-Full Data'!#REF!,"'")</f>
        <v>#REF!</v>
      </c>
    </row>
    <row r="1501" spans="1:1">
      <c r="A1501" s="2" t="str">
        <f>CONCATENATE("'",'Inverter-Full Data'!A256,"     ",'Inverter-Full Data'!B256,",",'Inverter-Full Data'!S256,",",'Inverter-Full Data'!J256,",",'Inverter-Full Data'!T256,"'")</f>
        <v>'Fronius International GmbH     Fronius Primo 3.8-1 208-240 [208V],Y,96,N'</v>
      </c>
    </row>
    <row r="1502" spans="1:1">
      <c r="A1502" s="2" t="e">
        <f>CONCATENATE("'",'Inverter-Full Data'!#REF!,"     ",'Inverter-Full Data'!#REF!,",",'Inverter-Full Data'!#REF!,",",'Inverter-Full Data'!#REF!,",",'Inverter-Full Data'!#REF!,"'")</f>
        <v>#REF!</v>
      </c>
    </row>
    <row r="1503" spans="1:1">
      <c r="A1503" s="2" t="e">
        <f>CONCATENATE("'",'Inverter-Full Data'!#REF!,"     ",'Inverter-Full Data'!#REF!,",",'Inverter-Full Data'!#REF!,",",'Inverter-Full Data'!#REF!,",",'Inverter-Full Data'!#REF!,"'")</f>
        <v>#REF!</v>
      </c>
    </row>
    <row r="1504" spans="1:1">
      <c r="A1504" s="2" t="str">
        <f>CONCATENATE("'",'Inverter-Full Data'!A258,"     ",'Inverter-Full Data'!B258,",",'Inverter-Full Data'!S258,",",'Inverter-Full Data'!J258,",",'Inverter-Full Data'!T258,"'")</f>
        <v>'Fronius International GmbH     Fronius Primo 5.0-1 208-240 [208V],Y,96.5,N'</v>
      </c>
    </row>
    <row r="1505" spans="1:1">
      <c r="A1505" s="2" t="str">
        <f>CONCATENATE("'",'Inverter-Full Data'!A259,"     ",'Inverter-Full Data'!B259,",",'Inverter-Full Data'!S259,",",'Inverter-Full Data'!J259,",",'Inverter-Full Data'!T259,"'")</f>
        <v>'Fronius International GmbH     Fronius Primo 5.0-1 208-240 [240V],Y,96.5,N'</v>
      </c>
    </row>
    <row r="1506" spans="1:1">
      <c r="A1506" s="2" t="e">
        <f>CONCATENATE("'",'Inverter-Full Data'!#REF!,"     ",'Inverter-Full Data'!#REF!,",",'Inverter-Full Data'!#REF!,",",'Inverter-Full Data'!#REF!,",",'Inverter-Full Data'!#REF!,"'")</f>
        <v>#REF!</v>
      </c>
    </row>
    <row r="1507" spans="1:1">
      <c r="A1507" s="2" t="str">
        <f>CONCATENATE("'",'Inverter-Full Data'!A260,"     ",'Inverter-Full Data'!B260,",",'Inverter-Full Data'!S260,",",'Inverter-Full Data'!J260,",",'Inverter-Full Data'!T260,"'")</f>
        <v>'Fronius International GmbH     Fronius Primo 6.0-1 208-240 [208V],Y,96.5,N'</v>
      </c>
    </row>
    <row r="1508" spans="1:1">
      <c r="A1508" s="2" t="e">
        <f>CONCATENATE("'",'Inverter-Full Data'!#REF!,"     ",'Inverter-Full Data'!#REF!,",",'Inverter-Full Data'!#REF!,",",'Inverter-Full Data'!#REF!,",",'Inverter-Full Data'!#REF!,"'")</f>
        <v>#REF!</v>
      </c>
    </row>
    <row r="1509" spans="1:1">
      <c r="A1509" s="2" t="str">
        <f>CONCATENATE("'",'Inverter-Full Data'!A261,"     ",'Inverter-Full Data'!B261,",",'Inverter-Full Data'!S261,",",'Inverter-Full Data'!J261,",",'Inverter-Full Data'!T261,"'")</f>
        <v>'Fronius International GmbH     Fronius Primo 6.0-1 208-240 [240V],Y,96.5,N'</v>
      </c>
    </row>
    <row r="1510" spans="1:1">
      <c r="A1510" s="2" t="e">
        <f>CONCATENATE("'",'Inverter-Full Data'!#REF!,"     ",'Inverter-Full Data'!#REF!,",",'Inverter-Full Data'!#REF!,",",'Inverter-Full Data'!#REF!,",",'Inverter-Full Data'!#REF!,"'")</f>
        <v>#REF!</v>
      </c>
    </row>
    <row r="1511" spans="1:1">
      <c r="A1511" s="2" t="e">
        <f>CONCATENATE("'",'Inverter-Full Data'!#REF!,"     ",'Inverter-Full Data'!#REF!,",",'Inverter-Full Data'!#REF!,",",'Inverter-Full Data'!#REF!,",",'Inverter-Full Data'!#REF!,"'")</f>
        <v>#REF!</v>
      </c>
    </row>
    <row r="1512" spans="1:1">
      <c r="A1512" s="2" t="e">
        <f>CONCATENATE("'",'Inverter-Full Data'!#REF!,"     ",'Inverter-Full Data'!#REF!,",",'Inverter-Full Data'!#REF!,",",'Inverter-Full Data'!#REF!,",",'Inverter-Full Data'!#REF!,"'")</f>
        <v>#REF!</v>
      </c>
    </row>
    <row r="1513" spans="1:1">
      <c r="A1513" s="2" t="e">
        <f>CONCATENATE("'",'Inverter-Full Data'!#REF!,"     ",'Inverter-Full Data'!#REF!,",",'Inverter-Full Data'!#REF!,",",'Inverter-Full Data'!#REF!,",",'Inverter-Full Data'!#REF!,"'")</f>
        <v>#REF!</v>
      </c>
    </row>
    <row r="1514" spans="1:1">
      <c r="A1514" s="2" t="e">
        <f>CONCATENATE("'",'Inverter-Full Data'!#REF!,"     ",'Inverter-Full Data'!#REF!,",",'Inverter-Full Data'!#REF!,",",'Inverter-Full Data'!#REF!,",",'Inverter-Full Data'!#REF!,"'")</f>
        <v>#REF!</v>
      </c>
    </row>
    <row r="1515" spans="1:1">
      <c r="A1515" s="2" t="e">
        <f>CONCATENATE("'",'Inverter-Full Data'!#REF!,"     ",'Inverter-Full Data'!#REF!,",",'Inverter-Full Data'!#REF!,",",'Inverter-Full Data'!#REF!,",",'Inverter-Full Data'!#REF!,"'")</f>
        <v>#REF!</v>
      </c>
    </row>
    <row r="1516" spans="1:1">
      <c r="A1516" s="2" t="e">
        <f>CONCATENATE("'",'Inverter-Full Data'!#REF!,"     ",'Inverter-Full Data'!#REF!,",",'Inverter-Full Data'!#REF!,",",'Inverter-Full Data'!#REF!,",",'Inverter-Full Data'!#REF!,"'")</f>
        <v>#REF!</v>
      </c>
    </row>
    <row r="1517" spans="1:1">
      <c r="A1517" s="2" t="e">
        <f>CONCATENATE("'",'Inverter-Full Data'!#REF!,"     ",'Inverter-Full Data'!#REF!,",",'Inverter-Full Data'!#REF!,",",'Inverter-Full Data'!#REF!,",",'Inverter-Full Data'!#REF!,"'")</f>
        <v>#REF!</v>
      </c>
    </row>
    <row r="1518" spans="1:1">
      <c r="A1518" s="2" t="e">
        <f>CONCATENATE("'",'Inverter-Full Data'!#REF!,"     ",'Inverter-Full Data'!#REF!,",",'Inverter-Full Data'!#REF!,",",'Inverter-Full Data'!#REF!,",",'Inverter-Full Data'!#REF!,"'")</f>
        <v>#REF!</v>
      </c>
    </row>
    <row r="1519" spans="1:1">
      <c r="A1519" s="2" t="e">
        <f>CONCATENATE("'",'Inverter-Full Data'!#REF!,"     ",'Inverter-Full Data'!#REF!,",",'Inverter-Full Data'!#REF!,",",'Inverter-Full Data'!#REF!,",",'Inverter-Full Data'!#REF!,"'")</f>
        <v>#REF!</v>
      </c>
    </row>
    <row r="1520" spans="1:1">
      <c r="A1520" s="2" t="e">
        <f>CONCATENATE("'",'Inverter-Full Data'!#REF!,"     ",'Inverter-Full Data'!#REF!,",",'Inverter-Full Data'!#REF!,",",'Inverter-Full Data'!#REF!,",",'Inverter-Full Data'!#REF!,"'")</f>
        <v>#REF!</v>
      </c>
    </row>
    <row r="1521" spans="1:1">
      <c r="A1521" s="2" t="e">
        <f>CONCATENATE("'",'Inverter-Full Data'!#REF!,"     ",'Inverter-Full Data'!#REF!,",",'Inverter-Full Data'!#REF!,",",'Inverter-Full Data'!#REF!,",",'Inverter-Full Data'!#REF!,"'")</f>
        <v>#REF!</v>
      </c>
    </row>
    <row r="1522" spans="1:1">
      <c r="A1522" s="2" t="e">
        <f>CONCATENATE("'",'Inverter-Full Data'!#REF!,"     ",'Inverter-Full Data'!#REF!,",",'Inverter-Full Data'!#REF!,",",'Inverter-Full Data'!#REF!,",",'Inverter-Full Data'!#REF!,"'")</f>
        <v>#REF!</v>
      </c>
    </row>
    <row r="1523" spans="1:1">
      <c r="A1523" s="2" t="e">
        <f>CONCATENATE("'",'Inverter-Full Data'!#REF!,"     ",'Inverter-Full Data'!#REF!,",",'Inverter-Full Data'!#REF!,",",'Inverter-Full Data'!#REF!,",",'Inverter-Full Data'!#REF!,"'")</f>
        <v>#REF!</v>
      </c>
    </row>
    <row r="1524" spans="1:1">
      <c r="A1524" s="2" t="e">
        <f>CONCATENATE("'",'Inverter-Full Data'!#REF!,"     ",'Inverter-Full Data'!#REF!,",",'Inverter-Full Data'!#REF!,",",'Inverter-Full Data'!#REF!,",",'Inverter-Full Data'!#REF!,"'")</f>
        <v>#REF!</v>
      </c>
    </row>
    <row r="1525" spans="1:1">
      <c r="A1525" s="2" t="e">
        <f>CONCATENATE("'",'Inverter-Full Data'!#REF!,"     ",'Inverter-Full Data'!#REF!,",",'Inverter-Full Data'!#REF!,",",'Inverter-Full Data'!#REF!,",",'Inverter-Full Data'!#REF!,"'")</f>
        <v>#REF!</v>
      </c>
    </row>
    <row r="1526" spans="1:1">
      <c r="A1526" s="2" t="e">
        <f>CONCATENATE("'",'Inverter-Full Data'!#REF!,"     ",'Inverter-Full Data'!#REF!,",",'Inverter-Full Data'!#REF!,",",'Inverter-Full Data'!#REF!,",",'Inverter-Full Data'!#REF!,"'")</f>
        <v>#REF!</v>
      </c>
    </row>
    <row r="1527" spans="1:1">
      <c r="A1527" s="2" t="e">
        <f>CONCATENATE("'",'Inverter-Full Data'!#REF!,"     ",'Inverter-Full Data'!#REF!,",",'Inverter-Full Data'!#REF!,",",'Inverter-Full Data'!#REF!,",",'Inverter-Full Data'!#REF!,"'")</f>
        <v>#REF!</v>
      </c>
    </row>
    <row r="1528" spans="1:1">
      <c r="A1528" s="2" t="e">
        <f>CONCATENATE("'",'Inverter-Full Data'!#REF!,"     ",'Inverter-Full Data'!#REF!,",",'Inverter-Full Data'!#REF!,",",'Inverter-Full Data'!#REF!,",",'Inverter-Full Data'!#REF!,"'")</f>
        <v>#REF!</v>
      </c>
    </row>
    <row r="1529" spans="1:1">
      <c r="A1529" s="2" t="e">
        <f>CONCATENATE("'",'Inverter-Full Data'!#REF!,"     ",'Inverter-Full Data'!#REF!,",",'Inverter-Full Data'!#REF!,",",'Inverter-Full Data'!#REF!,",",'Inverter-Full Data'!#REF!,"'")</f>
        <v>#REF!</v>
      </c>
    </row>
    <row r="1530" spans="1:1">
      <c r="A1530" s="2" t="e">
        <f>CONCATENATE("'",'Inverter-Full Data'!#REF!,"     ",'Inverter-Full Data'!#REF!,",",'Inverter-Full Data'!#REF!,",",'Inverter-Full Data'!#REF!,",",'Inverter-Full Data'!#REF!,"'")</f>
        <v>#REF!</v>
      </c>
    </row>
    <row r="1531" spans="1:1">
      <c r="A1531" s="2" t="e">
        <f>CONCATENATE("'",'Inverter-Full Data'!#REF!,"     ",'Inverter-Full Data'!#REF!,",",'Inverter-Full Data'!#REF!,",",'Inverter-Full Data'!#REF!,",",'Inverter-Full Data'!#REF!,"'")</f>
        <v>#REF!</v>
      </c>
    </row>
    <row r="1532" spans="1:1">
      <c r="A1532" s="2" t="e">
        <f>CONCATENATE("'",'Inverter-Full Data'!#REF!,"     ",'Inverter-Full Data'!#REF!,",",'Inverter-Full Data'!#REF!,",",'Inverter-Full Data'!#REF!,",",'Inverter-Full Data'!#REF!,"'")</f>
        <v>#REF!</v>
      </c>
    </row>
    <row r="1533" spans="1:1">
      <c r="A1533" s="2" t="e">
        <f>CONCATENATE("'",'Inverter-Full Data'!#REF!,"     ",'Inverter-Full Data'!#REF!,",",'Inverter-Full Data'!#REF!,",",'Inverter-Full Data'!#REF!,",",'Inverter-Full Data'!#REF!,"'")</f>
        <v>#REF!</v>
      </c>
    </row>
    <row r="1534" spans="1:1">
      <c r="A1534" s="2" t="e">
        <f>CONCATENATE("'",'Inverter-Full Data'!#REF!,"     ",'Inverter-Full Data'!#REF!,",",'Inverter-Full Data'!#REF!,",",'Inverter-Full Data'!#REF!,",",'Inverter-Full Data'!#REF!,"'")</f>
        <v>#REF!</v>
      </c>
    </row>
    <row r="1535" spans="1:1">
      <c r="A1535" s="2" t="e">
        <f>CONCATENATE("'",'Inverter-Full Data'!#REF!,"     ",'Inverter-Full Data'!#REF!,",",'Inverter-Full Data'!#REF!,",",'Inverter-Full Data'!#REF!,",",'Inverter-Full Data'!#REF!,"'")</f>
        <v>#REF!</v>
      </c>
    </row>
    <row r="1536" spans="1:1">
      <c r="A1536" s="2" t="e">
        <f>CONCATENATE("'",'Inverter-Full Data'!#REF!,"     ",'Inverter-Full Data'!#REF!,",",'Inverter-Full Data'!#REF!,",",'Inverter-Full Data'!#REF!,",",'Inverter-Full Data'!#REF!,"'")</f>
        <v>#REF!</v>
      </c>
    </row>
    <row r="1537" spans="1:1">
      <c r="A1537" s="2" t="e">
        <f>CONCATENATE("'",'Inverter-Full Data'!#REF!,"     ",'Inverter-Full Data'!#REF!,",",'Inverter-Full Data'!#REF!,",",'Inverter-Full Data'!#REF!,",",'Inverter-Full Data'!#REF!,"'")</f>
        <v>#REF!</v>
      </c>
    </row>
    <row r="1538" spans="1:1">
      <c r="A1538" s="2" t="e">
        <f>CONCATENATE("'",'Inverter-Full Data'!#REF!,"     ",'Inverter-Full Data'!#REF!,",",'Inverter-Full Data'!#REF!,",",'Inverter-Full Data'!#REF!,",",'Inverter-Full Data'!#REF!,"'")</f>
        <v>#REF!</v>
      </c>
    </row>
    <row r="1539" spans="1:1">
      <c r="A1539" s="2" t="e">
        <f>CONCATENATE("'",'Inverter-Full Data'!#REF!,"     ",'Inverter-Full Data'!#REF!,",",'Inverter-Full Data'!#REF!,",",'Inverter-Full Data'!#REF!,",",'Inverter-Full Data'!#REF!,"'")</f>
        <v>#REF!</v>
      </c>
    </row>
    <row r="1540" spans="1:1">
      <c r="A1540" s="2" t="e">
        <f>CONCATENATE("'",'Inverter-Full Data'!#REF!,"     ",'Inverter-Full Data'!#REF!,",",'Inverter-Full Data'!#REF!,",",'Inverter-Full Data'!#REF!,",",'Inverter-Full Data'!#REF!,"'")</f>
        <v>#REF!</v>
      </c>
    </row>
    <row r="1541" spans="1:1">
      <c r="A1541" s="2" t="e">
        <f>CONCATENATE("'",'Inverter-Full Data'!#REF!,"     ",'Inverter-Full Data'!#REF!,",",'Inverter-Full Data'!#REF!,",",'Inverter-Full Data'!#REF!,",",'Inverter-Full Data'!#REF!,"'")</f>
        <v>#REF!</v>
      </c>
    </row>
    <row r="1542" spans="1:1">
      <c r="A1542" s="2" t="e">
        <f>CONCATENATE("'",'Inverter-Full Data'!#REF!,"     ",'Inverter-Full Data'!#REF!,",",'Inverter-Full Data'!#REF!,",",'Inverter-Full Data'!#REF!,",",'Inverter-Full Data'!#REF!,"'")</f>
        <v>#REF!</v>
      </c>
    </row>
    <row r="1543" spans="1:1">
      <c r="A1543" s="2" t="e">
        <f>CONCATENATE("'",'Inverter-Full Data'!#REF!,"     ",'Inverter-Full Data'!#REF!,",",'Inverter-Full Data'!#REF!,",",'Inverter-Full Data'!#REF!,",",'Inverter-Full Data'!#REF!,"'")</f>
        <v>#REF!</v>
      </c>
    </row>
    <row r="1544" spans="1:1">
      <c r="A1544" s="2" t="e">
        <f>CONCATENATE("'",'Inverter-Full Data'!#REF!,"     ",'Inverter-Full Data'!#REF!,",",'Inverter-Full Data'!#REF!,",",'Inverter-Full Data'!#REF!,",",'Inverter-Full Data'!#REF!,"'")</f>
        <v>#REF!</v>
      </c>
    </row>
    <row r="1545" spans="1:1">
      <c r="A1545" s="2" t="e">
        <f>CONCATENATE("'",'Inverter-Full Data'!#REF!,"     ",'Inverter-Full Data'!#REF!,",",'Inverter-Full Data'!#REF!,",",'Inverter-Full Data'!#REF!,",",'Inverter-Full Data'!#REF!,"'")</f>
        <v>#REF!</v>
      </c>
    </row>
    <row r="1546" spans="1:1">
      <c r="A1546" s="2" t="e">
        <f>CONCATENATE("'",'Inverter-Full Data'!#REF!,"     ",'Inverter-Full Data'!#REF!,",",'Inverter-Full Data'!#REF!,",",'Inverter-Full Data'!#REF!,",",'Inverter-Full Data'!#REF!,"'")</f>
        <v>#REF!</v>
      </c>
    </row>
    <row r="1547" spans="1:1">
      <c r="A1547" s="2" t="e">
        <f>CONCATENATE("'",'Inverter-Full Data'!#REF!,"     ",'Inverter-Full Data'!#REF!,",",'Inverter-Full Data'!#REF!,",",'Inverter-Full Data'!#REF!,",",'Inverter-Full Data'!#REF!,"'")</f>
        <v>#REF!</v>
      </c>
    </row>
    <row r="1548" spans="1:1">
      <c r="A1548" s="2" t="e">
        <f>CONCATENATE("'",'Inverter-Full Data'!#REF!,"     ",'Inverter-Full Data'!#REF!,",",'Inverter-Full Data'!#REF!,",",'Inverter-Full Data'!#REF!,",",'Inverter-Full Data'!#REF!,"'")</f>
        <v>#REF!</v>
      </c>
    </row>
    <row r="1549" spans="1:1">
      <c r="A1549" s="2" t="e">
        <f>CONCATENATE("'",'Inverter-Full Data'!#REF!,"     ",'Inverter-Full Data'!#REF!,",",'Inverter-Full Data'!#REF!,",",'Inverter-Full Data'!#REF!,",",'Inverter-Full Data'!#REF!,"'")</f>
        <v>#REF!</v>
      </c>
    </row>
    <row r="1550" spans="1:1">
      <c r="A1550" s="2" t="e">
        <f>CONCATENATE("'",'Inverter-Full Data'!#REF!,"     ",'Inverter-Full Data'!#REF!,",",'Inverter-Full Data'!#REF!,",",'Inverter-Full Data'!#REF!,",",'Inverter-Full Data'!#REF!,"'")</f>
        <v>#REF!</v>
      </c>
    </row>
    <row r="1551" spans="1:1">
      <c r="A1551" s="2" t="e">
        <f>CONCATENATE("'",'Inverter-Full Data'!#REF!,"     ",'Inverter-Full Data'!#REF!,",",'Inverter-Full Data'!#REF!,",",'Inverter-Full Data'!#REF!,",",'Inverter-Full Data'!#REF!,"'")</f>
        <v>#REF!</v>
      </c>
    </row>
    <row r="1552" spans="1:1">
      <c r="A1552" s="2" t="e">
        <f>CONCATENATE("'",'Inverter-Full Data'!#REF!,"     ",'Inverter-Full Data'!#REF!,",",'Inverter-Full Data'!#REF!,",",'Inverter-Full Data'!#REF!,",",'Inverter-Full Data'!#REF!,"'")</f>
        <v>#REF!</v>
      </c>
    </row>
    <row r="1553" spans="1:1">
      <c r="A1553" s="2" t="e">
        <f>CONCATENATE("'",'Inverter-Full Data'!#REF!,"     ",'Inverter-Full Data'!#REF!,",",'Inverter-Full Data'!#REF!,",",'Inverter-Full Data'!#REF!,",",'Inverter-Full Data'!#REF!,"'")</f>
        <v>#REF!</v>
      </c>
    </row>
    <row r="1554" spans="1:1">
      <c r="A1554" s="2" t="e">
        <f>CONCATENATE("'",'Inverter-Full Data'!#REF!,"     ",'Inverter-Full Data'!#REF!,",",'Inverter-Full Data'!#REF!,",",'Inverter-Full Data'!#REF!,",",'Inverter-Full Data'!#REF!,"'")</f>
        <v>#REF!</v>
      </c>
    </row>
    <row r="1555" spans="1:1">
      <c r="A1555" s="2" t="e">
        <f>CONCATENATE("'",'Inverter-Full Data'!#REF!,"     ",'Inverter-Full Data'!#REF!,",",'Inverter-Full Data'!#REF!,",",'Inverter-Full Data'!#REF!,",",'Inverter-Full Data'!#REF!,"'")</f>
        <v>#REF!</v>
      </c>
    </row>
    <row r="1556" spans="1:1">
      <c r="A1556" s="2" t="e">
        <f>CONCATENATE("'",'Inverter-Full Data'!#REF!,"     ",'Inverter-Full Data'!#REF!,",",'Inverter-Full Data'!#REF!,",",'Inverter-Full Data'!#REF!,",",'Inverter-Full Data'!#REF!,"'")</f>
        <v>#REF!</v>
      </c>
    </row>
    <row r="1557" spans="1:1">
      <c r="A1557" s="2" t="e">
        <f>CONCATENATE("'",'Inverter-Full Data'!#REF!,"     ",'Inverter-Full Data'!#REF!,",",'Inverter-Full Data'!#REF!,",",'Inverter-Full Data'!#REF!,",",'Inverter-Full Data'!#REF!,"'")</f>
        <v>#REF!</v>
      </c>
    </row>
    <row r="1558" spans="1:1">
      <c r="A1558" s="2" t="e">
        <f>CONCATENATE("'",'Inverter-Full Data'!#REF!,"     ",'Inverter-Full Data'!#REF!,",",'Inverter-Full Data'!#REF!,",",'Inverter-Full Data'!#REF!,",",'Inverter-Full Data'!#REF!,"'")</f>
        <v>#REF!</v>
      </c>
    </row>
    <row r="1559" spans="1:1">
      <c r="A1559" s="2" t="e">
        <f>CONCATENATE("'",'Inverter-Full Data'!#REF!,"     ",'Inverter-Full Data'!#REF!,",",'Inverter-Full Data'!#REF!,",",'Inverter-Full Data'!#REF!,",",'Inverter-Full Data'!#REF!,"'")</f>
        <v>#REF!</v>
      </c>
    </row>
    <row r="1560" spans="1:1">
      <c r="A1560" s="2" t="e">
        <f>CONCATENATE("'",'Inverter-Full Data'!#REF!,"     ",'Inverter-Full Data'!#REF!,",",'Inverter-Full Data'!#REF!,",",'Inverter-Full Data'!#REF!,",",'Inverter-Full Data'!#REF!,"'")</f>
        <v>#REF!</v>
      </c>
    </row>
    <row r="1561" spans="1:1">
      <c r="A1561" s="2" t="e">
        <f>CONCATENATE("'",'Inverter-Full Data'!#REF!,"     ",'Inverter-Full Data'!#REF!,",",'Inverter-Full Data'!#REF!,",",'Inverter-Full Data'!#REF!,",",'Inverter-Full Data'!#REF!,"'")</f>
        <v>#REF!</v>
      </c>
    </row>
    <row r="1562" spans="1:1">
      <c r="A1562" s="2" t="e">
        <f>CONCATENATE("'",'Inverter-Full Data'!#REF!,"     ",'Inverter-Full Data'!#REF!,",",'Inverter-Full Data'!#REF!,",",'Inverter-Full Data'!#REF!,",",'Inverter-Full Data'!#REF!,"'")</f>
        <v>#REF!</v>
      </c>
    </row>
    <row r="1563" spans="1:1">
      <c r="A1563" s="2" t="e">
        <f>CONCATENATE("'",'Inverter-Full Data'!#REF!,"     ",'Inverter-Full Data'!#REF!,",",'Inverter-Full Data'!#REF!,",",'Inverter-Full Data'!#REF!,",",'Inverter-Full Data'!#REF!,"'")</f>
        <v>#REF!</v>
      </c>
    </row>
    <row r="1564" spans="1:1">
      <c r="A1564" s="2" t="e">
        <f>CONCATENATE("'",'Inverter-Full Data'!#REF!,"     ",'Inverter-Full Data'!#REF!,",",'Inverter-Full Data'!#REF!,",",'Inverter-Full Data'!#REF!,",",'Inverter-Full Data'!#REF!,"'")</f>
        <v>#REF!</v>
      </c>
    </row>
    <row r="1565" spans="1:1">
      <c r="A1565" s="2" t="e">
        <f>CONCATENATE("'",'Inverter-Full Data'!#REF!,"     ",'Inverter-Full Data'!#REF!,",",'Inverter-Full Data'!#REF!,",",'Inverter-Full Data'!#REF!,",",'Inverter-Full Data'!#REF!,"'")</f>
        <v>#REF!</v>
      </c>
    </row>
    <row r="1566" spans="1:1">
      <c r="A1566" s="2" t="e">
        <f>CONCATENATE("'",'Inverter-Full Data'!#REF!,"     ",'Inverter-Full Data'!#REF!,",",'Inverter-Full Data'!#REF!,",",'Inverter-Full Data'!#REF!,",",'Inverter-Full Data'!#REF!,"'")</f>
        <v>#REF!</v>
      </c>
    </row>
    <row r="1567" spans="1:1">
      <c r="A1567" s="2" t="e">
        <f>CONCATENATE("'",'Inverter-Full Data'!#REF!,"     ",'Inverter-Full Data'!#REF!,",",'Inverter-Full Data'!#REF!,",",'Inverter-Full Data'!#REF!,",",'Inverter-Full Data'!#REF!,"'")</f>
        <v>#REF!</v>
      </c>
    </row>
    <row r="1568" spans="1:1">
      <c r="A1568" s="2" t="e">
        <f>CONCATENATE("'",'Inverter-Full Data'!#REF!,"     ",'Inverter-Full Data'!#REF!,",",'Inverter-Full Data'!#REF!,",",'Inverter-Full Data'!#REF!,",",'Inverter-Full Data'!#REF!,"'")</f>
        <v>#REF!</v>
      </c>
    </row>
    <row r="1569" spans="1:1">
      <c r="A1569" s="2" t="e">
        <f>CONCATENATE("'",'Inverter-Full Data'!#REF!,"     ",'Inverter-Full Data'!#REF!,",",'Inverter-Full Data'!#REF!,",",'Inverter-Full Data'!#REF!,",",'Inverter-Full Data'!#REF!,"'")</f>
        <v>#REF!</v>
      </c>
    </row>
    <row r="1570" spans="1:1">
      <c r="A1570" s="2" t="e">
        <f>CONCATENATE("'",'Inverter-Full Data'!#REF!,"     ",'Inverter-Full Data'!#REF!,",",'Inverter-Full Data'!#REF!,",",'Inverter-Full Data'!#REF!,",",'Inverter-Full Data'!#REF!,"'")</f>
        <v>#REF!</v>
      </c>
    </row>
    <row r="1571" spans="1:1">
      <c r="A1571" s="2" t="e">
        <f>CONCATENATE("'",'Inverter-Full Data'!#REF!,"     ",'Inverter-Full Data'!#REF!,",",'Inverter-Full Data'!#REF!,",",'Inverter-Full Data'!#REF!,",",'Inverter-Full Data'!#REF!,"'")</f>
        <v>#REF!</v>
      </c>
    </row>
    <row r="1572" spans="1:1">
      <c r="A1572" s="2" t="e">
        <f>CONCATENATE("'",'Inverter-Full Data'!#REF!,"     ",'Inverter-Full Data'!#REF!,",",'Inverter-Full Data'!#REF!,",",'Inverter-Full Data'!#REF!,",",'Inverter-Full Data'!#REF!,"'")</f>
        <v>#REF!</v>
      </c>
    </row>
    <row r="1573" spans="1:1">
      <c r="A1573" s="2" t="e">
        <f>CONCATENATE("'",'Inverter-Full Data'!#REF!,"     ",'Inverter-Full Data'!#REF!,",",'Inverter-Full Data'!#REF!,",",'Inverter-Full Data'!#REF!,",",'Inverter-Full Data'!#REF!,"'")</f>
        <v>#REF!</v>
      </c>
    </row>
    <row r="1574" spans="1:1">
      <c r="A1574" s="2" t="e">
        <f>CONCATENATE("'",'Inverter-Full Data'!#REF!,"     ",'Inverter-Full Data'!#REF!,",",'Inverter-Full Data'!#REF!,",",'Inverter-Full Data'!#REF!,",",'Inverter-Full Data'!#REF!,"'")</f>
        <v>#REF!</v>
      </c>
    </row>
    <row r="1575" spans="1:1">
      <c r="A1575" s="2" t="e">
        <f>CONCATENATE("'",'Inverter-Full Data'!#REF!,"     ",'Inverter-Full Data'!#REF!,",",'Inverter-Full Data'!#REF!,",",'Inverter-Full Data'!#REF!,",",'Inverter-Full Data'!#REF!,"'")</f>
        <v>#REF!</v>
      </c>
    </row>
    <row r="1576" spans="1:1">
      <c r="A1576" s="2" t="e">
        <f>CONCATENATE("'",'Inverter-Full Data'!#REF!,"     ",'Inverter-Full Data'!#REF!,",",'Inverter-Full Data'!#REF!,",",'Inverter-Full Data'!#REF!,",",'Inverter-Full Data'!#REF!,"'")</f>
        <v>#REF!</v>
      </c>
    </row>
    <row r="1577" spans="1:1">
      <c r="A1577" s="2" t="e">
        <f>CONCATENATE("'",'Inverter-Full Data'!#REF!,"     ",'Inverter-Full Data'!#REF!,",",'Inverter-Full Data'!#REF!,",",'Inverter-Full Data'!#REF!,",",'Inverter-Full Data'!#REF!,"'")</f>
        <v>#REF!</v>
      </c>
    </row>
    <row r="1578" spans="1:1">
      <c r="A1578" s="2" t="e">
        <f>CONCATENATE("'",'Inverter-Full Data'!#REF!,"     ",'Inverter-Full Data'!#REF!,",",'Inverter-Full Data'!#REF!,",",'Inverter-Full Data'!#REF!,",",'Inverter-Full Data'!#REF!,"'")</f>
        <v>#REF!</v>
      </c>
    </row>
    <row r="1579" spans="1:1">
      <c r="A1579" s="2" t="e">
        <f>CONCATENATE("'",'Inverter-Full Data'!#REF!,"     ",'Inverter-Full Data'!#REF!,",",'Inverter-Full Data'!#REF!,",",'Inverter-Full Data'!#REF!,",",'Inverter-Full Data'!#REF!,"'")</f>
        <v>#REF!</v>
      </c>
    </row>
    <row r="1580" spans="1:1">
      <c r="A1580" s="2" t="e">
        <f>CONCATENATE("'",'Inverter-Full Data'!#REF!,"     ",'Inverter-Full Data'!#REF!,",",'Inverter-Full Data'!#REF!,",",'Inverter-Full Data'!#REF!,",",'Inverter-Full Data'!#REF!,"'")</f>
        <v>#REF!</v>
      </c>
    </row>
    <row r="1581" spans="1:1">
      <c r="A1581" s="2" t="e">
        <f>CONCATENATE("'",'Inverter-Full Data'!#REF!,"     ",'Inverter-Full Data'!#REF!,",",'Inverter-Full Data'!#REF!,",",'Inverter-Full Data'!#REF!,",",'Inverter-Full Data'!#REF!,"'")</f>
        <v>#REF!</v>
      </c>
    </row>
    <row r="1582" spans="1:1">
      <c r="A1582" s="2" t="e">
        <f>CONCATENATE("'",'Inverter-Full Data'!#REF!,"     ",'Inverter-Full Data'!#REF!,",",'Inverter-Full Data'!#REF!,",",'Inverter-Full Data'!#REF!,",",'Inverter-Full Data'!#REF!,"'")</f>
        <v>#REF!</v>
      </c>
    </row>
    <row r="1583" spans="1:1">
      <c r="A1583" s="2" t="e">
        <f>CONCATENATE("'",'Inverter-Full Data'!#REF!,"     ",'Inverter-Full Data'!#REF!,",",'Inverter-Full Data'!#REF!,",",'Inverter-Full Data'!#REF!,",",'Inverter-Full Data'!#REF!,"'")</f>
        <v>#REF!</v>
      </c>
    </row>
    <row r="1584" spans="1:1">
      <c r="A1584" s="2" t="e">
        <f>CONCATENATE("'",'Inverter-Full Data'!#REF!,"     ",'Inverter-Full Data'!#REF!,",",'Inverter-Full Data'!#REF!,",",'Inverter-Full Data'!#REF!,",",'Inverter-Full Data'!#REF!,"'")</f>
        <v>#REF!</v>
      </c>
    </row>
    <row r="1585" spans="1:1">
      <c r="A1585" s="2" t="e">
        <f>CONCATENATE("'",'Inverter-Full Data'!#REF!,"     ",'Inverter-Full Data'!#REF!,",",'Inverter-Full Data'!#REF!,",",'Inverter-Full Data'!#REF!,",",'Inverter-Full Data'!#REF!,"'")</f>
        <v>#REF!</v>
      </c>
    </row>
    <row r="1586" spans="1:1">
      <c r="A1586" s="2" t="e">
        <f>CONCATENATE("'",'Inverter-Full Data'!#REF!,"     ",'Inverter-Full Data'!#REF!,",",'Inverter-Full Data'!#REF!,",",'Inverter-Full Data'!#REF!,",",'Inverter-Full Data'!#REF!,"'")</f>
        <v>#REF!</v>
      </c>
    </row>
    <row r="1587" spans="1:1">
      <c r="A1587" s="2" t="e">
        <f>CONCATENATE("'",'Inverter-Full Data'!#REF!,"     ",'Inverter-Full Data'!#REF!,",",'Inverter-Full Data'!#REF!,",",'Inverter-Full Data'!#REF!,",",'Inverter-Full Data'!#REF!,"'")</f>
        <v>#REF!</v>
      </c>
    </row>
    <row r="1588" spans="1:1">
      <c r="A1588" s="2" t="e">
        <f>CONCATENATE("'",'Inverter-Full Data'!#REF!,"     ",'Inverter-Full Data'!#REF!,",",'Inverter-Full Data'!#REF!,",",'Inverter-Full Data'!#REF!,",",'Inverter-Full Data'!#REF!,"'")</f>
        <v>#REF!</v>
      </c>
    </row>
    <row r="1589" spans="1:1">
      <c r="A1589" s="2" t="e">
        <f>CONCATENATE("'",'Inverter-Full Data'!#REF!,"     ",'Inverter-Full Data'!#REF!,",",'Inverter-Full Data'!#REF!,",",'Inverter-Full Data'!#REF!,",",'Inverter-Full Data'!#REF!,"'")</f>
        <v>#REF!</v>
      </c>
    </row>
    <row r="1590" spans="1:1">
      <c r="A1590" s="2" t="e">
        <f>CONCATENATE("'",'Inverter-Full Data'!#REF!,"     ",'Inverter-Full Data'!#REF!,",",'Inverter-Full Data'!#REF!,",",'Inverter-Full Data'!#REF!,",",'Inverter-Full Data'!#REF!,"'")</f>
        <v>#REF!</v>
      </c>
    </row>
    <row r="1591" spans="1:1">
      <c r="A1591" s="2" t="e">
        <f>CONCATENATE("'",'Inverter-Full Data'!#REF!,"     ",'Inverter-Full Data'!#REF!,",",'Inverter-Full Data'!#REF!,",",'Inverter-Full Data'!#REF!,",",'Inverter-Full Data'!#REF!,"'")</f>
        <v>#REF!</v>
      </c>
    </row>
    <row r="1592" spans="1:1">
      <c r="A1592" s="2" t="e">
        <f>CONCATENATE("'",'Inverter-Full Data'!#REF!,"     ",'Inverter-Full Data'!#REF!,",",'Inverter-Full Data'!#REF!,",",'Inverter-Full Data'!#REF!,",",'Inverter-Full Data'!#REF!,"'")</f>
        <v>#REF!</v>
      </c>
    </row>
    <row r="1593" spans="1:1">
      <c r="A1593" s="2" t="e">
        <f>CONCATENATE("'",'Inverter-Full Data'!#REF!,"     ",'Inverter-Full Data'!#REF!,",",'Inverter-Full Data'!#REF!,",",'Inverter-Full Data'!#REF!,",",'Inverter-Full Data'!#REF!,"'")</f>
        <v>#REF!</v>
      </c>
    </row>
    <row r="1594" spans="1:1">
      <c r="A1594" s="2" t="e">
        <f>CONCATENATE("'",'Inverter-Full Data'!#REF!,"     ",'Inverter-Full Data'!#REF!,",",'Inverter-Full Data'!#REF!,",",'Inverter-Full Data'!#REF!,",",'Inverter-Full Data'!#REF!,"'")</f>
        <v>#REF!</v>
      </c>
    </row>
    <row r="1595" spans="1:1">
      <c r="A1595" s="2" t="e">
        <f>CONCATENATE("'",'Inverter-Full Data'!#REF!,"     ",'Inverter-Full Data'!#REF!,",",'Inverter-Full Data'!#REF!,",",'Inverter-Full Data'!#REF!,",",'Inverter-Full Data'!#REF!,"'")</f>
        <v>#REF!</v>
      </c>
    </row>
    <row r="1596" spans="1:1">
      <c r="A1596" s="2" t="e">
        <f>CONCATENATE("'",'Inverter-Full Data'!#REF!,"     ",'Inverter-Full Data'!#REF!,",",'Inverter-Full Data'!#REF!,",",'Inverter-Full Data'!#REF!,",",'Inverter-Full Data'!#REF!,"'")</f>
        <v>#REF!</v>
      </c>
    </row>
    <row r="1597" spans="1:1">
      <c r="A1597" s="2" t="e">
        <f>CONCATENATE("'",'Inverter-Full Data'!#REF!,"     ",'Inverter-Full Data'!#REF!,",",'Inverter-Full Data'!#REF!,",",'Inverter-Full Data'!#REF!,",",'Inverter-Full Data'!#REF!,"'")</f>
        <v>#REF!</v>
      </c>
    </row>
    <row r="1598" spans="1:1">
      <c r="A1598" s="2" t="e">
        <f>CONCATENATE("'",'Inverter-Full Data'!#REF!,"     ",'Inverter-Full Data'!#REF!,",",'Inverter-Full Data'!#REF!,",",'Inverter-Full Data'!#REF!,",",'Inverter-Full Data'!#REF!,"'")</f>
        <v>#REF!</v>
      </c>
    </row>
    <row r="1599" spans="1:1">
      <c r="A1599" s="2" t="e">
        <f>CONCATENATE("'",'Inverter-Full Data'!#REF!,"     ",'Inverter-Full Data'!#REF!,",",'Inverter-Full Data'!#REF!,",",'Inverter-Full Data'!#REF!,",",'Inverter-Full Data'!#REF!,"'")</f>
        <v>#REF!</v>
      </c>
    </row>
    <row r="1600" spans="1:1">
      <c r="A1600" s="2" t="e">
        <f>CONCATENATE("'",'Inverter-Full Data'!#REF!,"     ",'Inverter-Full Data'!#REF!,",",'Inverter-Full Data'!#REF!,",",'Inverter-Full Data'!#REF!,",",'Inverter-Full Data'!#REF!,"'")</f>
        <v>#REF!</v>
      </c>
    </row>
    <row r="1601" spans="1:1">
      <c r="A1601" s="2" t="e">
        <f>CONCATENATE("'",'Inverter-Full Data'!#REF!,"     ",'Inverter-Full Data'!#REF!,",",'Inverter-Full Data'!#REF!,",",'Inverter-Full Data'!#REF!,",",'Inverter-Full Data'!#REF!,"'")</f>
        <v>#REF!</v>
      </c>
    </row>
    <row r="1602" spans="1:1">
      <c r="A1602" s="2" t="e">
        <f>CONCATENATE("'",'Inverter-Full Data'!#REF!,"     ",'Inverter-Full Data'!#REF!,",",'Inverter-Full Data'!#REF!,",",'Inverter-Full Data'!#REF!,",",'Inverter-Full Data'!#REF!,"'")</f>
        <v>#REF!</v>
      </c>
    </row>
    <row r="1603" spans="1:1">
      <c r="A1603" s="2" t="e">
        <f>CONCATENATE("'",'Inverter-Full Data'!#REF!,"     ",'Inverter-Full Data'!#REF!,",",'Inverter-Full Data'!#REF!,",",'Inverter-Full Data'!#REF!,",",'Inverter-Full Data'!#REF!,"'")</f>
        <v>#REF!</v>
      </c>
    </row>
    <row r="1604" spans="1:1">
      <c r="A1604" s="2" t="e">
        <f>CONCATENATE("'",'Inverter-Full Data'!#REF!,"     ",'Inverter-Full Data'!#REF!,",",'Inverter-Full Data'!#REF!,",",'Inverter-Full Data'!#REF!,",",'Inverter-Full Data'!#REF!,"'")</f>
        <v>#REF!</v>
      </c>
    </row>
    <row r="1605" spans="1:1">
      <c r="A1605" s="2" t="e">
        <f>CONCATENATE("'",'Inverter-Full Data'!#REF!,"     ",'Inverter-Full Data'!#REF!,",",'Inverter-Full Data'!#REF!,",",'Inverter-Full Data'!#REF!,",",'Inverter-Full Data'!#REF!,"'")</f>
        <v>#REF!</v>
      </c>
    </row>
    <row r="1606" spans="1:1">
      <c r="A1606" s="2" t="e">
        <f>CONCATENATE("'",'Inverter-Full Data'!#REF!,"     ",'Inverter-Full Data'!#REF!,",",'Inverter-Full Data'!#REF!,",",'Inverter-Full Data'!#REF!,",",'Inverter-Full Data'!#REF!,"'")</f>
        <v>#REF!</v>
      </c>
    </row>
    <row r="1607" spans="1:1">
      <c r="A1607" s="2" t="e">
        <f>CONCATENATE("'",'Inverter-Full Data'!#REF!,"     ",'Inverter-Full Data'!#REF!,",",'Inverter-Full Data'!#REF!,",",'Inverter-Full Data'!#REF!,",",'Inverter-Full Data'!#REF!,"'")</f>
        <v>#REF!</v>
      </c>
    </row>
    <row r="1608" spans="1:1">
      <c r="A1608" s="2" t="e">
        <f>CONCATENATE("'",'Inverter-Full Data'!#REF!,"     ",'Inverter-Full Data'!#REF!,",",'Inverter-Full Data'!#REF!,",",'Inverter-Full Data'!#REF!,",",'Inverter-Full Data'!#REF!,"'")</f>
        <v>#REF!</v>
      </c>
    </row>
    <row r="1609" spans="1:1">
      <c r="A1609" s="2" t="e">
        <f>CONCATENATE("'",'Inverter-Full Data'!#REF!,"     ",'Inverter-Full Data'!#REF!,",",'Inverter-Full Data'!#REF!,",",'Inverter-Full Data'!#REF!,",",'Inverter-Full Data'!#REF!,"'")</f>
        <v>#REF!</v>
      </c>
    </row>
    <row r="1610" spans="1:1">
      <c r="A1610" s="2" t="e">
        <f>CONCATENATE("'",'Inverter-Full Data'!#REF!,"     ",'Inverter-Full Data'!#REF!,",",'Inverter-Full Data'!#REF!,",",'Inverter-Full Data'!#REF!,",",'Inverter-Full Data'!#REF!,"'")</f>
        <v>#REF!</v>
      </c>
    </row>
    <row r="1611" spans="1:1">
      <c r="A1611" s="2" t="e">
        <f>CONCATENATE("'",'Inverter-Full Data'!#REF!,"     ",'Inverter-Full Data'!#REF!,",",'Inverter-Full Data'!#REF!,",",'Inverter-Full Data'!#REF!,",",'Inverter-Full Data'!#REF!,"'")</f>
        <v>#REF!</v>
      </c>
    </row>
    <row r="1612" spans="1:1">
      <c r="A1612" s="2" t="e">
        <f>CONCATENATE("'",'Inverter-Full Data'!#REF!,"     ",'Inverter-Full Data'!#REF!,",",'Inverter-Full Data'!#REF!,",",'Inverter-Full Data'!#REF!,",",'Inverter-Full Data'!#REF!,"'")</f>
        <v>#REF!</v>
      </c>
    </row>
    <row r="1613" spans="1:1">
      <c r="A1613" s="2" t="e">
        <f>CONCATENATE("'",'Inverter-Full Data'!#REF!,"     ",'Inverter-Full Data'!#REF!,",",'Inverter-Full Data'!#REF!,",",'Inverter-Full Data'!#REF!,",",'Inverter-Full Data'!#REF!,"'")</f>
        <v>#REF!</v>
      </c>
    </row>
    <row r="1614" spans="1:1">
      <c r="A1614" s="2" t="e">
        <f>CONCATENATE("'",'Inverter-Full Data'!#REF!,"     ",'Inverter-Full Data'!#REF!,",",'Inverter-Full Data'!#REF!,",",'Inverter-Full Data'!#REF!,",",'Inverter-Full Data'!#REF!,"'")</f>
        <v>#REF!</v>
      </c>
    </row>
    <row r="1615" spans="1:1">
      <c r="A1615" s="2" t="e">
        <f>CONCATENATE("'",'Inverter-Full Data'!#REF!,"     ",'Inverter-Full Data'!#REF!,",",'Inverter-Full Data'!#REF!,",",'Inverter-Full Data'!#REF!,",",'Inverter-Full Data'!#REF!,"'")</f>
        <v>#REF!</v>
      </c>
    </row>
    <row r="1616" spans="1:1">
      <c r="A1616" s="2" t="e">
        <f>CONCATENATE("'",'Inverter-Full Data'!#REF!,"     ",'Inverter-Full Data'!#REF!,",",'Inverter-Full Data'!#REF!,",",'Inverter-Full Data'!#REF!,",",'Inverter-Full Data'!#REF!,"'")</f>
        <v>#REF!</v>
      </c>
    </row>
    <row r="1617" spans="1:1">
      <c r="A1617" s="2" t="e">
        <f>CONCATENATE("'",'Inverter-Full Data'!#REF!,"     ",'Inverter-Full Data'!#REF!,",",'Inverter-Full Data'!#REF!,",",'Inverter-Full Data'!#REF!,",",'Inverter-Full Data'!#REF!,"'")</f>
        <v>#REF!</v>
      </c>
    </row>
    <row r="1618" spans="1:1">
      <c r="A1618" s="2" t="e">
        <f>CONCATENATE("'",'Inverter-Full Data'!#REF!,"     ",'Inverter-Full Data'!#REF!,",",'Inverter-Full Data'!#REF!,",",'Inverter-Full Data'!#REF!,",",'Inverter-Full Data'!#REF!,"'")</f>
        <v>#REF!</v>
      </c>
    </row>
    <row r="1619" spans="1:1">
      <c r="A1619" s="2" t="e">
        <f>CONCATENATE("'",'Inverter-Full Data'!#REF!,"     ",'Inverter-Full Data'!#REF!,",",'Inverter-Full Data'!#REF!,",",'Inverter-Full Data'!#REF!,",",'Inverter-Full Data'!#REF!,"'")</f>
        <v>#REF!</v>
      </c>
    </row>
    <row r="1620" spans="1:1">
      <c r="A1620" s="2" t="e">
        <f>CONCATENATE("'",'Inverter-Full Data'!#REF!,"     ",'Inverter-Full Data'!#REF!,",",'Inverter-Full Data'!#REF!,",",'Inverter-Full Data'!#REF!,",",'Inverter-Full Data'!#REF!,"'")</f>
        <v>#REF!</v>
      </c>
    </row>
    <row r="1621" spans="1:1">
      <c r="A1621" s="2" t="e">
        <f>CONCATENATE("'",'Inverter-Full Data'!#REF!,"     ",'Inverter-Full Data'!#REF!,",",'Inverter-Full Data'!#REF!,",",'Inverter-Full Data'!#REF!,",",'Inverter-Full Data'!#REF!,"'")</f>
        <v>#REF!</v>
      </c>
    </row>
    <row r="1622" spans="1:1">
      <c r="A1622" s="2" t="e">
        <f>CONCATENATE("'",'Inverter-Full Data'!#REF!,"     ",'Inverter-Full Data'!#REF!,",",'Inverter-Full Data'!#REF!,",",'Inverter-Full Data'!#REF!,",",'Inverter-Full Data'!#REF!,"'")</f>
        <v>#REF!</v>
      </c>
    </row>
    <row r="1623" spans="1:1">
      <c r="A1623" s="2" t="e">
        <f>CONCATENATE("'",'Inverter-Full Data'!#REF!,"     ",'Inverter-Full Data'!#REF!,",",'Inverter-Full Data'!#REF!,",",'Inverter-Full Data'!#REF!,",",'Inverter-Full Data'!#REF!,"'")</f>
        <v>#REF!</v>
      </c>
    </row>
    <row r="1624" spans="1:1">
      <c r="A1624" s="2" t="e">
        <f>CONCATENATE("'",'Inverter-Full Data'!#REF!,"     ",'Inverter-Full Data'!#REF!,",",'Inverter-Full Data'!#REF!,",",'Inverter-Full Data'!#REF!,",",'Inverter-Full Data'!#REF!,"'")</f>
        <v>#REF!</v>
      </c>
    </row>
    <row r="1625" spans="1:1">
      <c r="A1625" s="2" t="e">
        <f>CONCATENATE("'",'Inverter-Full Data'!#REF!,"     ",'Inverter-Full Data'!#REF!,",",'Inverter-Full Data'!#REF!,",",'Inverter-Full Data'!#REF!,",",'Inverter-Full Data'!#REF!,"'")</f>
        <v>#REF!</v>
      </c>
    </row>
    <row r="1626" spans="1:1">
      <c r="A1626" s="2" t="e">
        <f>CONCATENATE("'",'Inverter-Full Data'!#REF!,"     ",'Inverter-Full Data'!#REF!,",",'Inverter-Full Data'!#REF!,",",'Inverter-Full Data'!#REF!,",",'Inverter-Full Data'!#REF!,"'")</f>
        <v>#REF!</v>
      </c>
    </row>
    <row r="1627" spans="1:1">
      <c r="A1627" s="2" t="e">
        <f>CONCATENATE("'",'Inverter-Full Data'!#REF!,"     ",'Inverter-Full Data'!#REF!,",",'Inverter-Full Data'!#REF!,",",'Inverter-Full Data'!#REF!,",",'Inverter-Full Data'!#REF!,"'")</f>
        <v>#REF!</v>
      </c>
    </row>
    <row r="1628" spans="1:1">
      <c r="A1628" s="2" t="e">
        <f>CONCATENATE("'",'Inverter-Full Data'!#REF!,"     ",'Inverter-Full Data'!#REF!,",",'Inverter-Full Data'!#REF!,",",'Inverter-Full Data'!#REF!,",",'Inverter-Full Data'!#REF!,"'")</f>
        <v>#REF!</v>
      </c>
    </row>
    <row r="1629" spans="1:1">
      <c r="A1629" s="2" t="e">
        <f>CONCATENATE("'",'Inverter-Full Data'!#REF!,"     ",'Inverter-Full Data'!#REF!,",",'Inverter-Full Data'!#REF!,",",'Inverter-Full Data'!#REF!,",",'Inverter-Full Data'!#REF!,"'")</f>
        <v>#REF!</v>
      </c>
    </row>
    <row r="1630" spans="1:1">
      <c r="A1630" s="2" t="e">
        <f>CONCATENATE("'",'Inverter-Full Data'!#REF!,"     ",'Inverter-Full Data'!#REF!,",",'Inverter-Full Data'!#REF!,",",'Inverter-Full Data'!#REF!,",",'Inverter-Full Data'!#REF!,"'")</f>
        <v>#REF!</v>
      </c>
    </row>
    <row r="1631" spans="1:1">
      <c r="A1631" s="2" t="e">
        <f>CONCATENATE("'",'Inverter-Full Data'!#REF!,"     ",'Inverter-Full Data'!#REF!,",",'Inverter-Full Data'!#REF!,",",'Inverter-Full Data'!#REF!,",",'Inverter-Full Data'!#REF!,"'")</f>
        <v>#REF!</v>
      </c>
    </row>
    <row r="1632" spans="1:1">
      <c r="A1632" s="2" t="e">
        <f>CONCATENATE("'",'Inverter-Full Data'!#REF!,"     ",'Inverter-Full Data'!#REF!,",",'Inverter-Full Data'!#REF!,",",'Inverter-Full Data'!#REF!,",",'Inverter-Full Data'!#REF!,"'")</f>
        <v>#REF!</v>
      </c>
    </row>
    <row r="1633" spans="1:1">
      <c r="A1633" s="2" t="e">
        <f>CONCATENATE("'",'Inverter-Full Data'!#REF!,"     ",'Inverter-Full Data'!#REF!,",",'Inverter-Full Data'!#REF!,",",'Inverter-Full Data'!#REF!,",",'Inverter-Full Data'!#REF!,"'")</f>
        <v>#REF!</v>
      </c>
    </row>
    <row r="1634" spans="1:1">
      <c r="A1634" s="2" t="e">
        <f>CONCATENATE("'",'Inverter-Full Data'!#REF!,"     ",'Inverter-Full Data'!#REF!,",",'Inverter-Full Data'!#REF!,",",'Inverter-Full Data'!#REF!,",",'Inverter-Full Data'!#REF!,"'")</f>
        <v>#REF!</v>
      </c>
    </row>
    <row r="1635" spans="1:1">
      <c r="A1635" s="2" t="e">
        <f>CONCATENATE("'",'Inverter-Full Data'!#REF!,"     ",'Inverter-Full Data'!#REF!,",",'Inverter-Full Data'!#REF!,",",'Inverter-Full Data'!#REF!,",",'Inverter-Full Data'!#REF!,"'")</f>
        <v>#REF!</v>
      </c>
    </row>
    <row r="1636" spans="1:1">
      <c r="A1636" s="2" t="e">
        <f>CONCATENATE("'",'Inverter-Full Data'!#REF!,"     ",'Inverter-Full Data'!#REF!,",",'Inverter-Full Data'!#REF!,",",'Inverter-Full Data'!#REF!,",",'Inverter-Full Data'!#REF!,"'")</f>
        <v>#REF!</v>
      </c>
    </row>
    <row r="1637" spans="1:1">
      <c r="A1637" s="2" t="e">
        <f>CONCATENATE("'",'Inverter-Full Data'!#REF!,"     ",'Inverter-Full Data'!#REF!,",",'Inverter-Full Data'!#REF!,",",'Inverter-Full Data'!#REF!,",",'Inverter-Full Data'!#REF!,"'")</f>
        <v>#REF!</v>
      </c>
    </row>
    <row r="1638" spans="1:1">
      <c r="A1638" s="2" t="e">
        <f>CONCATENATE("'",'Inverter-Full Data'!#REF!,"     ",'Inverter-Full Data'!#REF!,",",'Inverter-Full Data'!#REF!,",",'Inverter-Full Data'!#REF!,",",'Inverter-Full Data'!#REF!,"'")</f>
        <v>#REF!</v>
      </c>
    </row>
    <row r="1639" spans="1:1">
      <c r="A1639" s="2" t="e">
        <f>CONCATENATE("'",'Inverter-Full Data'!#REF!,"     ",'Inverter-Full Data'!#REF!,",",'Inverter-Full Data'!#REF!,",",'Inverter-Full Data'!#REF!,",",'Inverter-Full Data'!#REF!,"'")</f>
        <v>#REF!</v>
      </c>
    </row>
    <row r="1640" spans="1:1">
      <c r="A1640" s="2" t="e">
        <f>CONCATENATE("'",'Inverter-Full Data'!#REF!,"     ",'Inverter-Full Data'!#REF!,",",'Inverter-Full Data'!#REF!,",",'Inverter-Full Data'!#REF!,",",'Inverter-Full Data'!#REF!,"'")</f>
        <v>#REF!</v>
      </c>
    </row>
    <row r="1641" spans="1:1">
      <c r="A1641" s="2" t="e">
        <f>CONCATENATE("'",'Inverter-Full Data'!#REF!,"     ",'Inverter-Full Data'!#REF!,",",'Inverter-Full Data'!#REF!,",",'Inverter-Full Data'!#REF!,",",'Inverter-Full Data'!#REF!,"'")</f>
        <v>#REF!</v>
      </c>
    </row>
    <row r="1642" spans="1:1">
      <c r="A1642" s="2" t="e">
        <f>CONCATENATE("'",'Inverter-Full Data'!#REF!,"     ",'Inverter-Full Data'!#REF!,",",'Inverter-Full Data'!#REF!,",",'Inverter-Full Data'!#REF!,",",'Inverter-Full Data'!#REF!,"'")</f>
        <v>#REF!</v>
      </c>
    </row>
    <row r="1643" spans="1:1">
      <c r="A1643" s="2" t="e">
        <f>CONCATENATE("'",'Inverter-Full Data'!#REF!,"     ",'Inverter-Full Data'!#REF!,",",'Inverter-Full Data'!#REF!,",",'Inverter-Full Data'!#REF!,",",'Inverter-Full Data'!#REF!,"'")</f>
        <v>#REF!</v>
      </c>
    </row>
    <row r="1644" spans="1:1">
      <c r="A1644" s="2" t="e">
        <f>CONCATENATE("'",'Inverter-Full Data'!#REF!,"     ",'Inverter-Full Data'!#REF!,",",'Inverter-Full Data'!#REF!,",",'Inverter-Full Data'!#REF!,",",'Inverter-Full Data'!#REF!,"'")</f>
        <v>#REF!</v>
      </c>
    </row>
    <row r="1645" spans="1:1">
      <c r="A1645" s="2" t="e">
        <f>CONCATENATE("'",'Inverter-Full Data'!#REF!,"     ",'Inverter-Full Data'!#REF!,",",'Inverter-Full Data'!#REF!,",",'Inverter-Full Data'!#REF!,",",'Inverter-Full Data'!#REF!,"'")</f>
        <v>#REF!</v>
      </c>
    </row>
    <row r="1646" spans="1:1">
      <c r="A1646" s="2" t="e">
        <f>CONCATENATE("'",'Inverter-Full Data'!#REF!,"     ",'Inverter-Full Data'!#REF!,",",'Inverter-Full Data'!#REF!,",",'Inverter-Full Data'!#REF!,",",'Inverter-Full Data'!#REF!,"'")</f>
        <v>#REF!</v>
      </c>
    </row>
    <row r="1647" spans="1:1">
      <c r="A1647" s="2" t="e">
        <f>CONCATENATE("'",'Inverter-Full Data'!#REF!,"     ",'Inverter-Full Data'!#REF!,",",'Inverter-Full Data'!#REF!,",",'Inverter-Full Data'!#REF!,",",'Inverter-Full Data'!#REF!,"'")</f>
        <v>#REF!</v>
      </c>
    </row>
    <row r="1648" spans="1:1">
      <c r="A1648" s="2" t="e">
        <f>CONCATENATE("'",'Inverter-Full Data'!#REF!,"     ",'Inverter-Full Data'!#REF!,",",'Inverter-Full Data'!#REF!,",",'Inverter-Full Data'!#REF!,",",'Inverter-Full Data'!#REF!,"'")</f>
        <v>#REF!</v>
      </c>
    </row>
    <row r="1649" spans="1:1">
      <c r="A1649" s="2" t="e">
        <f>CONCATENATE("'",'Inverter-Full Data'!#REF!,"     ",'Inverter-Full Data'!#REF!,",",'Inverter-Full Data'!#REF!,",",'Inverter-Full Data'!#REF!,",",'Inverter-Full Data'!#REF!,"'")</f>
        <v>#REF!</v>
      </c>
    </row>
    <row r="1650" spans="1:1">
      <c r="A1650" s="2" t="e">
        <f>CONCATENATE("'",'Inverter-Full Data'!#REF!,"     ",'Inverter-Full Data'!#REF!,",",'Inverter-Full Data'!#REF!,",",'Inverter-Full Data'!#REF!,",",'Inverter-Full Data'!#REF!,"'")</f>
        <v>#REF!</v>
      </c>
    </row>
    <row r="1651" spans="1:1">
      <c r="A1651" s="2" t="e">
        <f>CONCATENATE("'",'Inverter-Full Data'!#REF!,"     ",'Inverter-Full Data'!#REF!,",",'Inverter-Full Data'!#REF!,",",'Inverter-Full Data'!#REF!,",",'Inverter-Full Data'!#REF!,"'")</f>
        <v>#REF!</v>
      </c>
    </row>
    <row r="1652" spans="1:1">
      <c r="A1652" s="2" t="e">
        <f>CONCATENATE("'",'Inverter-Full Data'!#REF!,"     ",'Inverter-Full Data'!#REF!,",",'Inverter-Full Data'!#REF!,",",'Inverter-Full Data'!#REF!,",",'Inverter-Full Data'!#REF!,"'")</f>
        <v>#REF!</v>
      </c>
    </row>
    <row r="1653" spans="1:1">
      <c r="A1653" s="2" t="e">
        <f>CONCATENATE("'",'Inverter-Full Data'!#REF!,"     ",'Inverter-Full Data'!#REF!,",",'Inverter-Full Data'!#REF!,",",'Inverter-Full Data'!#REF!,",",'Inverter-Full Data'!#REF!,"'")</f>
        <v>#REF!</v>
      </c>
    </row>
    <row r="1654" spans="1:1">
      <c r="A1654" s="2" t="e">
        <f>CONCATENATE("'",'Inverter-Full Data'!#REF!,"     ",'Inverter-Full Data'!#REF!,",",'Inverter-Full Data'!#REF!,",",'Inverter-Full Data'!#REF!,",",'Inverter-Full Data'!#REF!,"'")</f>
        <v>#REF!</v>
      </c>
    </row>
    <row r="1655" spans="1:1">
      <c r="A1655" s="2" t="e">
        <f>CONCATENATE("'",'Inverter-Full Data'!#REF!,"     ",'Inverter-Full Data'!#REF!,",",'Inverter-Full Data'!#REF!,",",'Inverter-Full Data'!#REF!,",",'Inverter-Full Data'!#REF!,"'")</f>
        <v>#REF!</v>
      </c>
    </row>
    <row r="1656" spans="1:1">
      <c r="A1656" s="2" t="e">
        <f>CONCATENATE("'",'Inverter-Full Data'!#REF!,"     ",'Inverter-Full Data'!#REF!,",",'Inverter-Full Data'!#REF!,",",'Inverter-Full Data'!#REF!,",",'Inverter-Full Data'!#REF!,"'")</f>
        <v>#REF!</v>
      </c>
    </row>
    <row r="1657" spans="1:1">
      <c r="A1657" s="2" t="e">
        <f>CONCATENATE("'",'Inverter-Full Data'!#REF!,"     ",'Inverter-Full Data'!#REF!,",",'Inverter-Full Data'!#REF!,",",'Inverter-Full Data'!#REF!,",",'Inverter-Full Data'!#REF!,"'")</f>
        <v>#REF!</v>
      </c>
    </row>
    <row r="1658" spans="1:1">
      <c r="A1658" s="2" t="e">
        <f>CONCATENATE("'",'Inverter-Full Data'!#REF!,"     ",'Inverter-Full Data'!#REF!,",",'Inverter-Full Data'!#REF!,",",'Inverter-Full Data'!#REF!,",",'Inverter-Full Data'!#REF!,"'")</f>
        <v>#REF!</v>
      </c>
    </row>
    <row r="1659" spans="1:1">
      <c r="A1659" s="2" t="e">
        <f>CONCATENATE("'",'Inverter-Full Data'!#REF!,"     ",'Inverter-Full Data'!#REF!,",",'Inverter-Full Data'!#REF!,",",'Inverter-Full Data'!#REF!,",",'Inverter-Full Data'!#REF!,"'")</f>
        <v>#REF!</v>
      </c>
    </row>
    <row r="1660" spans="1:1">
      <c r="A1660" s="2" t="e">
        <f>CONCATENATE("'",'Inverter-Full Data'!#REF!,"     ",'Inverter-Full Data'!#REF!,",",'Inverter-Full Data'!#REF!,",",'Inverter-Full Data'!#REF!,",",'Inverter-Full Data'!#REF!,"'")</f>
        <v>#REF!</v>
      </c>
    </row>
    <row r="1661" spans="1:1">
      <c r="A1661" s="2" t="e">
        <f>CONCATENATE("'",'Inverter-Full Data'!#REF!,"     ",'Inverter-Full Data'!#REF!,",",'Inverter-Full Data'!#REF!,",",'Inverter-Full Data'!#REF!,",",'Inverter-Full Data'!#REF!,"'")</f>
        <v>#REF!</v>
      </c>
    </row>
    <row r="1662" spans="1:1">
      <c r="A1662" s="2" t="e">
        <f>CONCATENATE("'",'Inverter-Full Data'!#REF!,"     ",'Inverter-Full Data'!#REF!,",",'Inverter-Full Data'!#REF!,",",'Inverter-Full Data'!#REF!,",",'Inverter-Full Data'!#REF!,"'")</f>
        <v>#REF!</v>
      </c>
    </row>
    <row r="1663" spans="1:1">
      <c r="A1663" s="2" t="e">
        <f>CONCATENATE("'",'Inverter-Full Data'!#REF!,"     ",'Inverter-Full Data'!#REF!,",",'Inverter-Full Data'!#REF!,",",'Inverter-Full Data'!#REF!,",",'Inverter-Full Data'!#REF!,"'")</f>
        <v>#REF!</v>
      </c>
    </row>
    <row r="1664" spans="1:1">
      <c r="A1664" s="2" t="e">
        <f>CONCATENATE("'",'Inverter-Full Data'!#REF!,"     ",'Inverter-Full Data'!#REF!,",",'Inverter-Full Data'!#REF!,",",'Inverter-Full Data'!#REF!,",",'Inverter-Full Data'!#REF!,"'")</f>
        <v>#REF!</v>
      </c>
    </row>
    <row r="1665" spans="1:1">
      <c r="A1665" s="2" t="e">
        <f>CONCATENATE("'",'Inverter-Full Data'!#REF!,"     ",'Inverter-Full Data'!#REF!,",",'Inverter-Full Data'!#REF!,",",'Inverter-Full Data'!#REF!,",",'Inverter-Full Data'!#REF!,"'")</f>
        <v>#REF!</v>
      </c>
    </row>
    <row r="1666" spans="1:1">
      <c r="A1666" s="2" t="e">
        <f>CONCATENATE("'",'Inverter-Full Data'!#REF!,"     ",'Inverter-Full Data'!#REF!,",",'Inverter-Full Data'!#REF!,",",'Inverter-Full Data'!#REF!,",",'Inverter-Full Data'!#REF!,"'")</f>
        <v>#REF!</v>
      </c>
    </row>
    <row r="1667" spans="1:1">
      <c r="A1667" s="2" t="str">
        <f>CONCATENATE("'",'Inverter-Full Data'!A262,"     ",'Inverter-Full Data'!B262,",",'Inverter-Full Data'!S262,",",'Inverter-Full Data'!J262,",",'Inverter-Full Data'!T262,"'")</f>
        <v>'Fronius International GmbH     Fronius Primo 7.6-1 208-240 [208V],Y,97,N'</v>
      </c>
    </row>
    <row r="1668" spans="1:1">
      <c r="A1668" s="2" t="str">
        <f>CONCATENATE("'",'Inverter-Full Data'!A263,"     ",'Inverter-Full Data'!B263,",",'Inverter-Full Data'!S263,",",'Inverter-Full Data'!J263,",",'Inverter-Full Data'!T263,"'")</f>
        <v>'Fronius International GmbH     Fronius Primo 7.6-1 208-240 [240V],Y,97,N'</v>
      </c>
    </row>
    <row r="1669" spans="1:1">
      <c r="A1669" s="2" t="str">
        <f>CONCATENATE("'",'Inverter-Full Data'!A264,"     ",'Inverter-Full Data'!B264,",",'Inverter-Full Data'!S264,",",'Inverter-Full Data'!J264,",",'Inverter-Full Data'!T264,"'")</f>
        <v>'Fronius International GmbH     Fronius Primo 8.2-1 208-240 [208V],Y,97,N'</v>
      </c>
    </row>
    <row r="1670" spans="1:1">
      <c r="A1670" s="2" t="str">
        <f>CONCATENATE("'",'Inverter-Full Data'!A265,"     ",'Inverter-Full Data'!B265,",",'Inverter-Full Data'!S265,",",'Inverter-Full Data'!J265,",",'Inverter-Full Data'!T265,"'")</f>
        <v>'Fronius International GmbH     Fronius Primo 8.2-1 208-240 [240V],Y,97,N'</v>
      </c>
    </row>
    <row r="1671" spans="1:1">
      <c r="A1671" s="2" t="str">
        <f>CONCATENATE("'",'Inverter-Full Data'!A266,"     ",'Inverter-Full Data'!B266,",",'Inverter-Full Data'!S266,",",'Inverter-Full Data'!J266,",",'Inverter-Full Data'!T266,"'")</f>
        <v>'Fronius International GmbH     Fronius Symo 10.0-3 208-240 [208V],Y,96.5,N'</v>
      </c>
    </row>
    <row r="1672" spans="1:1">
      <c r="A1672" s="2" t="str">
        <f>CONCATENATE("'",'Inverter-Full Data'!A267,"     ",'Inverter-Full Data'!B267,",",'Inverter-Full Data'!S267,",",'Inverter-Full Data'!J267,",",'Inverter-Full Data'!T267,"'")</f>
        <v>'Fronius International GmbH     Fronius Symo 10.0-3 208-240 [240V],Y,96.5,N'</v>
      </c>
    </row>
    <row r="1673" spans="1:1">
      <c r="A1673" s="2" t="str">
        <f>CONCATENATE("'",'Inverter-Full Data'!A268,"     ",'Inverter-Full Data'!B268,",",'Inverter-Full Data'!S268,",",'Inverter-Full Data'!J268,",",'Inverter-Full Data'!T268,"'")</f>
        <v>'Fronius International GmbH     Fronius Symo 10.0-3 480 [480V],Y,96.5,N'</v>
      </c>
    </row>
    <row r="1674" spans="1:1">
      <c r="A1674" s="2" t="str">
        <f>CONCATENATE("'",'Inverter-Full Data'!A269,"     ",'Inverter-Full Data'!B269,",",'Inverter-Full Data'!S269,",",'Inverter-Full Data'!J269,",",'Inverter-Full Data'!T269,"'")</f>
        <v>'Fronius International GmbH     Fronius Symo 12.0-3 208-240 [208V],Y,96.5,N'</v>
      </c>
    </row>
    <row r="1675" spans="1:1">
      <c r="A1675" s="2" t="str">
        <f>CONCATENATE("'",'Inverter-Full Data'!A270,"     ",'Inverter-Full Data'!B270,",",'Inverter-Full Data'!S270,",",'Inverter-Full Data'!J270,",",'Inverter-Full Data'!T270,"'")</f>
        <v>'Fronius International GmbH     Fronius Symo 12.0-3 208-240 [240V],Y,96.5,N'</v>
      </c>
    </row>
    <row r="1676" spans="1:1">
      <c r="A1676" s="2" t="str">
        <f>CONCATENATE("'",'Inverter-Full Data'!A271,"     ",'Inverter-Full Data'!B271,",",'Inverter-Full Data'!S271,",",'Inverter-Full Data'!J271,",",'Inverter-Full Data'!T271,"'")</f>
        <v>'Fronius International GmbH     Fronius Symo 12.5-3 480 [480V],Y,97,N'</v>
      </c>
    </row>
    <row r="1677" spans="1:1">
      <c r="A1677" s="2" t="str">
        <f>CONCATENATE("'",'Inverter-Full Data'!A272,"     ",'Inverter-Full Data'!B272,",",'Inverter-Full Data'!S272,",",'Inverter-Full Data'!J272,",",'Inverter-Full Data'!T272,"'")</f>
        <v>'Fronius International GmbH     Fronius Symo 15.0-3 208 [208V],Y,96.5,N'</v>
      </c>
    </row>
    <row r="1678" spans="1:1">
      <c r="A1678" s="2" t="str">
        <f>CONCATENATE("'",'Inverter-Full Data'!A273,"     ",'Inverter-Full Data'!B273,",",'Inverter-Full Data'!S273,",",'Inverter-Full Data'!J273,",",'Inverter-Full Data'!T273,"'")</f>
        <v>'Fronius International GmbH     Fronius Symo 15.0-3 480 [480V],Y,97,N'</v>
      </c>
    </row>
    <row r="1679" spans="1:1">
      <c r="A1679" s="2" t="str">
        <f>CONCATENATE("'",'Inverter-Full Data'!A274,"     ",'Inverter-Full Data'!B274,",",'Inverter-Full Data'!S274,",",'Inverter-Full Data'!J274,",",'Inverter-Full Data'!T274,"'")</f>
        <v>'Fronius International GmbH     Fronius Symo 17.5-3 480 [480V],Y,97.5,N'</v>
      </c>
    </row>
    <row r="1680" spans="1:1">
      <c r="A1680" s="2" t="str">
        <f>CONCATENATE("'",'Inverter-Full Data'!A275,"     ",'Inverter-Full Data'!B275,",",'Inverter-Full Data'!S275,",",'Inverter-Full Data'!J275,",",'Inverter-Full Data'!T275,"'")</f>
        <v>'Fronius International GmbH     Fronius Symo 20.0-3 480 [480V],Y,97.5,N'</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e">
        <f>CONCATENATE("'",'Inverter-Full Data'!#REF!,"     ",'Inverter-Full Data'!#REF!,",",'Inverter-Full Data'!#REF!,",",'Inverter-Full Data'!#REF!,",",'Inverter-Full Data'!#REF!,"'")</f>
        <v>#REF!</v>
      </c>
    </row>
    <row r="1696" spans="1:1">
      <c r="A1696" s="2" t="e">
        <f>CONCATENATE("'",'Inverter-Full Data'!#REF!,"     ",'Inverter-Full Data'!#REF!,",",'Inverter-Full Data'!#REF!,",",'Inverter-Full Data'!#REF!,",",'Inverter-Full Data'!#REF!,"'")</f>
        <v>#REF!</v>
      </c>
    </row>
    <row r="1697" spans="1:1">
      <c r="A1697" s="2" t="e">
        <f>CONCATENATE("'",'Inverter-Full Data'!#REF!,"     ",'Inverter-Full Data'!#REF!,",",'Inverter-Full Data'!#REF!,",",'Inverter-Full Data'!#REF!,",",'Inverter-Full Data'!#REF!,"'")</f>
        <v>#REF!</v>
      </c>
    </row>
    <row r="1698" spans="1:1">
      <c r="A1698" s="2" t="e">
        <f>CONCATENATE("'",'Inverter-Full Data'!#REF!,"     ",'Inverter-Full Data'!#REF!,",",'Inverter-Full Data'!#REF!,",",'Inverter-Full Data'!#REF!,",",'Inverter-Full Data'!#REF!,"'")</f>
        <v>#REF!</v>
      </c>
    </row>
    <row r="1699" spans="1:1">
      <c r="A1699" s="2" t="e">
        <f>CONCATENATE("'",'Inverter-Full Data'!#REF!,"     ",'Inverter-Full Data'!#REF!,",",'Inverter-Full Data'!#REF!,",",'Inverter-Full Data'!#REF!,",",'Inverter-Full Data'!#REF!,"'")</f>
        <v>#REF!</v>
      </c>
    </row>
    <row r="1700" spans="1:1">
      <c r="A1700" s="2" t="e">
        <f>CONCATENATE("'",'Inverter-Full Data'!#REF!,"     ",'Inverter-Full Data'!#REF!,",",'Inverter-Full Data'!#REF!,",",'Inverter-Full Data'!#REF!,",",'Inverter-Full Data'!#REF!,"'")</f>
        <v>#REF!</v>
      </c>
    </row>
    <row r="1701" spans="1:1">
      <c r="A1701" s="2" t="e">
        <f>CONCATENATE("'",'Inverter-Full Data'!#REF!,"     ",'Inverter-Full Data'!#REF!,",",'Inverter-Full Data'!#REF!,",",'Inverter-Full Data'!#REF!,",",'Inverter-Full Data'!#REF!,"'")</f>
        <v>#REF!</v>
      </c>
    </row>
    <row r="1702" spans="1:1">
      <c r="A1702" s="2" t="e">
        <f>CONCATENATE("'",'Inverter-Full Data'!#REF!,"     ",'Inverter-Full Data'!#REF!,",",'Inverter-Full Data'!#REF!,",",'Inverter-Full Data'!#REF!,",",'Inverter-Full Data'!#REF!,"'")</f>
        <v>#REF!</v>
      </c>
    </row>
    <row r="1703" spans="1:1">
      <c r="A1703" s="2" t="e">
        <f>CONCATENATE("'",'Inverter-Full Data'!#REF!,"     ",'Inverter-Full Data'!#REF!,",",'Inverter-Full Data'!#REF!,",",'Inverter-Full Data'!#REF!,",",'Inverter-Full Data'!#REF!,"'")</f>
        <v>#REF!</v>
      </c>
    </row>
    <row r="1704" spans="1:1">
      <c r="A1704" s="2" t="e">
        <f>CONCATENATE("'",'Inverter-Full Data'!#REF!,"     ",'Inverter-Full Data'!#REF!,",",'Inverter-Full Data'!#REF!,",",'Inverter-Full Data'!#REF!,",",'Inverter-Full Data'!#REF!,"'")</f>
        <v>#REF!</v>
      </c>
    </row>
    <row r="1705" spans="1:1">
      <c r="A1705" s="2" t="e">
        <f>CONCATENATE("'",'Inverter-Full Data'!#REF!,"     ",'Inverter-Full Data'!#REF!,",",'Inverter-Full Data'!#REF!,",",'Inverter-Full Data'!#REF!,",",'Inverter-Full Data'!#REF!,"'")</f>
        <v>#REF!</v>
      </c>
    </row>
    <row r="1706" spans="1:1">
      <c r="A1706" s="2" t="e">
        <f>CONCATENATE("'",'Inverter-Full Data'!#REF!,"     ",'Inverter-Full Data'!#REF!,",",'Inverter-Full Data'!#REF!,",",'Inverter-Full Data'!#REF!,",",'Inverter-Full Data'!#REF!,"'")</f>
        <v>#REF!</v>
      </c>
    </row>
    <row r="1707" spans="1:1">
      <c r="A1707" s="2" t="e">
        <f>CONCATENATE("'",'Inverter-Full Data'!#REF!,"     ",'Inverter-Full Data'!#REF!,",",'Inverter-Full Data'!#REF!,",",'Inverter-Full Data'!#REF!,",",'Inverter-Full Data'!#REF!,"'")</f>
        <v>#REF!</v>
      </c>
    </row>
    <row r="1708" spans="1:1">
      <c r="A1708" s="2" t="e">
        <f>CONCATENATE("'",'Inverter-Full Data'!#REF!,"     ",'Inverter-Full Data'!#REF!,",",'Inverter-Full Data'!#REF!,",",'Inverter-Full Data'!#REF!,",",'Inverter-Full Data'!#REF!,"'")</f>
        <v>#REF!</v>
      </c>
    </row>
    <row r="1709" spans="1:1">
      <c r="A1709" s="2" t="e">
        <f>CONCATENATE("'",'Inverter-Full Data'!#REF!,"     ",'Inverter-Full Data'!#REF!,",",'Inverter-Full Data'!#REF!,",",'Inverter-Full Data'!#REF!,",",'Inverter-Full Data'!#REF!,"'")</f>
        <v>#REF!</v>
      </c>
    </row>
    <row r="1710" spans="1:1">
      <c r="A1710" s="2" t="e">
        <f>CONCATENATE("'",'Inverter-Full Data'!#REF!,"     ",'Inverter-Full Data'!#REF!,",",'Inverter-Full Data'!#REF!,",",'Inverter-Full Data'!#REF!,",",'Inverter-Full Data'!#REF!,"'")</f>
        <v>#REF!</v>
      </c>
    </row>
    <row r="1711" spans="1:1">
      <c r="A1711" s="2" t="e">
        <f>CONCATENATE("'",'Inverter-Full Data'!#REF!,"     ",'Inverter-Full Data'!#REF!,",",'Inverter-Full Data'!#REF!,",",'Inverter-Full Data'!#REF!,",",'Inverter-Full Data'!#REF!,"'")</f>
        <v>#REF!</v>
      </c>
    </row>
    <row r="1712" spans="1:1">
      <c r="A1712" s="2" t="e">
        <f>CONCATENATE("'",'Inverter-Full Data'!#REF!,"     ",'Inverter-Full Data'!#REF!,",",'Inverter-Full Data'!#REF!,",",'Inverter-Full Data'!#REF!,",",'Inverter-Full Data'!#REF!,"'")</f>
        <v>#REF!</v>
      </c>
    </row>
    <row r="1713" spans="1:1">
      <c r="A1713" s="2" t="e">
        <f>CONCATENATE("'",'Inverter-Full Data'!#REF!,"     ",'Inverter-Full Data'!#REF!,",",'Inverter-Full Data'!#REF!,",",'Inverter-Full Data'!#REF!,",",'Inverter-Full Data'!#REF!,"'")</f>
        <v>#REF!</v>
      </c>
    </row>
    <row r="1714" spans="1:1">
      <c r="A1714" s="2" t="e">
        <f>CONCATENATE("'",'Inverter-Full Data'!#REF!,"     ",'Inverter-Full Data'!#REF!,",",'Inverter-Full Data'!#REF!,",",'Inverter-Full Data'!#REF!,",",'Inverter-Full Data'!#REF!,"'")</f>
        <v>#REF!</v>
      </c>
    </row>
    <row r="1715" spans="1:1">
      <c r="A1715" s="2" t="e">
        <f>CONCATENATE("'",'Inverter-Full Data'!#REF!,"     ",'Inverter-Full Data'!#REF!,",",'Inverter-Full Data'!#REF!,",",'Inverter-Full Data'!#REF!,",",'Inverter-Full Data'!#REF!,"'")</f>
        <v>#REF!</v>
      </c>
    </row>
    <row r="1716" spans="1:1">
      <c r="A1716" s="2" t="e">
        <f>CONCATENATE("'",'Inverter-Full Data'!#REF!,"     ",'Inverter-Full Data'!#REF!,",",'Inverter-Full Data'!#REF!,",",'Inverter-Full Data'!#REF!,",",'Inverter-Full Data'!#REF!,"'")</f>
        <v>#REF!</v>
      </c>
    </row>
    <row r="1717" spans="1:1">
      <c r="A1717" s="2" t="e">
        <f>CONCATENATE("'",'Inverter-Full Data'!#REF!,"     ",'Inverter-Full Data'!#REF!,",",'Inverter-Full Data'!#REF!,",",'Inverter-Full Data'!#REF!,",",'Inverter-Full Data'!#REF!,"'")</f>
        <v>#REF!</v>
      </c>
    </row>
    <row r="1718" spans="1:1">
      <c r="A1718" s="2" t="e">
        <f>CONCATENATE("'",'Inverter-Full Data'!#REF!,"     ",'Inverter-Full Data'!#REF!,",",'Inverter-Full Data'!#REF!,",",'Inverter-Full Data'!#REF!,",",'Inverter-Full Data'!#REF!,"'")</f>
        <v>#REF!</v>
      </c>
    </row>
    <row r="1719" spans="1:1">
      <c r="A1719" s="2" t="e">
        <f>CONCATENATE("'",'Inverter-Full Data'!#REF!,"     ",'Inverter-Full Data'!#REF!,",",'Inverter-Full Data'!#REF!,",",'Inverter-Full Data'!#REF!,",",'Inverter-Full Data'!#REF!,"'")</f>
        <v>#REF!</v>
      </c>
    </row>
    <row r="1720" spans="1:1">
      <c r="A1720" s="2" t="e">
        <f>CONCATENATE("'",'Inverter-Full Data'!#REF!,"     ",'Inverter-Full Data'!#REF!,",",'Inverter-Full Data'!#REF!,",",'Inverter-Full Data'!#REF!,",",'Inverter-Full Data'!#REF!,"'")</f>
        <v>#REF!</v>
      </c>
    </row>
    <row r="1721" spans="1:1">
      <c r="A1721" s="2" t="e">
        <f>CONCATENATE("'",'Inverter-Full Data'!#REF!,"     ",'Inverter-Full Data'!#REF!,",",'Inverter-Full Data'!#REF!,",",'Inverter-Full Data'!#REF!,",",'Inverter-Full Data'!#REF!,"'")</f>
        <v>#REF!</v>
      </c>
    </row>
    <row r="1722" spans="1:1">
      <c r="A1722" s="2" t="e">
        <f>CONCATENATE("'",'Inverter-Full Data'!#REF!,"     ",'Inverter-Full Data'!#REF!,",",'Inverter-Full Data'!#REF!,",",'Inverter-Full Data'!#REF!,",",'Inverter-Full Data'!#REF!,"'")</f>
        <v>#REF!</v>
      </c>
    </row>
    <row r="1723" spans="1:1">
      <c r="A1723" s="2" t="e">
        <f>CONCATENATE("'",'Inverter-Full Data'!#REF!,"     ",'Inverter-Full Data'!#REF!,",",'Inverter-Full Data'!#REF!,",",'Inverter-Full Data'!#REF!,",",'Inverter-Full Data'!#REF!,"'")</f>
        <v>#REF!</v>
      </c>
    </row>
    <row r="1724" spans="1:1">
      <c r="A1724" s="2" t="e">
        <f>CONCATENATE("'",'Inverter-Full Data'!#REF!,"     ",'Inverter-Full Data'!#REF!,",",'Inverter-Full Data'!#REF!,",",'Inverter-Full Data'!#REF!,",",'Inverter-Full Data'!#REF!,"'")</f>
        <v>#REF!</v>
      </c>
    </row>
    <row r="1725" spans="1:1">
      <c r="A1725" s="2" t="e">
        <f>CONCATENATE("'",'Inverter-Full Data'!#REF!,"     ",'Inverter-Full Data'!#REF!,",",'Inverter-Full Data'!#REF!,",",'Inverter-Full Data'!#REF!,",",'Inverter-Full Data'!#REF!,"'")</f>
        <v>#REF!</v>
      </c>
    </row>
    <row r="1726" spans="1:1">
      <c r="A1726" s="2" t="e">
        <f>CONCATENATE("'",'Inverter-Full Data'!#REF!,"     ",'Inverter-Full Data'!#REF!,",",'Inverter-Full Data'!#REF!,",",'Inverter-Full Data'!#REF!,",",'Inverter-Full Data'!#REF!,"'")</f>
        <v>#REF!</v>
      </c>
    </row>
    <row r="1727" spans="1:1">
      <c r="A1727" s="2" t="e">
        <f>CONCATENATE("'",'Inverter-Full Data'!#REF!,"     ",'Inverter-Full Data'!#REF!,",",'Inverter-Full Data'!#REF!,",",'Inverter-Full Data'!#REF!,",",'Inverter-Full Data'!#REF!,"'")</f>
        <v>#REF!</v>
      </c>
    </row>
    <row r="1728" spans="1:1">
      <c r="A1728" s="2" t="e">
        <f>CONCATENATE("'",'Inverter-Full Data'!#REF!,"     ",'Inverter-Full Data'!#REF!,",",'Inverter-Full Data'!#REF!,",",'Inverter-Full Data'!#REF!,",",'Inverter-Full Data'!#REF!,"'")</f>
        <v>#REF!</v>
      </c>
    </row>
    <row r="1729" spans="1:1">
      <c r="A1729" s="2" t="e">
        <f>CONCATENATE("'",'Inverter-Full Data'!#REF!,"     ",'Inverter-Full Data'!#REF!,",",'Inverter-Full Data'!#REF!,",",'Inverter-Full Data'!#REF!,",",'Inverter-Full Data'!#REF!,"'")</f>
        <v>#REF!</v>
      </c>
    </row>
    <row r="1730" spans="1:1">
      <c r="A1730" s="2" t="e">
        <f>CONCATENATE("'",'Inverter-Full Data'!#REF!,"     ",'Inverter-Full Data'!#REF!,",",'Inverter-Full Data'!#REF!,",",'Inverter-Full Data'!#REF!,",",'Inverter-Full Data'!#REF!,"'")</f>
        <v>#REF!</v>
      </c>
    </row>
    <row r="1731" spans="1:1">
      <c r="A1731" s="2" t="e">
        <f>CONCATENATE("'",'Inverter-Full Data'!#REF!,"     ",'Inverter-Full Data'!#REF!,",",'Inverter-Full Data'!#REF!,",",'Inverter-Full Data'!#REF!,",",'Inverter-Full Data'!#REF!,"'")</f>
        <v>#REF!</v>
      </c>
    </row>
    <row r="1732" spans="1:1">
      <c r="A1732" s="2" t="e">
        <f>CONCATENATE("'",'Inverter-Full Data'!#REF!,"     ",'Inverter-Full Data'!#REF!,",",'Inverter-Full Data'!#REF!,",",'Inverter-Full Data'!#REF!,",",'Inverter-Full Data'!#REF!,"'")</f>
        <v>#REF!</v>
      </c>
    </row>
    <row r="1733" spans="1:1">
      <c r="A1733" s="2" t="e">
        <f>CONCATENATE("'",'Inverter-Full Data'!#REF!,"     ",'Inverter-Full Data'!#REF!,",",'Inverter-Full Data'!#REF!,",",'Inverter-Full Data'!#REF!,",",'Inverter-Full Data'!#REF!,"'")</f>
        <v>#REF!</v>
      </c>
    </row>
    <row r="1734" spans="1:1">
      <c r="A1734" s="2" t="e">
        <f>CONCATENATE("'",'Inverter-Full Data'!#REF!,"     ",'Inverter-Full Data'!#REF!,",",'Inverter-Full Data'!#REF!,",",'Inverter-Full Data'!#REF!,",",'Inverter-Full Data'!#REF!,"'")</f>
        <v>#REF!</v>
      </c>
    </row>
    <row r="1735" spans="1:1">
      <c r="A1735" s="2" t="e">
        <f>CONCATENATE("'",'Inverter-Full Data'!#REF!,"     ",'Inverter-Full Data'!#REF!,",",'Inverter-Full Data'!#REF!,",",'Inverter-Full Data'!#REF!,",",'Inverter-Full Data'!#REF!,"'")</f>
        <v>#REF!</v>
      </c>
    </row>
    <row r="1736" spans="1:1">
      <c r="A1736" s="2" t="e">
        <f>CONCATENATE("'",'Inverter-Full Data'!#REF!,"     ",'Inverter-Full Data'!#REF!,",",'Inverter-Full Data'!#REF!,",",'Inverter-Full Data'!#REF!,",",'Inverter-Full Data'!#REF!,"'")</f>
        <v>#REF!</v>
      </c>
    </row>
    <row r="1737" spans="1:1">
      <c r="A1737" s="2" t="e">
        <f>CONCATENATE("'",'Inverter-Full Data'!#REF!,"     ",'Inverter-Full Data'!#REF!,",",'Inverter-Full Data'!#REF!,",",'Inverter-Full Data'!#REF!,",",'Inverter-Full Data'!#REF!,"'")</f>
        <v>#REF!</v>
      </c>
    </row>
    <row r="1738" spans="1:1">
      <c r="A1738" s="2" t="e">
        <f>CONCATENATE("'",'Inverter-Full Data'!#REF!,"     ",'Inverter-Full Data'!#REF!,",",'Inverter-Full Data'!#REF!,",",'Inverter-Full Data'!#REF!,",",'Inverter-Full Data'!#REF!,"'")</f>
        <v>#REF!</v>
      </c>
    </row>
    <row r="1739" spans="1:1">
      <c r="A1739" s="2" t="e">
        <f>CONCATENATE("'",'Inverter-Full Data'!#REF!,"     ",'Inverter-Full Data'!#REF!,",",'Inverter-Full Data'!#REF!,",",'Inverter-Full Data'!#REF!,",",'Inverter-Full Data'!#REF!,"'")</f>
        <v>#REF!</v>
      </c>
    </row>
    <row r="1740" spans="1:1">
      <c r="A1740" s="2" t="e">
        <f>CONCATENATE("'",'Inverter-Full Data'!#REF!,"     ",'Inverter-Full Data'!#REF!,",",'Inverter-Full Data'!#REF!,",",'Inverter-Full Data'!#REF!,",",'Inverter-Full Data'!#REF!,"'")</f>
        <v>#REF!</v>
      </c>
    </row>
    <row r="1741" spans="1:1">
      <c r="A1741" s="2" t="e">
        <f>CONCATENATE("'",'Inverter-Full Data'!#REF!,"     ",'Inverter-Full Data'!#REF!,",",'Inverter-Full Data'!#REF!,",",'Inverter-Full Data'!#REF!,",",'Inverter-Full Data'!#REF!,"'")</f>
        <v>#REF!</v>
      </c>
    </row>
    <row r="1742" spans="1:1">
      <c r="A1742" s="2" t="e">
        <f>CONCATENATE("'",'Inverter-Full Data'!#REF!,"     ",'Inverter-Full Data'!#REF!,",",'Inverter-Full Data'!#REF!,",",'Inverter-Full Data'!#REF!,",",'Inverter-Full Data'!#REF!,"'")</f>
        <v>#REF!</v>
      </c>
    </row>
    <row r="1743" spans="1:1">
      <c r="A1743" s="2" t="e">
        <f>CONCATENATE("'",'Inverter-Full Data'!#REF!,"     ",'Inverter-Full Data'!#REF!,",",'Inverter-Full Data'!#REF!,",",'Inverter-Full Data'!#REF!,",",'Inverter-Full Data'!#REF!,"'")</f>
        <v>#REF!</v>
      </c>
    </row>
    <row r="1744" spans="1:1">
      <c r="A1744" s="2" t="e">
        <f>CONCATENATE("'",'Inverter-Full Data'!#REF!,"     ",'Inverter-Full Data'!#REF!,",",'Inverter-Full Data'!#REF!,",",'Inverter-Full Data'!#REF!,",",'Inverter-Full Data'!#REF!,"'")</f>
        <v>#REF!</v>
      </c>
    </row>
    <row r="1745" spans="1:1">
      <c r="A1745" s="2" t="e">
        <f>CONCATENATE("'",'Inverter-Full Data'!#REF!,"     ",'Inverter-Full Data'!#REF!,",",'Inverter-Full Data'!#REF!,",",'Inverter-Full Data'!#REF!,",",'Inverter-Full Data'!#REF!,"'")</f>
        <v>#REF!</v>
      </c>
    </row>
    <row r="1746" spans="1:1">
      <c r="A1746" s="2" t="e">
        <f>CONCATENATE("'",'Inverter-Full Data'!#REF!,"     ",'Inverter-Full Data'!#REF!,",",'Inverter-Full Data'!#REF!,",",'Inverter-Full Data'!#REF!,",",'Inverter-Full Data'!#REF!,"'")</f>
        <v>#REF!</v>
      </c>
    </row>
    <row r="1747" spans="1:1">
      <c r="A1747" s="2" t="e">
        <f>CONCATENATE("'",'Inverter-Full Data'!#REF!,"     ",'Inverter-Full Data'!#REF!,",",'Inverter-Full Data'!#REF!,",",'Inverter-Full Data'!#REF!,",",'Inverter-Full Data'!#REF!,"'")</f>
        <v>#REF!</v>
      </c>
    </row>
    <row r="1748" spans="1:1">
      <c r="A1748" s="2" t="e">
        <f>CONCATENATE("'",'Inverter-Full Data'!#REF!,"     ",'Inverter-Full Data'!#REF!,",",'Inverter-Full Data'!#REF!,",",'Inverter-Full Data'!#REF!,",",'Inverter-Full Data'!#REF!,"'")</f>
        <v>#REF!</v>
      </c>
    </row>
    <row r="1749" spans="1:1">
      <c r="A1749" s="2" t="e">
        <f>CONCATENATE("'",'Inverter-Full Data'!#REF!,"     ",'Inverter-Full Data'!#REF!,",",'Inverter-Full Data'!#REF!,",",'Inverter-Full Data'!#REF!,",",'Inverter-Full Data'!#REF!,"'")</f>
        <v>#REF!</v>
      </c>
    </row>
    <row r="1750" spans="1:1">
      <c r="A1750" s="2" t="e">
        <f>CONCATENATE("'",'Inverter-Full Data'!#REF!,"     ",'Inverter-Full Data'!#REF!,",",'Inverter-Full Data'!#REF!,",",'Inverter-Full Data'!#REF!,",",'Inverter-Full Data'!#REF!,"'")</f>
        <v>#REF!</v>
      </c>
    </row>
    <row r="1751" spans="1:1">
      <c r="A1751" s="2" t="e">
        <f>CONCATENATE("'",'Inverter-Full Data'!#REF!,"     ",'Inverter-Full Data'!#REF!,",",'Inverter-Full Data'!#REF!,",",'Inverter-Full Data'!#REF!,",",'Inverter-Full Data'!#REF!,"'")</f>
        <v>#REF!</v>
      </c>
    </row>
    <row r="1752" spans="1:1">
      <c r="A1752" s="2" t="e">
        <f>CONCATENATE("'",'Inverter-Full Data'!#REF!,"     ",'Inverter-Full Data'!#REF!,",",'Inverter-Full Data'!#REF!,",",'Inverter-Full Data'!#REF!,",",'Inverter-Full Data'!#REF!,"'")</f>
        <v>#REF!</v>
      </c>
    </row>
    <row r="1753" spans="1:1">
      <c r="A1753" s="2" t="e">
        <f>CONCATENATE("'",'Inverter-Full Data'!#REF!,"     ",'Inverter-Full Data'!#REF!,",",'Inverter-Full Data'!#REF!,",",'Inverter-Full Data'!#REF!,",",'Inverter-Full Data'!#REF!,"'")</f>
        <v>#REF!</v>
      </c>
    </row>
    <row r="1754" spans="1:1">
      <c r="A1754" s="2" t="e">
        <f>CONCATENATE("'",'Inverter-Full Data'!#REF!,"     ",'Inverter-Full Data'!#REF!,",",'Inverter-Full Data'!#REF!,",",'Inverter-Full Data'!#REF!,",",'Inverter-Full Data'!#REF!,"'")</f>
        <v>#REF!</v>
      </c>
    </row>
    <row r="1755" spans="1:1">
      <c r="A1755" s="2" t="e">
        <f>CONCATENATE("'",'Inverter-Full Data'!#REF!,"     ",'Inverter-Full Data'!#REF!,",",'Inverter-Full Data'!#REF!,",",'Inverter-Full Data'!#REF!,",",'Inverter-Full Data'!#REF!,"'")</f>
        <v>#REF!</v>
      </c>
    </row>
    <row r="1756" spans="1:1">
      <c r="A1756" s="2" t="str">
        <f>CONCATENATE("'",'Inverter-Full Data'!A276,"     ",'Inverter-Full Data'!B276,",",'Inverter-Full Data'!S276,",",'Inverter-Full Data'!J276,",",'Inverter-Full Data'!T276,"'")</f>
        <v>'Fronius International GmbH     Fronius Symo 22.7-3 480 [480V],Y,97.5,N'</v>
      </c>
    </row>
    <row r="1757" spans="1:1">
      <c r="A1757" s="2" t="e">
        <f>CONCATENATE("'",'Inverter-Full Data'!#REF!,"     ",'Inverter-Full Data'!#REF!,",",'Inverter-Full Data'!#REF!,",",'Inverter-Full Data'!#REF!,",",'Inverter-Full Data'!#REF!,"'")</f>
        <v>#REF!</v>
      </c>
    </row>
    <row r="1758" spans="1:1">
      <c r="A1758" s="2" t="e">
        <f>CONCATENATE("'",'Inverter-Full Data'!#REF!,"     ",'Inverter-Full Data'!#REF!,",",'Inverter-Full Data'!#REF!,",",'Inverter-Full Data'!#REF!,",",'Inverter-Full Data'!#REF!,"'")</f>
        <v>#REF!</v>
      </c>
    </row>
    <row r="1759" spans="1:1">
      <c r="A1759" s="2" t="e">
        <f>CONCATENATE("'",'Inverter-Full Data'!#REF!,"     ",'Inverter-Full Data'!#REF!,",",'Inverter-Full Data'!#REF!,",",'Inverter-Full Data'!#REF!,",",'Inverter-Full Data'!#REF!,"'")</f>
        <v>#REF!</v>
      </c>
    </row>
    <row r="1760" spans="1:1">
      <c r="A1760" s="2" t="e">
        <f>CONCATENATE("'",'Inverter-Full Data'!#REF!,"     ",'Inverter-Full Data'!#REF!,",",'Inverter-Full Data'!#REF!,",",'Inverter-Full Data'!#REF!,",",'Inverter-Full Data'!#REF!,"'")</f>
        <v>#REF!</v>
      </c>
    </row>
    <row r="1761" spans="1:1">
      <c r="A1761" s="2" t="e">
        <f>CONCATENATE("'",'Inverter-Full Data'!#REF!,"     ",'Inverter-Full Data'!#REF!,",",'Inverter-Full Data'!#REF!,",",'Inverter-Full Data'!#REF!,",",'Inverter-Full Data'!#REF!,"'")</f>
        <v>#REF!</v>
      </c>
    </row>
    <row r="1762" spans="1:1">
      <c r="A1762" s="2" t="e">
        <f>CONCATENATE("'",'Inverter-Full Data'!#REF!,"     ",'Inverter-Full Data'!#REF!,",",'Inverter-Full Data'!#REF!,",",'Inverter-Full Data'!#REF!,",",'Inverter-Full Data'!#REF!,"'")</f>
        <v>#REF!</v>
      </c>
    </row>
    <row r="1763" spans="1:1">
      <c r="A1763" s="2" t="str">
        <f>CONCATENATE("'",'Inverter-Full Data'!A277,"     ",'Inverter-Full Data'!B277,",",'Inverter-Full Data'!S277,",",'Inverter-Full Data'!J277,",",'Inverter-Full Data'!T277,"'")</f>
        <v>'Fronius International GmbH     Fronius Symo 24.0-3 480 [480V],Y,97.5,N'</v>
      </c>
    </row>
    <row r="1764" spans="1:1">
      <c r="A1764" s="2" t="e">
        <f>CONCATENATE("'",'Inverter-Full Data'!#REF!,"     ",'Inverter-Full Data'!#REF!,",",'Inverter-Full Data'!#REF!,",",'Inverter-Full Data'!#REF!,",",'Inverter-Full Data'!#REF!,"'")</f>
        <v>#REF!</v>
      </c>
    </row>
    <row r="1765" spans="1:1">
      <c r="A1765" s="2" t="e">
        <f>CONCATENATE("'",'Inverter-Full Data'!#REF!,"     ",'Inverter-Full Data'!#REF!,",",'Inverter-Full Data'!#REF!,",",'Inverter-Full Data'!#REF!,",",'Inverter-Full Data'!#REF!,"'")</f>
        <v>#REF!</v>
      </c>
    </row>
    <row r="1766" spans="1:1">
      <c r="A1766" s="2" t="str">
        <f>CONCATENATE("'",'Inverter-Full Data'!A278,"     ",'Inverter-Full Data'!B278,",",'Inverter-Full Data'!S278,",",'Inverter-Full Data'!J278,",",'Inverter-Full Data'!T278,"'")</f>
        <v>'Fronius International GmbH     Fronius Symo Advanced 10.0-3 208-240 [208V],Y,96.5,N'</v>
      </c>
    </row>
    <row r="1767" spans="1:1">
      <c r="A1767" s="2" t="str">
        <f>CONCATENATE("'",'Inverter-Full Data'!A279,"     ",'Inverter-Full Data'!B279,",",'Inverter-Full Data'!S279,",",'Inverter-Full Data'!J279,",",'Inverter-Full Data'!T279,"'")</f>
        <v>'Fronius International GmbH     Fronius Symo Advanced 10.0-3 208-240 [240V],Y,96.5,N'</v>
      </c>
    </row>
    <row r="1768" spans="1:1">
      <c r="A1768" s="2" t="str">
        <f>CONCATENATE("'",'Inverter-Full Data'!A280,"     ",'Inverter-Full Data'!B280,",",'Inverter-Full Data'!S280,",",'Inverter-Full Data'!J280,",",'Inverter-Full Data'!T280,"'")</f>
        <v>'Fronius International GmbH     Fronius Symo Advanced 12.0-3 208-240 [208V],Y,96.5,N'</v>
      </c>
    </row>
    <row r="1769" spans="1:1">
      <c r="A1769" s="2" t="str">
        <f>CONCATENATE("'",'Inverter-Full Data'!A281,"     ",'Inverter-Full Data'!B281,",",'Inverter-Full Data'!S281,",",'Inverter-Full Data'!J281,",",'Inverter-Full Data'!T281,"'")</f>
        <v>'Fronius International GmbH     Fronius Symo Advanced 12.0-3 208-240 [240V],Y,96.5,N'</v>
      </c>
    </row>
    <row r="1770" spans="1:1">
      <c r="A1770" s="2" t="str">
        <f>CONCATENATE("'",'Inverter-Full Data'!A282,"     ",'Inverter-Full Data'!B282,",",'Inverter-Full Data'!S282,",",'Inverter-Full Data'!J282,",",'Inverter-Full Data'!T282,"'")</f>
        <v>'Fronius International GmbH     Fronius Symo Advanced 15.0-3 480 [480V],Y,97,N'</v>
      </c>
    </row>
    <row r="1771" spans="1:1">
      <c r="A1771" s="2" t="str">
        <f>CONCATENATE("'",'Inverter-Full Data'!A283,"     ",'Inverter-Full Data'!B283,",",'Inverter-Full Data'!S283,",",'Inverter-Full Data'!J283,",",'Inverter-Full Data'!T283,"'")</f>
        <v>'Fronius International GmbH     Fronius Symo Advanced 20.0-3 480 [480V],Y,97,N'</v>
      </c>
    </row>
    <row r="1772" spans="1:1">
      <c r="A1772" s="2" t="str">
        <f>CONCATENATE("'",'Inverter-Full Data'!A284,"     ",'Inverter-Full Data'!B284,",",'Inverter-Full Data'!S284,",",'Inverter-Full Data'!J284,",",'Inverter-Full Data'!T284,"'")</f>
        <v>'Fronius International GmbH     Fronius Symo Advanced 22.7-3 480 [480V],Y,97.5,N'</v>
      </c>
    </row>
    <row r="1773" spans="1:1">
      <c r="A1773" s="2" t="str">
        <f>CONCATENATE("'",'Inverter-Full Data'!A285,"     ",'Inverter-Full Data'!B285,",",'Inverter-Full Data'!S285,",",'Inverter-Full Data'!J285,",",'Inverter-Full Data'!T285,"'")</f>
        <v>'Fronius International GmbH     Fronius Symo Advanced 24.0-3 480  [480V],Y,97.5,N'</v>
      </c>
    </row>
    <row r="1774" spans="1:1">
      <c r="A1774" s="2" t="str">
        <f>CONCATENATE("'",'Inverter-Full Data'!A286,"     ",'Inverter-Full Data'!B286,",",'Inverter-Full Data'!S286,",",'Inverter-Full Data'!J286,",",'Inverter-Full Data'!T286,"'")</f>
        <v>'HiQ Solar     TSXL480-10k [480V],N,97.5,N'</v>
      </c>
    </row>
    <row r="1775" spans="1:1">
      <c r="A1775" s="2" t="str">
        <f>CONCATENATE("'",'Inverter-Full Data'!A287,"     ",'Inverter-Full Data'!B287,",",'Inverter-Full Data'!S287,",",'Inverter-Full Data'!J287,",",'Inverter-Full Data'!T287,"'")</f>
        <v>'Hoymiles Converter Technology Co., Ltd.     HM-1000 [240V],N,96.5,Y'</v>
      </c>
    </row>
    <row r="1776" spans="1:1">
      <c r="A1776" s="2" t="e">
        <f>CONCATENATE("'",'Inverter-Full Data'!#REF!,"     ",'Inverter-Full Data'!#REF!,",",'Inverter-Full Data'!#REF!,",",'Inverter-Full Data'!#REF!,",",'Inverter-Full Data'!#REF!,"'")</f>
        <v>#REF!</v>
      </c>
    </row>
    <row r="1777" spans="1:1">
      <c r="A1777" s="2" t="e">
        <f>CONCATENATE("'",'Inverter-Full Data'!#REF!,"     ",'Inverter-Full Data'!#REF!,",",'Inverter-Full Data'!#REF!,",",'Inverter-Full Data'!#REF!,",",'Inverter-Full Data'!#REF!,"'")</f>
        <v>#REF!</v>
      </c>
    </row>
    <row r="1778" spans="1:1">
      <c r="A1778" s="2" t="e">
        <f>CONCATENATE("'",'Inverter-Full Data'!#REF!,"     ",'Inverter-Full Data'!#REF!,",",'Inverter-Full Data'!#REF!,",",'Inverter-Full Data'!#REF!,",",'Inverter-Full Data'!#REF!,"'")</f>
        <v>#REF!</v>
      </c>
    </row>
    <row r="1779" spans="1:1">
      <c r="A1779" s="2" t="e">
        <f>CONCATENATE("'",'Inverter-Full Data'!#REF!,"     ",'Inverter-Full Data'!#REF!,",",'Inverter-Full Data'!#REF!,",",'Inverter-Full Data'!#REF!,",",'Inverter-Full Data'!#REF!,"'")</f>
        <v>#REF!</v>
      </c>
    </row>
    <row r="1780" spans="1:1">
      <c r="A1780" s="2" t="e">
        <f>CONCATENATE("'",'Inverter-Full Data'!#REF!,"     ",'Inverter-Full Data'!#REF!,",",'Inverter-Full Data'!#REF!,",",'Inverter-Full Data'!#REF!,",",'Inverter-Full Data'!#REF!,"'")</f>
        <v>#REF!</v>
      </c>
    </row>
    <row r="1781" spans="1:1">
      <c r="A1781" s="2" t="e">
        <f>CONCATENATE("'",'Inverter-Full Data'!#REF!,"     ",'Inverter-Full Data'!#REF!,",",'Inverter-Full Data'!#REF!,",",'Inverter-Full Data'!#REF!,",",'Inverter-Full Data'!#REF!,"'")</f>
        <v>#REF!</v>
      </c>
    </row>
    <row r="1782" spans="1:1">
      <c r="A1782" s="2" t="e">
        <f>CONCATENATE("'",'Inverter-Full Data'!#REF!,"     ",'Inverter-Full Data'!#REF!,",",'Inverter-Full Data'!#REF!,",",'Inverter-Full Data'!#REF!,",",'Inverter-Full Data'!#REF!,"'")</f>
        <v>#REF!</v>
      </c>
    </row>
    <row r="1783" spans="1:1">
      <c r="A1783" s="2" t="e">
        <f>CONCATENATE("'",'Inverter-Full Data'!#REF!,"     ",'Inverter-Full Data'!#REF!,",",'Inverter-Full Data'!#REF!,",",'Inverter-Full Data'!#REF!,",",'Inverter-Full Data'!#REF!,"'")</f>
        <v>#REF!</v>
      </c>
    </row>
    <row r="1784" spans="1:1">
      <c r="A1784" s="2" t="e">
        <f>CONCATENATE("'",'Inverter-Full Data'!#REF!,"     ",'Inverter-Full Data'!#REF!,",",'Inverter-Full Data'!#REF!,",",'Inverter-Full Data'!#REF!,",",'Inverter-Full Data'!#REF!,"'")</f>
        <v>#REF!</v>
      </c>
    </row>
    <row r="1785" spans="1:1">
      <c r="A1785" s="2" t="e">
        <f>CONCATENATE("'",'Inverter-Full Data'!#REF!,"     ",'Inverter-Full Data'!#REF!,",",'Inverter-Full Data'!#REF!,",",'Inverter-Full Data'!#REF!,",",'Inverter-Full Data'!#REF!,"'")</f>
        <v>#REF!</v>
      </c>
    </row>
    <row r="1786" spans="1:1">
      <c r="A1786" s="2" t="e">
        <f>CONCATENATE("'",'Inverter-Full Data'!#REF!,"     ",'Inverter-Full Data'!#REF!,",",'Inverter-Full Data'!#REF!,",",'Inverter-Full Data'!#REF!,",",'Inverter-Full Data'!#REF!,"'")</f>
        <v>#REF!</v>
      </c>
    </row>
    <row r="1787" spans="1:1">
      <c r="A1787" s="2" t="e">
        <f>CONCATENATE("'",'Inverter-Full Data'!#REF!,"     ",'Inverter-Full Data'!#REF!,",",'Inverter-Full Data'!#REF!,",",'Inverter-Full Data'!#REF!,",",'Inverter-Full Data'!#REF!,"'")</f>
        <v>#REF!</v>
      </c>
    </row>
    <row r="1788" spans="1:1">
      <c r="A1788" s="2" t="e">
        <f>CONCATENATE("'",'Inverter-Full Data'!#REF!,"     ",'Inverter-Full Data'!#REF!,",",'Inverter-Full Data'!#REF!,",",'Inverter-Full Data'!#REF!,",",'Inverter-Full Data'!#REF!,"'")</f>
        <v>#REF!</v>
      </c>
    </row>
    <row r="1789" spans="1:1">
      <c r="A1789" s="2" t="e">
        <f>CONCATENATE("'",'Inverter-Full Data'!#REF!,"     ",'Inverter-Full Data'!#REF!,",",'Inverter-Full Data'!#REF!,",",'Inverter-Full Data'!#REF!,",",'Inverter-Full Data'!#REF!,"'")</f>
        <v>#REF!</v>
      </c>
    </row>
    <row r="1790" spans="1:1">
      <c r="A1790" s="2" t="e">
        <f>CONCATENATE("'",'Inverter-Full Data'!#REF!,"     ",'Inverter-Full Data'!#REF!,",",'Inverter-Full Data'!#REF!,",",'Inverter-Full Data'!#REF!,",",'Inverter-Full Data'!#REF!,"'")</f>
        <v>#REF!</v>
      </c>
    </row>
    <row r="1791" spans="1:1">
      <c r="A1791" s="2" t="e">
        <f>CONCATENATE("'",'Inverter-Full Data'!#REF!,"     ",'Inverter-Full Data'!#REF!,",",'Inverter-Full Data'!#REF!,",",'Inverter-Full Data'!#REF!,",",'Inverter-Full Data'!#REF!,"'")</f>
        <v>#REF!</v>
      </c>
    </row>
    <row r="1792" spans="1:1">
      <c r="A1792" s="2" t="str">
        <f>CONCATENATE("'",'Inverter-Full Data'!A288,"     ",'Inverter-Full Data'!B288,",",'Inverter-Full Data'!S288,",",'Inverter-Full Data'!J288,",",'Inverter-Full Data'!T288,"'")</f>
        <v>'Hoymiles Converter Technology Co., Ltd.     HM-1000T [240V],N,96.5,Y'</v>
      </c>
    </row>
    <row r="1793" spans="1:1">
      <c r="A1793" s="2" t="str">
        <f>CONCATENATE("'",'Inverter-Full Data'!A289,"     ",'Inverter-Full Data'!B289,",",'Inverter-Full Data'!S289,",",'Inverter-Full Data'!J289,",",'Inverter-Full Data'!T289,"'")</f>
        <v>'Hoymiles Converter Technology Co., Ltd.     HM-1200 [240V],N,96.5,Y'</v>
      </c>
    </row>
    <row r="1794" spans="1:1">
      <c r="A1794" s="2" t="e">
        <f>CONCATENATE("'",'Inverter-Full Data'!#REF!,"     ",'Inverter-Full Data'!#REF!,",",'Inverter-Full Data'!#REF!,",",'Inverter-Full Data'!#REF!,",",'Inverter-Full Data'!#REF!,"'")</f>
        <v>#REF!</v>
      </c>
    </row>
    <row r="1795" spans="1:1">
      <c r="A1795" s="2" t="e">
        <f>CONCATENATE("'",'Inverter-Full Data'!#REF!,"     ",'Inverter-Full Data'!#REF!,",",'Inverter-Full Data'!#REF!,",",'Inverter-Full Data'!#REF!,",",'Inverter-Full Data'!#REF!,"'")</f>
        <v>#REF!</v>
      </c>
    </row>
    <row r="1796" spans="1:1">
      <c r="A1796" s="2" t="str">
        <f>CONCATENATE("'",'Inverter-Full Data'!A290,"     ",'Inverter-Full Data'!B290,",",'Inverter-Full Data'!S290,",",'Inverter-Full Data'!J290,",",'Inverter-Full Data'!T290,"'")</f>
        <v>'Hoymiles Converter Technology Co., Ltd.     HM-1200T [240V],N,96.5,Y'</v>
      </c>
    </row>
    <row r="1797" spans="1:1">
      <c r="A1797" s="2" t="str">
        <f>CONCATENATE("'",'Inverter-Full Data'!A291,"     ",'Inverter-Full Data'!B291,",",'Inverter-Full Data'!S291,",",'Inverter-Full Data'!J291,",",'Inverter-Full Data'!T291,"'")</f>
        <v>'Hoymiles Converter Technology Co., Ltd.     HM-1500 [240V],N,96.5,Y'</v>
      </c>
    </row>
    <row r="1798" spans="1:1">
      <c r="A1798" s="2" t="e">
        <f>CONCATENATE("'",'Inverter-Full Data'!#REF!,"     ",'Inverter-Full Data'!#REF!,",",'Inverter-Full Data'!#REF!,",",'Inverter-Full Data'!#REF!,",",'Inverter-Full Data'!#REF!,"'")</f>
        <v>#REF!</v>
      </c>
    </row>
    <row r="1799" spans="1:1">
      <c r="A1799" s="2" t="e">
        <f>CONCATENATE("'",'Inverter-Full Data'!#REF!,"     ",'Inverter-Full Data'!#REF!,",",'Inverter-Full Data'!#REF!,",",'Inverter-Full Data'!#REF!,",",'Inverter-Full Data'!#REF!,"'")</f>
        <v>#REF!</v>
      </c>
    </row>
    <row r="1800" spans="1:1">
      <c r="A1800" s="2" t="str">
        <f>CONCATENATE("'",'Inverter-Full Data'!A292,"     ",'Inverter-Full Data'!B292,",",'Inverter-Full Data'!S292,",",'Inverter-Full Data'!J292,",",'Inverter-Full Data'!T292,"'")</f>
        <v>'Hoymiles Converter Technology Co., Ltd.     HM-1500T [240V],N,96.5,Y'</v>
      </c>
    </row>
    <row r="1801" spans="1:1">
      <c r="A1801" s="2" t="str">
        <f>CONCATENATE("'",'Inverter-Full Data'!A293,"     ",'Inverter-Full Data'!B293,",",'Inverter-Full Data'!S293,",",'Inverter-Full Data'!J293,",",'Inverter-Full Data'!T293,"'")</f>
        <v>'Huawei Technologies Co., Ltd     SUN2000-25KTL-US [480V],N,98,N'</v>
      </c>
    </row>
    <row r="1802" spans="1:1">
      <c r="A1802" s="2" t="str">
        <f>CONCATENATE("'",'Inverter-Full Data'!A294,"     ",'Inverter-Full Data'!B294,",",'Inverter-Full Data'!S294,",",'Inverter-Full Data'!J294,",",'Inverter-Full Data'!T294,"'")</f>
        <v>'Huawei Technologies Co., Ltd     SUN2000-30KTL-US [480V],N,98,N'</v>
      </c>
    </row>
    <row r="1803" spans="1:1">
      <c r="A1803" s="2" t="e">
        <f>CONCATENATE("'",'Inverter-Full Data'!#REF!,"     ",'Inverter-Full Data'!#REF!,",",'Inverter-Full Data'!#REF!,",",'Inverter-Full Data'!#REF!,",",'Inverter-Full Data'!#REF!,"'")</f>
        <v>#REF!</v>
      </c>
    </row>
    <row r="1804" spans="1:1">
      <c r="A1804" s="2" t="str">
        <f>CONCATENATE("'",'Inverter-Full Data'!A295,"     ",'Inverter-Full Data'!B295,",",'Inverter-Full Data'!S295,",",'Inverter-Full Data'!J295,",",'Inverter-Full Data'!T295,"'")</f>
        <v>'Huawei Technologies Co., Ltd.     SUN2000-100KTL-USH0 [800V],N,98.5,N'</v>
      </c>
    </row>
    <row r="1805" spans="1:1">
      <c r="A1805" s="2" t="str">
        <f>CONCATENATE("'",'Inverter-Full Data'!A296,"     ",'Inverter-Full Data'!B296,",",'Inverter-Full Data'!S296,",",'Inverter-Full Data'!J296,",",'Inverter-Full Data'!T296,"'")</f>
        <v>'Huawei Technologies Co., Ltd.     SUN2000-10KTL-USL0 [240V],Y,99,N'</v>
      </c>
    </row>
    <row r="1806" spans="1:1">
      <c r="A1806" s="2" t="str">
        <f>CONCATENATE("'",'Inverter-Full Data'!A297,"     ",'Inverter-Full Data'!B297,",",'Inverter-Full Data'!S297,",",'Inverter-Full Data'!J297,",",'Inverter-Full Data'!T297,"'")</f>
        <v>'Huawei Technologies Co., Ltd.     SUN2000-11.4KTL-USL0 [240V],Y,99,N'</v>
      </c>
    </row>
    <row r="1807" spans="1:1">
      <c r="A1807" s="2" t="e">
        <f>CONCATENATE("'",'Inverter-Full Data'!#REF!,"     ",'Inverter-Full Data'!#REF!,",",'Inverter-Full Data'!#REF!,",",'Inverter-Full Data'!#REF!,",",'Inverter-Full Data'!#REF!,"'")</f>
        <v>#REF!</v>
      </c>
    </row>
    <row r="1808" spans="1:1">
      <c r="A1808" s="2" t="e">
        <f>CONCATENATE("'",'Inverter-Full Data'!#REF!,"     ",'Inverter-Full Data'!#REF!,",",'Inverter-Full Data'!#REF!,",",'Inverter-Full Data'!#REF!,",",'Inverter-Full Data'!#REF!,"'")</f>
        <v>#REF!</v>
      </c>
    </row>
    <row r="1809" spans="1:1">
      <c r="A1809" s="2" t="e">
        <f>CONCATENATE("'",'Inverter-Full Data'!#REF!,"     ",'Inverter-Full Data'!#REF!,",",'Inverter-Full Data'!#REF!,",",'Inverter-Full Data'!#REF!,",",'Inverter-Full Data'!#REF!,"'")</f>
        <v>#REF!</v>
      </c>
    </row>
    <row r="1810" spans="1:1">
      <c r="A1810" s="2" t="e">
        <f>CONCATENATE("'",'Inverter-Full Data'!#REF!,"     ",'Inverter-Full Data'!#REF!,",",'Inverter-Full Data'!#REF!,",",'Inverter-Full Data'!#REF!,",",'Inverter-Full Data'!#REF!,"'")</f>
        <v>#REF!</v>
      </c>
    </row>
    <row r="1811" spans="1:1">
      <c r="A1811" s="2" t="e">
        <f>CONCATENATE("'",'Inverter-Full Data'!#REF!,"     ",'Inverter-Full Data'!#REF!,",",'Inverter-Full Data'!#REF!,",",'Inverter-Full Data'!#REF!,",",'Inverter-Full Data'!#REF!,"'")</f>
        <v>#REF!</v>
      </c>
    </row>
    <row r="1812" spans="1:1">
      <c r="A1812" s="2" t="e">
        <f>CONCATENATE("'",'Inverter-Full Data'!#REF!,"     ",'Inverter-Full Data'!#REF!,",",'Inverter-Full Data'!#REF!,",",'Inverter-Full Data'!#REF!,",",'Inverter-Full Data'!#REF!,"'")</f>
        <v>#REF!</v>
      </c>
    </row>
    <row r="1813" spans="1:1">
      <c r="A1813" s="2" t="e">
        <f>CONCATENATE("'",'Inverter-Full Data'!#REF!,"     ",'Inverter-Full Data'!#REF!,",",'Inverter-Full Data'!#REF!,",",'Inverter-Full Data'!#REF!,",",'Inverter-Full Data'!#REF!,"'")</f>
        <v>#REF!</v>
      </c>
    </row>
    <row r="1814" spans="1:1">
      <c r="A1814" s="2" t="e">
        <f>CONCATENATE("'",'Inverter-Full Data'!#REF!,"     ",'Inverter-Full Data'!#REF!,",",'Inverter-Full Data'!#REF!,",",'Inverter-Full Data'!#REF!,",",'Inverter-Full Data'!#REF!,"'")</f>
        <v>#REF!</v>
      </c>
    </row>
    <row r="1815" spans="1:1">
      <c r="A1815" s="2" t="e">
        <f>CONCATENATE("'",'Inverter-Full Data'!#REF!,"     ",'Inverter-Full Data'!#REF!,",",'Inverter-Full Data'!#REF!,",",'Inverter-Full Data'!#REF!,",",'Inverter-Full Data'!#REF!,"'")</f>
        <v>#REF!</v>
      </c>
    </row>
    <row r="1816" spans="1:1">
      <c r="A1816" s="2" t="e">
        <f>CONCATENATE("'",'Inverter-Full Data'!#REF!,"     ",'Inverter-Full Data'!#REF!,",",'Inverter-Full Data'!#REF!,",",'Inverter-Full Data'!#REF!,",",'Inverter-Full Data'!#REF!,"'")</f>
        <v>#REF!</v>
      </c>
    </row>
    <row r="1817" spans="1:1">
      <c r="A1817" s="2" t="e">
        <f>CONCATENATE("'",'Inverter-Full Data'!#REF!,"     ",'Inverter-Full Data'!#REF!,",",'Inverter-Full Data'!#REF!,",",'Inverter-Full Data'!#REF!,",",'Inverter-Full Data'!#REF!,"'")</f>
        <v>#REF!</v>
      </c>
    </row>
    <row r="1818" spans="1:1">
      <c r="A1818" s="2" t="e">
        <f>CONCATENATE("'",'Inverter-Full Data'!#REF!,"     ",'Inverter-Full Data'!#REF!,",",'Inverter-Full Data'!#REF!,",",'Inverter-Full Data'!#REF!,",",'Inverter-Full Data'!#REF!,"'")</f>
        <v>#REF!</v>
      </c>
    </row>
    <row r="1819" spans="1:1">
      <c r="A1819" s="2" t="e">
        <f>CONCATENATE("'",'Inverter-Full Data'!#REF!,"     ",'Inverter-Full Data'!#REF!,",",'Inverter-Full Data'!#REF!,",",'Inverter-Full Data'!#REF!,",",'Inverter-Full Data'!#REF!,"'")</f>
        <v>#REF!</v>
      </c>
    </row>
    <row r="1820" spans="1:1">
      <c r="A1820" s="2" t="e">
        <f>CONCATENATE("'",'Inverter-Full Data'!#REF!,"     ",'Inverter-Full Data'!#REF!,",",'Inverter-Full Data'!#REF!,",",'Inverter-Full Data'!#REF!,",",'Inverter-Full Data'!#REF!,"'")</f>
        <v>#REF!</v>
      </c>
    </row>
    <row r="1821" spans="1:1">
      <c r="A1821" s="2" t="e">
        <f>CONCATENATE("'",'Inverter-Full Data'!#REF!,"     ",'Inverter-Full Data'!#REF!,",",'Inverter-Full Data'!#REF!,",",'Inverter-Full Data'!#REF!,",",'Inverter-Full Data'!#REF!,"'")</f>
        <v>#REF!</v>
      </c>
    </row>
    <row r="1822" spans="1:1">
      <c r="A1822" s="2" t="e">
        <f>CONCATENATE("'",'Inverter-Full Data'!#REF!,"     ",'Inverter-Full Data'!#REF!,",",'Inverter-Full Data'!#REF!,",",'Inverter-Full Data'!#REF!,",",'Inverter-Full Data'!#REF!,"'")</f>
        <v>#REF!</v>
      </c>
    </row>
    <row r="1823" spans="1:1">
      <c r="A1823" s="2" t="e">
        <f>CONCATENATE("'",'Inverter-Full Data'!#REF!,"     ",'Inverter-Full Data'!#REF!,",",'Inverter-Full Data'!#REF!,",",'Inverter-Full Data'!#REF!,",",'Inverter-Full Data'!#REF!,"'")</f>
        <v>#REF!</v>
      </c>
    </row>
    <row r="1824" spans="1:1">
      <c r="A1824" s="2" t="e">
        <f>CONCATENATE("'",'Inverter-Full Data'!#REF!,"     ",'Inverter-Full Data'!#REF!,",",'Inverter-Full Data'!#REF!,",",'Inverter-Full Data'!#REF!,",",'Inverter-Full Data'!#REF!,"'")</f>
        <v>#REF!</v>
      </c>
    </row>
    <row r="1825" spans="1:1">
      <c r="A1825" s="2" t="e">
        <f>CONCATENATE("'",'Inverter-Full Data'!#REF!,"     ",'Inverter-Full Data'!#REF!,",",'Inverter-Full Data'!#REF!,",",'Inverter-Full Data'!#REF!,",",'Inverter-Full Data'!#REF!,"'")</f>
        <v>#REF!</v>
      </c>
    </row>
    <row r="1826" spans="1:1">
      <c r="A1826" s="2" t="e">
        <f>CONCATENATE("'",'Inverter-Full Data'!#REF!,"     ",'Inverter-Full Data'!#REF!,",",'Inverter-Full Data'!#REF!,",",'Inverter-Full Data'!#REF!,",",'Inverter-Full Data'!#REF!,"'")</f>
        <v>#REF!</v>
      </c>
    </row>
    <row r="1827" spans="1:1">
      <c r="A1827" s="2" t="e">
        <f>CONCATENATE("'",'Inverter-Full Data'!#REF!,"     ",'Inverter-Full Data'!#REF!,",",'Inverter-Full Data'!#REF!,",",'Inverter-Full Data'!#REF!,",",'Inverter-Full Data'!#REF!,"'")</f>
        <v>#REF!</v>
      </c>
    </row>
    <row r="1828" spans="1:1">
      <c r="A1828" s="2" t="e">
        <f>CONCATENATE("'",'Inverter-Full Data'!#REF!,"     ",'Inverter-Full Data'!#REF!,",",'Inverter-Full Data'!#REF!,",",'Inverter-Full Data'!#REF!,",",'Inverter-Full Data'!#REF!,"'")</f>
        <v>#REF!</v>
      </c>
    </row>
    <row r="1829" spans="1:1">
      <c r="A1829" s="2" t="e">
        <f>CONCATENATE("'",'Inverter-Full Data'!#REF!,"     ",'Inverter-Full Data'!#REF!,",",'Inverter-Full Data'!#REF!,",",'Inverter-Full Data'!#REF!,",",'Inverter-Full Data'!#REF!,"'")</f>
        <v>#REF!</v>
      </c>
    </row>
    <row r="1830" spans="1:1">
      <c r="A1830" s="2" t="e">
        <f>CONCATENATE("'",'Inverter-Full Data'!#REF!,"     ",'Inverter-Full Data'!#REF!,",",'Inverter-Full Data'!#REF!,",",'Inverter-Full Data'!#REF!,",",'Inverter-Full Data'!#REF!,"'")</f>
        <v>#REF!</v>
      </c>
    </row>
    <row r="1831" spans="1:1">
      <c r="A1831" s="2" t="e">
        <f>CONCATENATE("'",'Inverter-Full Data'!#REF!,"     ",'Inverter-Full Data'!#REF!,",",'Inverter-Full Data'!#REF!,",",'Inverter-Full Data'!#REF!,",",'Inverter-Full Data'!#REF!,"'")</f>
        <v>#REF!</v>
      </c>
    </row>
    <row r="1832" spans="1:1">
      <c r="A1832" s="2" t="e">
        <f>CONCATENATE("'",'Inverter-Full Data'!#REF!,"     ",'Inverter-Full Data'!#REF!,",",'Inverter-Full Data'!#REF!,",",'Inverter-Full Data'!#REF!,",",'Inverter-Full Data'!#REF!,"'")</f>
        <v>#REF!</v>
      </c>
    </row>
    <row r="1833" spans="1:1">
      <c r="A1833" s="2" t="e">
        <f>CONCATENATE("'",'Inverter-Full Data'!#REF!,"     ",'Inverter-Full Data'!#REF!,",",'Inverter-Full Data'!#REF!,",",'Inverter-Full Data'!#REF!,",",'Inverter-Full Data'!#REF!,"'")</f>
        <v>#REF!</v>
      </c>
    </row>
    <row r="1834" spans="1:1">
      <c r="A1834" s="2" t="e">
        <f>CONCATENATE("'",'Inverter-Full Data'!#REF!,"     ",'Inverter-Full Data'!#REF!,",",'Inverter-Full Data'!#REF!,",",'Inverter-Full Data'!#REF!,",",'Inverter-Full Data'!#REF!,"'")</f>
        <v>#REF!</v>
      </c>
    </row>
    <row r="1835" spans="1:1">
      <c r="A1835" s="2" t="e">
        <f>CONCATENATE("'",'Inverter-Full Data'!#REF!,"     ",'Inverter-Full Data'!#REF!,",",'Inverter-Full Data'!#REF!,",",'Inverter-Full Data'!#REF!,",",'Inverter-Full Data'!#REF!,"'")</f>
        <v>#REF!</v>
      </c>
    </row>
    <row r="1836" spans="1:1">
      <c r="A1836" s="2" t="e">
        <f>CONCATENATE("'",'Inverter-Full Data'!#REF!,"     ",'Inverter-Full Data'!#REF!,",",'Inverter-Full Data'!#REF!,",",'Inverter-Full Data'!#REF!,",",'Inverter-Full Data'!#REF!,"'")</f>
        <v>#REF!</v>
      </c>
    </row>
    <row r="1837" spans="1:1">
      <c r="A1837" s="2" t="e">
        <f>CONCATENATE("'",'Inverter-Full Data'!#REF!,"     ",'Inverter-Full Data'!#REF!,",",'Inverter-Full Data'!#REF!,",",'Inverter-Full Data'!#REF!,",",'Inverter-Full Data'!#REF!,"'")</f>
        <v>#REF!</v>
      </c>
    </row>
    <row r="1838" spans="1:1">
      <c r="A1838" s="2" t="e">
        <f>CONCATENATE("'",'Inverter-Full Data'!#REF!,"     ",'Inverter-Full Data'!#REF!,",",'Inverter-Full Data'!#REF!,",",'Inverter-Full Data'!#REF!,",",'Inverter-Full Data'!#REF!,"'")</f>
        <v>#REF!</v>
      </c>
    </row>
    <row r="1839" spans="1:1">
      <c r="A1839" s="2" t="e">
        <f>CONCATENATE("'",'Inverter-Full Data'!#REF!,"     ",'Inverter-Full Data'!#REF!,",",'Inverter-Full Data'!#REF!,",",'Inverter-Full Data'!#REF!,",",'Inverter-Full Data'!#REF!,"'")</f>
        <v>#REF!</v>
      </c>
    </row>
    <row r="1840" spans="1:1">
      <c r="A1840" s="2" t="e">
        <f>CONCATENATE("'",'Inverter-Full Data'!#REF!,"     ",'Inverter-Full Data'!#REF!,",",'Inverter-Full Data'!#REF!,",",'Inverter-Full Data'!#REF!,",",'Inverter-Full Data'!#REF!,"'")</f>
        <v>#REF!</v>
      </c>
    </row>
    <row r="1841" spans="1:1">
      <c r="A1841" s="2" t="e">
        <f>CONCATENATE("'",'Inverter-Full Data'!#REF!,"     ",'Inverter-Full Data'!#REF!,",",'Inverter-Full Data'!#REF!,",",'Inverter-Full Data'!#REF!,",",'Inverter-Full Data'!#REF!,"'")</f>
        <v>#REF!</v>
      </c>
    </row>
    <row r="1842" spans="1:1">
      <c r="A1842" s="2" t="e">
        <f>CONCATENATE("'",'Inverter-Full Data'!#REF!,"     ",'Inverter-Full Data'!#REF!,",",'Inverter-Full Data'!#REF!,",",'Inverter-Full Data'!#REF!,",",'Inverter-Full Data'!#REF!,"'")</f>
        <v>#REF!</v>
      </c>
    </row>
    <row r="1843" spans="1:1">
      <c r="A1843" s="2" t="e">
        <f>CONCATENATE("'",'Inverter-Full Data'!#REF!,"     ",'Inverter-Full Data'!#REF!,",",'Inverter-Full Data'!#REF!,",",'Inverter-Full Data'!#REF!,",",'Inverter-Full Data'!#REF!,"'")</f>
        <v>#REF!</v>
      </c>
    </row>
    <row r="1844" spans="1:1">
      <c r="A1844" s="2" t="e">
        <f>CONCATENATE("'",'Inverter-Full Data'!#REF!,"     ",'Inverter-Full Data'!#REF!,",",'Inverter-Full Data'!#REF!,",",'Inverter-Full Data'!#REF!,",",'Inverter-Full Data'!#REF!,"'")</f>
        <v>#REF!</v>
      </c>
    </row>
    <row r="1845" spans="1:1">
      <c r="A1845" s="2" t="e">
        <f>CONCATENATE("'",'Inverter-Full Data'!#REF!,"     ",'Inverter-Full Data'!#REF!,",",'Inverter-Full Data'!#REF!,",",'Inverter-Full Data'!#REF!,",",'Inverter-Full Data'!#REF!,"'")</f>
        <v>#REF!</v>
      </c>
    </row>
    <row r="1846" spans="1:1">
      <c r="A1846" s="2" t="e">
        <f>CONCATENATE("'",'Inverter-Full Data'!#REF!,"     ",'Inverter-Full Data'!#REF!,",",'Inverter-Full Data'!#REF!,",",'Inverter-Full Data'!#REF!,",",'Inverter-Full Data'!#REF!,"'")</f>
        <v>#REF!</v>
      </c>
    </row>
    <row r="1847" spans="1:1">
      <c r="A1847" s="2" t="e">
        <f>CONCATENATE("'",'Inverter-Full Data'!#REF!,"     ",'Inverter-Full Data'!#REF!,",",'Inverter-Full Data'!#REF!,",",'Inverter-Full Data'!#REF!,",",'Inverter-Full Data'!#REF!,"'")</f>
        <v>#REF!</v>
      </c>
    </row>
    <row r="1848" spans="1:1">
      <c r="A1848" s="2" t="e">
        <f>CONCATENATE("'",'Inverter-Full Data'!#REF!,"     ",'Inverter-Full Data'!#REF!,",",'Inverter-Full Data'!#REF!,",",'Inverter-Full Data'!#REF!,",",'Inverter-Full Data'!#REF!,"'")</f>
        <v>#REF!</v>
      </c>
    </row>
    <row r="1849" spans="1:1">
      <c r="A1849" s="2" t="e">
        <f>CONCATENATE("'",'Inverter-Full Data'!#REF!,"     ",'Inverter-Full Data'!#REF!,",",'Inverter-Full Data'!#REF!,",",'Inverter-Full Data'!#REF!,",",'Inverter-Full Data'!#REF!,"'")</f>
        <v>#REF!</v>
      </c>
    </row>
    <row r="1850" spans="1:1">
      <c r="A1850" s="2" t="e">
        <f>CONCATENATE("'",'Inverter-Full Data'!#REF!,"     ",'Inverter-Full Data'!#REF!,",",'Inverter-Full Data'!#REF!,",",'Inverter-Full Data'!#REF!,",",'Inverter-Full Data'!#REF!,"'")</f>
        <v>#REF!</v>
      </c>
    </row>
    <row r="1851" spans="1:1">
      <c r="A1851" s="2" t="e">
        <f>CONCATENATE("'",'Inverter-Full Data'!#REF!,"     ",'Inverter-Full Data'!#REF!,",",'Inverter-Full Data'!#REF!,",",'Inverter-Full Data'!#REF!,",",'Inverter-Full Data'!#REF!,"'")</f>
        <v>#REF!</v>
      </c>
    </row>
    <row r="1852" spans="1:1">
      <c r="A1852" s="2" t="e">
        <f>CONCATENATE("'",'Inverter-Full Data'!#REF!,"     ",'Inverter-Full Data'!#REF!,",",'Inverter-Full Data'!#REF!,",",'Inverter-Full Data'!#REF!,",",'Inverter-Full Data'!#REF!,"'")</f>
        <v>#REF!</v>
      </c>
    </row>
    <row r="1853" spans="1:1">
      <c r="A1853" s="2" t="e">
        <f>CONCATENATE("'",'Inverter-Full Data'!#REF!,"     ",'Inverter-Full Data'!#REF!,",",'Inverter-Full Data'!#REF!,",",'Inverter-Full Data'!#REF!,",",'Inverter-Full Data'!#REF!,"'")</f>
        <v>#REF!</v>
      </c>
    </row>
    <row r="1854" spans="1:1">
      <c r="A1854" s="2" t="e">
        <f>CONCATENATE("'",'Inverter-Full Data'!#REF!,"     ",'Inverter-Full Data'!#REF!,",",'Inverter-Full Data'!#REF!,",",'Inverter-Full Data'!#REF!,",",'Inverter-Full Data'!#REF!,"'")</f>
        <v>#REF!</v>
      </c>
    </row>
    <row r="1855" spans="1:1">
      <c r="A1855" s="2" t="e">
        <f>CONCATENATE("'",'Inverter-Full Data'!#REF!,"     ",'Inverter-Full Data'!#REF!,",",'Inverter-Full Data'!#REF!,",",'Inverter-Full Data'!#REF!,",",'Inverter-Full Data'!#REF!,"'")</f>
        <v>#REF!</v>
      </c>
    </row>
    <row r="1856" spans="1:1">
      <c r="A1856" s="2" t="e">
        <f>CONCATENATE("'",'Inverter-Full Data'!#REF!,"     ",'Inverter-Full Data'!#REF!,",",'Inverter-Full Data'!#REF!,",",'Inverter-Full Data'!#REF!,",",'Inverter-Full Data'!#REF!,"'")</f>
        <v>#REF!</v>
      </c>
    </row>
    <row r="1857" spans="1:1">
      <c r="A1857" s="2" t="e">
        <f>CONCATENATE("'",'Inverter-Full Data'!#REF!,"     ",'Inverter-Full Data'!#REF!,",",'Inverter-Full Data'!#REF!,",",'Inverter-Full Data'!#REF!,",",'Inverter-Full Data'!#REF!,"'")</f>
        <v>#REF!</v>
      </c>
    </row>
    <row r="1858" spans="1:1">
      <c r="A1858" s="2" t="e">
        <f>CONCATENATE("'",'Inverter-Full Data'!#REF!,"     ",'Inverter-Full Data'!#REF!,",",'Inverter-Full Data'!#REF!,",",'Inverter-Full Data'!#REF!,",",'Inverter-Full Data'!#REF!,"'")</f>
        <v>#REF!</v>
      </c>
    </row>
    <row r="1859" spans="1:1">
      <c r="A1859" s="2" t="e">
        <f>CONCATENATE("'",'Inverter-Full Data'!#REF!,"     ",'Inverter-Full Data'!#REF!,",",'Inverter-Full Data'!#REF!,",",'Inverter-Full Data'!#REF!,",",'Inverter-Full Data'!#REF!,"'")</f>
        <v>#REF!</v>
      </c>
    </row>
    <row r="1860" spans="1:1">
      <c r="A1860" s="2" t="e">
        <f>CONCATENATE("'",'Inverter-Full Data'!#REF!,"     ",'Inverter-Full Data'!#REF!,",",'Inverter-Full Data'!#REF!,",",'Inverter-Full Data'!#REF!,",",'Inverter-Full Data'!#REF!,"'")</f>
        <v>#REF!</v>
      </c>
    </row>
    <row r="1861" spans="1:1">
      <c r="A1861" s="2" t="e">
        <f>CONCATENATE("'",'Inverter-Full Data'!#REF!,"     ",'Inverter-Full Data'!#REF!,",",'Inverter-Full Data'!#REF!,",",'Inverter-Full Data'!#REF!,",",'Inverter-Full Data'!#REF!,"'")</f>
        <v>#REF!</v>
      </c>
    </row>
    <row r="1862" spans="1:1">
      <c r="A1862" s="2" t="e">
        <f>CONCATENATE("'",'Inverter-Full Data'!#REF!,"     ",'Inverter-Full Data'!#REF!,",",'Inverter-Full Data'!#REF!,",",'Inverter-Full Data'!#REF!,",",'Inverter-Full Data'!#REF!,"'")</f>
        <v>#REF!</v>
      </c>
    </row>
    <row r="1863" spans="1:1">
      <c r="A1863" s="2" t="e">
        <f>CONCATENATE("'",'Inverter-Full Data'!#REF!,"     ",'Inverter-Full Data'!#REF!,",",'Inverter-Full Data'!#REF!,",",'Inverter-Full Data'!#REF!,",",'Inverter-Full Data'!#REF!,"'")</f>
        <v>#REF!</v>
      </c>
    </row>
    <row r="1864" spans="1:1">
      <c r="A1864" s="2" t="e">
        <f>CONCATENATE("'",'Inverter-Full Data'!#REF!,"     ",'Inverter-Full Data'!#REF!,",",'Inverter-Full Data'!#REF!,",",'Inverter-Full Data'!#REF!,",",'Inverter-Full Data'!#REF!,"'")</f>
        <v>#REF!</v>
      </c>
    </row>
    <row r="1865" spans="1:1">
      <c r="A1865" s="2" t="e">
        <f>CONCATENATE("'",'Inverter-Full Data'!#REF!,"     ",'Inverter-Full Data'!#REF!,",",'Inverter-Full Data'!#REF!,",",'Inverter-Full Data'!#REF!,",",'Inverter-Full Data'!#REF!,"'")</f>
        <v>#REF!</v>
      </c>
    </row>
    <row r="1866" spans="1:1">
      <c r="A1866" s="2" t="e">
        <f>CONCATENATE("'",'Inverter-Full Data'!#REF!,"     ",'Inverter-Full Data'!#REF!,",",'Inverter-Full Data'!#REF!,",",'Inverter-Full Data'!#REF!,",",'Inverter-Full Data'!#REF!,"'")</f>
        <v>#REF!</v>
      </c>
    </row>
    <row r="1867" spans="1:1">
      <c r="A1867" s="2" t="e">
        <f>CONCATENATE("'",'Inverter-Full Data'!#REF!,"     ",'Inverter-Full Data'!#REF!,",",'Inverter-Full Data'!#REF!,",",'Inverter-Full Data'!#REF!,",",'Inverter-Full Data'!#REF!,"'")</f>
        <v>#REF!</v>
      </c>
    </row>
    <row r="1868" spans="1:1">
      <c r="A1868" s="2" t="e">
        <f>CONCATENATE("'",'Inverter-Full Data'!#REF!,"     ",'Inverter-Full Data'!#REF!,",",'Inverter-Full Data'!#REF!,",",'Inverter-Full Data'!#REF!,",",'Inverter-Full Data'!#REF!,"'")</f>
        <v>#REF!</v>
      </c>
    </row>
    <row r="1869" spans="1:1">
      <c r="A1869" s="2" t="e">
        <f>CONCATENATE("'",'Inverter-Full Data'!#REF!,"     ",'Inverter-Full Data'!#REF!,",",'Inverter-Full Data'!#REF!,",",'Inverter-Full Data'!#REF!,",",'Inverter-Full Data'!#REF!,"'")</f>
        <v>#REF!</v>
      </c>
    </row>
    <row r="1870" spans="1:1">
      <c r="A1870" s="2" t="e">
        <f>CONCATENATE("'",'Inverter-Full Data'!#REF!,"     ",'Inverter-Full Data'!#REF!,",",'Inverter-Full Data'!#REF!,",",'Inverter-Full Data'!#REF!,",",'Inverter-Full Data'!#REF!,"'")</f>
        <v>#REF!</v>
      </c>
    </row>
    <row r="1871" spans="1:1">
      <c r="A1871" s="2" t="e">
        <f>CONCATENATE("'",'Inverter-Full Data'!#REF!,"     ",'Inverter-Full Data'!#REF!,",",'Inverter-Full Data'!#REF!,",",'Inverter-Full Data'!#REF!,",",'Inverter-Full Data'!#REF!,"'")</f>
        <v>#REF!</v>
      </c>
    </row>
    <row r="1872" spans="1:1">
      <c r="A1872" s="2" t="e">
        <f>CONCATENATE("'",'Inverter-Full Data'!#REF!,"     ",'Inverter-Full Data'!#REF!,",",'Inverter-Full Data'!#REF!,",",'Inverter-Full Data'!#REF!,",",'Inverter-Full Data'!#REF!,"'")</f>
        <v>#REF!</v>
      </c>
    </row>
    <row r="1873" spans="1:1">
      <c r="A1873" s="2" t="e">
        <f>CONCATENATE("'",'Inverter-Full Data'!#REF!,"     ",'Inverter-Full Data'!#REF!,",",'Inverter-Full Data'!#REF!,",",'Inverter-Full Data'!#REF!,",",'Inverter-Full Data'!#REF!,"'")</f>
        <v>#REF!</v>
      </c>
    </row>
    <row r="1874" spans="1:1">
      <c r="A1874" s="2" t="e">
        <f>CONCATENATE("'",'Inverter-Full Data'!#REF!,"     ",'Inverter-Full Data'!#REF!,",",'Inverter-Full Data'!#REF!,",",'Inverter-Full Data'!#REF!,",",'Inverter-Full Data'!#REF!,"'")</f>
        <v>#REF!</v>
      </c>
    </row>
    <row r="1875" spans="1:1">
      <c r="A1875" s="2" t="e">
        <f>CONCATENATE("'",'Inverter-Full Data'!#REF!,"     ",'Inverter-Full Data'!#REF!,",",'Inverter-Full Data'!#REF!,",",'Inverter-Full Data'!#REF!,",",'Inverter-Full Data'!#REF!,"'")</f>
        <v>#REF!</v>
      </c>
    </row>
    <row r="1876" spans="1:1">
      <c r="A1876" s="2" t="e">
        <f>CONCATENATE("'",'Inverter-Full Data'!#REF!,"     ",'Inverter-Full Data'!#REF!,",",'Inverter-Full Data'!#REF!,",",'Inverter-Full Data'!#REF!,",",'Inverter-Full Data'!#REF!,"'")</f>
        <v>#REF!</v>
      </c>
    </row>
    <row r="1877" spans="1:1">
      <c r="A1877" s="2" t="e">
        <f>CONCATENATE("'",'Inverter-Full Data'!#REF!,"     ",'Inverter-Full Data'!#REF!,",",'Inverter-Full Data'!#REF!,",",'Inverter-Full Data'!#REF!,",",'Inverter-Full Data'!#REF!,"'")</f>
        <v>#REF!</v>
      </c>
    </row>
    <row r="1878" spans="1:1">
      <c r="A1878" s="2" t="e">
        <f>CONCATENATE("'",'Inverter-Full Data'!#REF!,"     ",'Inverter-Full Data'!#REF!,",",'Inverter-Full Data'!#REF!,",",'Inverter-Full Data'!#REF!,",",'Inverter-Full Data'!#REF!,"'")</f>
        <v>#REF!</v>
      </c>
    </row>
    <row r="1879" spans="1:1">
      <c r="A1879" s="2" t="e">
        <f>CONCATENATE("'",'Inverter-Full Data'!#REF!,"     ",'Inverter-Full Data'!#REF!,",",'Inverter-Full Data'!#REF!,",",'Inverter-Full Data'!#REF!,",",'Inverter-Full Data'!#REF!,"'")</f>
        <v>#REF!</v>
      </c>
    </row>
    <row r="1880" spans="1:1">
      <c r="A1880" s="2" t="e">
        <f>CONCATENATE("'",'Inverter-Full Data'!#REF!,"     ",'Inverter-Full Data'!#REF!,",",'Inverter-Full Data'!#REF!,",",'Inverter-Full Data'!#REF!,",",'Inverter-Full Data'!#REF!,"'")</f>
        <v>#REF!</v>
      </c>
    </row>
    <row r="1881" spans="1:1">
      <c r="A1881" s="2" t="e">
        <f>CONCATENATE("'",'Inverter-Full Data'!#REF!,"     ",'Inverter-Full Data'!#REF!,",",'Inverter-Full Data'!#REF!,",",'Inverter-Full Data'!#REF!,",",'Inverter-Full Data'!#REF!,"'")</f>
        <v>#REF!</v>
      </c>
    </row>
    <row r="1882" spans="1:1">
      <c r="A1882" s="2" t="e">
        <f>CONCATENATE("'",'Inverter-Full Data'!#REF!,"     ",'Inverter-Full Data'!#REF!,",",'Inverter-Full Data'!#REF!,",",'Inverter-Full Data'!#REF!,",",'Inverter-Full Data'!#REF!,"'")</f>
        <v>#REF!</v>
      </c>
    </row>
    <row r="1883" spans="1:1">
      <c r="A1883" s="2" t="e">
        <f>CONCATENATE("'",'Inverter-Full Data'!#REF!,"     ",'Inverter-Full Data'!#REF!,",",'Inverter-Full Data'!#REF!,",",'Inverter-Full Data'!#REF!,",",'Inverter-Full Data'!#REF!,"'")</f>
        <v>#REF!</v>
      </c>
    </row>
    <row r="1884" spans="1:1">
      <c r="A1884" s="2" t="e">
        <f>CONCATENATE("'",'Inverter-Full Data'!#REF!,"     ",'Inverter-Full Data'!#REF!,",",'Inverter-Full Data'!#REF!,",",'Inverter-Full Data'!#REF!,",",'Inverter-Full Data'!#REF!,"'")</f>
        <v>#REF!</v>
      </c>
    </row>
    <row r="1885" spans="1:1">
      <c r="A1885" s="2" t="e">
        <f>CONCATENATE("'",'Inverter-Full Data'!#REF!,"     ",'Inverter-Full Data'!#REF!,",",'Inverter-Full Data'!#REF!,",",'Inverter-Full Data'!#REF!,",",'Inverter-Full Data'!#REF!,"'")</f>
        <v>#REF!</v>
      </c>
    </row>
    <row r="1886" spans="1:1">
      <c r="A1886" s="2" t="e">
        <f>CONCATENATE("'",'Inverter-Full Data'!#REF!,"     ",'Inverter-Full Data'!#REF!,",",'Inverter-Full Data'!#REF!,",",'Inverter-Full Data'!#REF!,",",'Inverter-Full Data'!#REF!,"'")</f>
        <v>#REF!</v>
      </c>
    </row>
    <row r="1887" spans="1:1">
      <c r="A1887" s="2" t="e">
        <f>CONCATENATE("'",'Inverter-Full Data'!#REF!,"     ",'Inverter-Full Data'!#REF!,",",'Inverter-Full Data'!#REF!,",",'Inverter-Full Data'!#REF!,",",'Inverter-Full Data'!#REF!,"'")</f>
        <v>#REF!</v>
      </c>
    </row>
    <row r="1888" spans="1:1">
      <c r="A1888" s="2" t="e">
        <f>CONCATENATE("'",'Inverter-Full Data'!#REF!,"     ",'Inverter-Full Data'!#REF!,",",'Inverter-Full Data'!#REF!,",",'Inverter-Full Data'!#REF!,",",'Inverter-Full Data'!#REF!,"'")</f>
        <v>#REF!</v>
      </c>
    </row>
    <row r="1889" spans="1:1">
      <c r="A1889" s="2" t="e">
        <f>CONCATENATE("'",'Inverter-Full Data'!#REF!,"     ",'Inverter-Full Data'!#REF!,",",'Inverter-Full Data'!#REF!,",",'Inverter-Full Data'!#REF!,",",'Inverter-Full Data'!#REF!,"'")</f>
        <v>#REF!</v>
      </c>
    </row>
    <row r="1890" spans="1:1">
      <c r="A1890" s="2" t="e">
        <f>CONCATENATE("'",'Inverter-Full Data'!#REF!,"     ",'Inverter-Full Data'!#REF!,",",'Inverter-Full Data'!#REF!,",",'Inverter-Full Data'!#REF!,",",'Inverter-Full Data'!#REF!,"'")</f>
        <v>#REF!</v>
      </c>
    </row>
    <row r="1891" spans="1:1">
      <c r="A1891" s="2" t="e">
        <f>CONCATENATE("'",'Inverter-Full Data'!#REF!,"     ",'Inverter-Full Data'!#REF!,",",'Inverter-Full Data'!#REF!,",",'Inverter-Full Data'!#REF!,",",'Inverter-Full Data'!#REF!,"'")</f>
        <v>#REF!</v>
      </c>
    </row>
    <row r="1892" spans="1:1">
      <c r="A1892" s="2" t="e">
        <f>CONCATENATE("'",'Inverter-Full Data'!#REF!,"     ",'Inverter-Full Data'!#REF!,",",'Inverter-Full Data'!#REF!,",",'Inverter-Full Data'!#REF!,",",'Inverter-Full Data'!#REF!,"'")</f>
        <v>#REF!</v>
      </c>
    </row>
    <row r="1893" spans="1:1">
      <c r="A1893" s="2" t="e">
        <f>CONCATENATE("'",'Inverter-Full Data'!#REF!,"     ",'Inverter-Full Data'!#REF!,",",'Inverter-Full Data'!#REF!,",",'Inverter-Full Data'!#REF!,",",'Inverter-Full Data'!#REF!,"'")</f>
        <v>#REF!</v>
      </c>
    </row>
    <row r="1894" spans="1:1">
      <c r="A1894" s="2" t="e">
        <f>CONCATENATE("'",'Inverter-Full Data'!#REF!,"     ",'Inverter-Full Data'!#REF!,",",'Inverter-Full Data'!#REF!,",",'Inverter-Full Data'!#REF!,",",'Inverter-Full Data'!#REF!,"'")</f>
        <v>#REF!</v>
      </c>
    </row>
    <row r="1895" spans="1:1">
      <c r="A1895" s="2" t="e">
        <f>CONCATENATE("'",'Inverter-Full Data'!#REF!,"     ",'Inverter-Full Data'!#REF!,",",'Inverter-Full Data'!#REF!,",",'Inverter-Full Data'!#REF!,",",'Inverter-Full Data'!#REF!,"'")</f>
        <v>#REF!</v>
      </c>
    </row>
    <row r="1896" spans="1:1">
      <c r="A1896" s="2" t="e">
        <f>CONCATENATE("'",'Inverter-Full Data'!#REF!,"     ",'Inverter-Full Data'!#REF!,",",'Inverter-Full Data'!#REF!,",",'Inverter-Full Data'!#REF!,",",'Inverter-Full Data'!#REF!,"'")</f>
        <v>#REF!</v>
      </c>
    </row>
    <row r="1897" spans="1:1">
      <c r="A1897" s="2" t="e">
        <f>CONCATENATE("'",'Inverter-Full Data'!#REF!,"     ",'Inverter-Full Data'!#REF!,",",'Inverter-Full Data'!#REF!,",",'Inverter-Full Data'!#REF!,",",'Inverter-Full Data'!#REF!,"'")</f>
        <v>#REF!</v>
      </c>
    </row>
    <row r="1898" spans="1:1">
      <c r="A1898" s="2" t="str">
        <f>CONCATENATE("'",'Inverter-Full Data'!A298,"     ",'Inverter-Full Data'!B298,",",'Inverter-Full Data'!S298,",",'Inverter-Full Data'!J298,",",'Inverter-Full Data'!T298,"'")</f>
        <v>'Huawei Technologies Co., Ltd.     SUN2000-3.8KTL-USL0 [240V],Y,99,N'</v>
      </c>
    </row>
    <row r="1899" spans="1:1">
      <c r="A1899" s="2" t="e">
        <f>CONCATENATE("'",'Inverter-Full Data'!#REF!,"     ",'Inverter-Full Data'!#REF!,",",'Inverter-Full Data'!#REF!,",",'Inverter-Full Data'!#REF!,",",'Inverter-Full Data'!#REF!,"'")</f>
        <v>#REF!</v>
      </c>
    </row>
    <row r="1900" spans="1:1">
      <c r="A1900" s="2" t="e">
        <f>CONCATENATE("'",'Inverter-Full Data'!#REF!,"     ",'Inverter-Full Data'!#REF!,",",'Inverter-Full Data'!#REF!,",",'Inverter-Full Data'!#REF!,",",'Inverter-Full Data'!#REF!,"'")</f>
        <v>#REF!</v>
      </c>
    </row>
    <row r="1901" spans="1:1">
      <c r="A1901" s="2" t="e">
        <f>CONCATENATE("'",'Inverter-Full Data'!#REF!,"     ",'Inverter-Full Data'!#REF!,",",'Inverter-Full Data'!#REF!,",",'Inverter-Full Data'!#REF!,",",'Inverter-Full Data'!#REF!,"'")</f>
        <v>#REF!</v>
      </c>
    </row>
    <row r="1902" spans="1:1">
      <c r="A1902" s="2" t="e">
        <f>CONCATENATE("'",'Inverter-Full Data'!#REF!,"     ",'Inverter-Full Data'!#REF!,",",'Inverter-Full Data'!#REF!,",",'Inverter-Full Data'!#REF!,",",'Inverter-Full Data'!#REF!,"'")</f>
        <v>#REF!</v>
      </c>
    </row>
    <row r="1903" spans="1:1">
      <c r="A1903" s="2" t="e">
        <f>CONCATENATE("'",'Inverter-Full Data'!#REF!,"     ",'Inverter-Full Data'!#REF!,",",'Inverter-Full Data'!#REF!,",",'Inverter-Full Data'!#REF!,",",'Inverter-Full Data'!#REF!,"'")</f>
        <v>#REF!</v>
      </c>
    </row>
    <row r="1904" spans="1:1">
      <c r="A1904" s="2" t="e">
        <f>CONCATENATE("'",'Inverter-Full Data'!#REF!,"     ",'Inverter-Full Data'!#REF!,",",'Inverter-Full Data'!#REF!,",",'Inverter-Full Data'!#REF!,",",'Inverter-Full Data'!#REF!,"'")</f>
        <v>#REF!</v>
      </c>
    </row>
    <row r="1905" spans="1:1">
      <c r="A1905" s="2" t="str">
        <f>CONCATENATE("'",'Inverter-Full Data'!A299,"     ",'Inverter-Full Data'!B299,",",'Inverter-Full Data'!S299,",",'Inverter-Full Data'!J299,",",'Inverter-Full Data'!T299,"'")</f>
        <v>'Huawei Technologies Co., Ltd.     SUN2000-33KTL-US [480V],N,98.5,N'</v>
      </c>
    </row>
    <row r="1906" spans="1:1">
      <c r="A1906" s="2" t="e">
        <f>CONCATENATE("'",'Inverter-Full Data'!#REF!,"     ",'Inverter-Full Data'!#REF!,",",'Inverter-Full Data'!#REF!,",",'Inverter-Full Data'!#REF!,",",'Inverter-Full Data'!#REF!,"'")</f>
        <v>#REF!</v>
      </c>
    </row>
    <row r="1907" spans="1:1">
      <c r="A1907" s="2" t="e">
        <f>CONCATENATE("'",'Inverter-Full Data'!#REF!,"     ",'Inverter-Full Data'!#REF!,",",'Inverter-Full Data'!#REF!,",",'Inverter-Full Data'!#REF!,",",'Inverter-Full Data'!#REF!,"'")</f>
        <v>#REF!</v>
      </c>
    </row>
    <row r="1908" spans="1:1">
      <c r="A1908" s="2" t="e">
        <f>CONCATENATE("'",'Inverter-Full Data'!#REF!,"     ",'Inverter-Full Data'!#REF!,",",'Inverter-Full Data'!#REF!,",",'Inverter-Full Data'!#REF!,",",'Inverter-Full Data'!#REF!,"'")</f>
        <v>#REF!</v>
      </c>
    </row>
    <row r="1909" spans="1:1">
      <c r="A1909" s="2" t="e">
        <f>CONCATENATE("'",'Inverter-Full Data'!#REF!,"     ",'Inverter-Full Data'!#REF!,",",'Inverter-Full Data'!#REF!,",",'Inverter-Full Data'!#REF!,",",'Inverter-Full Data'!#REF!,"'")</f>
        <v>#REF!</v>
      </c>
    </row>
    <row r="1910" spans="1:1">
      <c r="A1910" s="2" t="e">
        <f>CONCATENATE("'",'Inverter-Full Data'!#REF!,"     ",'Inverter-Full Data'!#REF!,",",'Inverter-Full Data'!#REF!,",",'Inverter-Full Data'!#REF!,",",'Inverter-Full Data'!#REF!,"'")</f>
        <v>#REF!</v>
      </c>
    </row>
    <row r="1911" spans="1:1">
      <c r="A1911" s="2" t="e">
        <f>CONCATENATE("'",'Inverter-Full Data'!#REF!,"     ",'Inverter-Full Data'!#REF!,",",'Inverter-Full Data'!#REF!,",",'Inverter-Full Data'!#REF!,",",'Inverter-Full Data'!#REF!,"'")</f>
        <v>#REF!</v>
      </c>
    </row>
    <row r="1912" spans="1:1">
      <c r="A1912" s="2" t="str">
        <f>CONCATENATE("'",'Inverter-Full Data'!A300,"     ",'Inverter-Full Data'!B300,",",'Inverter-Full Data'!S300,",",'Inverter-Full Data'!J300,",",'Inverter-Full Data'!T300,"'")</f>
        <v>'Huawei Technologies Co., Ltd.     SUN2000-36KTL-US [480V],N,98.5,N'</v>
      </c>
    </row>
    <row r="1913" spans="1:1">
      <c r="A1913" s="2" t="e">
        <f>CONCATENATE("'",'Inverter-Full Data'!#REF!,"     ",'Inverter-Full Data'!#REF!,",",'Inverter-Full Data'!#REF!,",",'Inverter-Full Data'!#REF!,",",'Inverter-Full Data'!#REF!,"'")</f>
        <v>#REF!</v>
      </c>
    </row>
    <row r="1914" spans="1:1">
      <c r="A1914" s="2" t="e">
        <f>CONCATENATE("'",'Inverter-Full Data'!#REF!,"     ",'Inverter-Full Data'!#REF!,",",'Inverter-Full Data'!#REF!,",",'Inverter-Full Data'!#REF!,",",'Inverter-Full Data'!#REF!,"'")</f>
        <v>#REF!</v>
      </c>
    </row>
    <row r="1915" spans="1:1">
      <c r="A1915" s="2" t="e">
        <f>CONCATENATE("'",'Inverter-Full Data'!#REF!,"     ",'Inverter-Full Data'!#REF!,",",'Inverter-Full Data'!#REF!,",",'Inverter-Full Data'!#REF!,",",'Inverter-Full Data'!#REF!,"'")</f>
        <v>#REF!</v>
      </c>
    </row>
    <row r="1916" spans="1:1">
      <c r="A1916" s="2" t="e">
        <f>CONCATENATE("'",'Inverter-Full Data'!#REF!,"     ",'Inverter-Full Data'!#REF!,",",'Inverter-Full Data'!#REF!,",",'Inverter-Full Data'!#REF!,",",'Inverter-Full Data'!#REF!,"'")</f>
        <v>#REF!</v>
      </c>
    </row>
    <row r="1917" spans="1:1">
      <c r="A1917" s="2" t="e">
        <f>CONCATENATE("'",'Inverter-Full Data'!#REF!,"     ",'Inverter-Full Data'!#REF!,",",'Inverter-Full Data'!#REF!,",",'Inverter-Full Data'!#REF!,",",'Inverter-Full Data'!#REF!,"'")</f>
        <v>#REF!</v>
      </c>
    </row>
    <row r="1918" spans="1:1">
      <c r="A1918" s="2" t="e">
        <f>CONCATENATE("'",'Inverter-Full Data'!#REF!,"     ",'Inverter-Full Data'!#REF!,",",'Inverter-Full Data'!#REF!,",",'Inverter-Full Data'!#REF!,",",'Inverter-Full Data'!#REF!,"'")</f>
        <v>#REF!</v>
      </c>
    </row>
    <row r="1919" spans="1:1">
      <c r="A1919" s="2" t="str">
        <f>CONCATENATE("'",'Inverter-Full Data'!A301,"     ",'Inverter-Full Data'!B301,",",'Inverter-Full Data'!S301,",",'Inverter-Full Data'!J301,",",'Inverter-Full Data'!T301,"'")</f>
        <v>'Huawei Technologies Co., Ltd.     SUN2000-40KTL-US [480V],N,98.5,N'</v>
      </c>
    </row>
    <row r="1920" spans="1:1">
      <c r="A1920" s="2" t="e">
        <f>CONCATENATE("'",'Inverter-Full Data'!#REF!,"     ",'Inverter-Full Data'!#REF!,",",'Inverter-Full Data'!#REF!,",",'Inverter-Full Data'!#REF!,",",'Inverter-Full Data'!#REF!,"'")</f>
        <v>#REF!</v>
      </c>
    </row>
    <row r="1921" spans="1:1">
      <c r="A1921" s="2" t="e">
        <f>CONCATENATE("'",'Inverter-Full Data'!#REF!,"     ",'Inverter-Full Data'!#REF!,",",'Inverter-Full Data'!#REF!,",",'Inverter-Full Data'!#REF!,",",'Inverter-Full Data'!#REF!,"'")</f>
        <v>#REF!</v>
      </c>
    </row>
    <row r="1922" spans="1:1">
      <c r="A1922" s="2" t="e">
        <f>CONCATENATE("'",'Inverter-Full Data'!#REF!,"     ",'Inverter-Full Data'!#REF!,",",'Inverter-Full Data'!#REF!,",",'Inverter-Full Data'!#REF!,",",'Inverter-Full Data'!#REF!,"'")</f>
        <v>#REF!</v>
      </c>
    </row>
    <row r="1923" spans="1:1">
      <c r="A1923" s="2" t="e">
        <f>CONCATENATE("'",'Inverter-Full Data'!#REF!,"     ",'Inverter-Full Data'!#REF!,",",'Inverter-Full Data'!#REF!,",",'Inverter-Full Data'!#REF!,",",'Inverter-Full Data'!#REF!,"'")</f>
        <v>#REF!</v>
      </c>
    </row>
    <row r="1924" spans="1:1">
      <c r="A1924" s="2" t="e">
        <f>CONCATENATE("'",'Inverter-Full Data'!#REF!,"     ",'Inverter-Full Data'!#REF!,",",'Inverter-Full Data'!#REF!,",",'Inverter-Full Data'!#REF!,",",'Inverter-Full Data'!#REF!,"'")</f>
        <v>#REF!</v>
      </c>
    </row>
    <row r="1925" spans="1:1">
      <c r="A1925" s="2" t="e">
        <f>CONCATENATE("'",'Inverter-Full Data'!#REF!,"     ",'Inverter-Full Data'!#REF!,",",'Inverter-Full Data'!#REF!,",",'Inverter-Full Data'!#REF!,",",'Inverter-Full Data'!#REF!,"'")</f>
        <v>#REF!</v>
      </c>
    </row>
    <row r="1926" spans="1:1">
      <c r="A1926" s="2" t="str">
        <f>CONCATENATE("'",'Inverter-Full Data'!A302,"     ",'Inverter-Full Data'!B302,",",'Inverter-Full Data'!S302,",",'Inverter-Full Data'!J302,",",'Inverter-Full Data'!T302,"'")</f>
        <v>'Huawei Technologies Co., Ltd.     SUN2000-45KTL-US-HV-D0 [600V],N,98.5,N'</v>
      </c>
    </row>
    <row r="1927" spans="1:1">
      <c r="A1927" s="2" t="e">
        <f>CONCATENATE("'",'Inverter-Full Data'!#REF!,"     ",'Inverter-Full Data'!#REF!,",",'Inverter-Full Data'!#REF!,",",'Inverter-Full Data'!#REF!,",",'Inverter-Full Data'!#REF!,"'")</f>
        <v>#REF!</v>
      </c>
    </row>
    <row r="1928" spans="1:1">
      <c r="A1928" s="2" t="e">
        <f>CONCATENATE("'",'Inverter-Full Data'!#REF!,"     ",'Inverter-Full Data'!#REF!,",",'Inverter-Full Data'!#REF!,",",'Inverter-Full Data'!#REF!,",",'Inverter-Full Data'!#REF!,"'")</f>
        <v>#REF!</v>
      </c>
    </row>
    <row r="1929" spans="1:1">
      <c r="A1929" s="2" t="e">
        <f>CONCATENATE("'",'Inverter-Full Data'!#REF!,"     ",'Inverter-Full Data'!#REF!,",",'Inverter-Full Data'!#REF!,",",'Inverter-Full Data'!#REF!,",",'Inverter-Full Data'!#REF!,"'")</f>
        <v>#REF!</v>
      </c>
    </row>
    <row r="1930" spans="1:1">
      <c r="A1930" s="2" t="e">
        <f>CONCATENATE("'",'Inverter-Full Data'!#REF!,"     ",'Inverter-Full Data'!#REF!,",",'Inverter-Full Data'!#REF!,",",'Inverter-Full Data'!#REF!,",",'Inverter-Full Data'!#REF!,"'")</f>
        <v>#REF!</v>
      </c>
    </row>
    <row r="1931" spans="1:1">
      <c r="A1931" s="2" t="e">
        <f>CONCATENATE("'",'Inverter-Full Data'!#REF!,"     ",'Inverter-Full Data'!#REF!,",",'Inverter-Full Data'!#REF!,",",'Inverter-Full Data'!#REF!,",",'Inverter-Full Data'!#REF!,"'")</f>
        <v>#REF!</v>
      </c>
    </row>
    <row r="1932" spans="1:1">
      <c r="A1932" s="2" t="e">
        <f>CONCATENATE("'",'Inverter-Full Data'!#REF!,"     ",'Inverter-Full Data'!#REF!,",",'Inverter-Full Data'!#REF!,",",'Inverter-Full Data'!#REF!,",",'Inverter-Full Data'!#REF!,"'")</f>
        <v>#REF!</v>
      </c>
    </row>
    <row r="1933" spans="1:1">
      <c r="A1933" s="2" t="e">
        <f>CONCATENATE("'",'Inverter-Full Data'!#REF!,"     ",'Inverter-Full Data'!#REF!,",",'Inverter-Full Data'!#REF!,",",'Inverter-Full Data'!#REF!,",",'Inverter-Full Data'!#REF!,"'")</f>
        <v>#REF!</v>
      </c>
    </row>
    <row r="1934" spans="1:1">
      <c r="A1934" s="2" t="e">
        <f>CONCATENATE("'",'Inverter-Full Data'!#REF!,"     ",'Inverter-Full Data'!#REF!,",",'Inverter-Full Data'!#REF!,",",'Inverter-Full Data'!#REF!,",",'Inverter-Full Data'!#REF!,"'")</f>
        <v>#REF!</v>
      </c>
    </row>
    <row r="1935" spans="1:1">
      <c r="A1935" s="2" t="e">
        <f>CONCATENATE("'",'Inverter-Full Data'!#REF!,"     ",'Inverter-Full Data'!#REF!,",",'Inverter-Full Data'!#REF!,",",'Inverter-Full Data'!#REF!,",",'Inverter-Full Data'!#REF!,"'")</f>
        <v>#REF!</v>
      </c>
    </row>
    <row r="1936" spans="1:1">
      <c r="A1936" s="2" t="e">
        <f>CONCATENATE("'",'Inverter-Full Data'!#REF!,"     ",'Inverter-Full Data'!#REF!,",",'Inverter-Full Data'!#REF!,",",'Inverter-Full Data'!#REF!,",",'Inverter-Full Data'!#REF!,"'")</f>
        <v>#REF!</v>
      </c>
    </row>
    <row r="1937" spans="1:1">
      <c r="A1937" s="2" t="str">
        <f>CONCATENATE("'",'Inverter-Full Data'!A303,"     ",'Inverter-Full Data'!B303,",",'Inverter-Full Data'!S303,",",'Inverter-Full Data'!J303,",",'Inverter-Full Data'!T303,"'")</f>
        <v>'Huawei Technologies Co., Ltd.     SUN2000-5KTL-USL0 [240V],Y,99,N'</v>
      </c>
    </row>
    <row r="1938" spans="1:1">
      <c r="A1938" s="2" t="str">
        <f>CONCATENATE("'",'Inverter-Full Data'!A304,"     ",'Inverter-Full Data'!B304,",",'Inverter-Full Data'!S304,",",'Inverter-Full Data'!J304,",",'Inverter-Full Data'!T304,"'")</f>
        <v>'Huawei Technologies Co., Ltd.     SUN2000-7.6KTL-USL0 [240V],Y,99,N'</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e">
        <f>CONCATENATE("'",'Inverter-Full Data'!#REF!,"     ",'Inverter-Full Data'!#REF!,",",'Inverter-Full Data'!#REF!,",",'Inverter-Full Data'!#REF!,",",'Inverter-Full Data'!#REF!,"'")</f>
        <v>#REF!</v>
      </c>
    </row>
    <row r="1946" spans="1:1">
      <c r="A1946" s="2" t="str">
        <f>CONCATENATE("'",'Inverter-Full Data'!A305,"     ",'Inverter-Full Data'!B305,",",'Inverter-Full Data'!S305,",",'Inverter-Full Data'!J305,",",'Inverter-Full Data'!T305,"'")</f>
        <v>'Huawei Technologies Co., Ltd.     SUN2000-9KTL-USL0 [240V],Y,99,N'</v>
      </c>
    </row>
    <row r="1947" spans="1:1">
      <c r="A1947" s="2" t="e">
        <f>CONCATENATE("'",'Inverter-Full Data'!#REF!,"     ",'Inverter-Full Data'!#REF!,",",'Inverter-Full Data'!#REF!,",",'Inverter-Full Data'!#REF!,",",'Inverter-Full Data'!#REF!,"'")</f>
        <v>#REF!</v>
      </c>
    </row>
    <row r="1948" spans="1:1">
      <c r="A1948" s="2" t="str">
        <f>CONCATENATE("'",'Inverter-Full Data'!A306,"     ",'Inverter-Full Data'!B306,",",'Inverter-Full Data'!S306,",",'Inverter-Full Data'!J306,",",'Inverter-Full Data'!T306,"'")</f>
        <v>'Ideal Power Inc     30C [480V],N,95,N'</v>
      </c>
    </row>
    <row r="1949" spans="1:1">
      <c r="A1949" s="2" t="e">
        <f>CONCATENATE("'",'Inverter-Full Data'!#REF!,"     ",'Inverter-Full Data'!#REF!,",",'Inverter-Full Data'!#REF!,",",'Inverter-Full Data'!#REF!,",",'Inverter-Full Data'!#REF!,"'")</f>
        <v>#REF!</v>
      </c>
    </row>
    <row r="1950" spans="1:1">
      <c r="A1950" s="2" t="str">
        <f>CONCATENATE("'",'Inverter-Full Data'!A307,"     ",'Inverter-Full Data'!B307,",",'Inverter-Full Data'!S307,",",'Inverter-Full Data'!J307,",",'Inverter-Full Data'!T307,"'")</f>
        <v>'Ideal Power Inc     30C3 [480V],N,95,N'</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str">
        <f>CONCATENATE("'",'Inverter-Full Data'!A308,"     ",'Inverter-Full Data'!B308,",",'Inverter-Full Data'!S308,",",'Inverter-Full Data'!J308,",",'Inverter-Full Data'!T308,"'")</f>
        <v>'Ideal Power Inc     30PV+S [480V],N,95,N'</v>
      </c>
    </row>
    <row r="1954" spans="1:1">
      <c r="A1954" s="2" t="e">
        <f>CONCATENATE("'",'Inverter-Full Data'!#REF!,"     ",'Inverter-Full Data'!#REF!,",",'Inverter-Full Data'!#REF!,",",'Inverter-Full Data'!#REF!,",",'Inverter-Full Data'!#REF!,"'")</f>
        <v>#REF!</v>
      </c>
    </row>
    <row r="1955" spans="1:1">
      <c r="A1955" s="2" t="str">
        <f>CONCATENATE("'",'Inverter-Full Data'!A309,"     ",'Inverter-Full Data'!B309,",",'Inverter-Full Data'!S309,",",'Inverter-Full Data'!J309,",",'Inverter-Full Data'!T309,"'")</f>
        <v>'Ideal Power Inc     30PVF+S [480V],N,95,N'</v>
      </c>
    </row>
    <row r="1956" spans="1:1">
      <c r="A1956" s="2" t="e">
        <f>CONCATENATE("'",'Inverter-Full Data'!#REF!,"     ",'Inverter-Full Data'!#REF!,",",'Inverter-Full Data'!#REF!,",",'Inverter-Full Data'!#REF!,",",'Inverter-Full Data'!#REF!,"'")</f>
        <v>#REF!</v>
      </c>
    </row>
    <row r="1957" spans="1:1">
      <c r="A1957" s="2" t="e">
        <f>CONCATENATE("'",'Inverter-Full Data'!#REF!,"     ",'Inverter-Full Data'!#REF!,",",'Inverter-Full Data'!#REF!,",",'Inverter-Full Data'!#REF!,",",'Inverter-Full Data'!#REF!,"'")</f>
        <v>#REF!</v>
      </c>
    </row>
    <row r="1958" spans="1:1">
      <c r="A1958" s="2" t="str">
        <f>CONCATENATE("'",'Inverter-Full Data'!A310,"     ",'Inverter-Full Data'!B310,",",'Inverter-Full Data'!S310,",",'Inverter-Full Data'!J310,",",'Inverter-Full Data'!T310,"'")</f>
        <v>'INGETEAM POWER TECHNOLOGY S.A     INGECON SUN 1140TL U B410 [410V],N,97.5,N'</v>
      </c>
    </row>
    <row r="1959" spans="1:1">
      <c r="A1959" s="2" t="e">
        <f>CONCATENATE("'",'Inverter-Full Data'!#REF!,"     ",'Inverter-Full Data'!#REF!,",",'Inverter-Full Data'!#REF!,",",'Inverter-Full Data'!#REF!,",",'Inverter-Full Data'!#REF!,"'")</f>
        <v>#REF!</v>
      </c>
    </row>
    <row r="1960" spans="1:1">
      <c r="A1960" s="2" t="e">
        <f>CONCATENATE("'",'Inverter-Full Data'!#REF!,"     ",'Inverter-Full Data'!#REF!,",",'Inverter-Full Data'!#REF!,",",'Inverter-Full Data'!#REF!,",",'Inverter-Full Data'!#REF!,"'")</f>
        <v>#REF!</v>
      </c>
    </row>
    <row r="1961" spans="1:1">
      <c r="A1961" s="2" t="e">
        <f>CONCATENATE("'",'Inverter-Full Data'!#REF!,"     ",'Inverter-Full Data'!#REF!,",",'Inverter-Full Data'!#REF!,",",'Inverter-Full Data'!#REF!,",",'Inverter-Full Data'!#REF!,"'")</f>
        <v>#REF!</v>
      </c>
    </row>
    <row r="1962" spans="1:1">
      <c r="A1962" s="2" t="str">
        <f>CONCATENATE("'",'Inverter-Full Data'!A311,"     ",'Inverter-Full Data'!B311,",",'Inverter-Full Data'!S311,",",'Inverter-Full Data'!J311,",",'Inverter-Full Data'!T311,"'")</f>
        <v>'INGETEAM POWER TECHNOLOGY S.A     INGECON SUN 1190TL U B430 [430V],N,97.5,N'</v>
      </c>
    </row>
    <row r="1963" spans="1:1">
      <c r="A1963" s="2" t="str">
        <f>CONCATENATE("'",'Inverter-Full Data'!A312,"     ",'Inverter-Full Data'!B312,",",'Inverter-Full Data'!S312,",",'Inverter-Full Data'!J312,",",'Inverter-Full Data'!T312,"'")</f>
        <v>'INGETEAM POWER TECHNOLOGY S.A     INGECON SUN 1220TL U B440 [440V],N,97.5,N'</v>
      </c>
    </row>
    <row r="1964" spans="1:1">
      <c r="A1964" s="2" t="str">
        <f>CONCATENATE("'",'Inverter-Full Data'!A313,"     ",'Inverter-Full Data'!B313,",",'Inverter-Full Data'!S313,",",'Inverter-Full Data'!J313,",",'Inverter-Full Data'!T313,"'")</f>
        <v>'INGETEAM POWER TECHNOLOGY S.A     INGECON SUN 1245TL U B480 [480V],N,97.5,N'</v>
      </c>
    </row>
    <row r="1965" spans="1:1">
      <c r="A1965" s="2" t="e">
        <f>CONCATENATE("'",'Inverter-Full Data'!#REF!,"     ",'Inverter-Full Data'!#REF!,",",'Inverter-Full Data'!#REF!,",",'Inverter-Full Data'!#REF!,",",'Inverter-Full Data'!#REF!,"'")</f>
        <v>#REF!</v>
      </c>
    </row>
    <row r="1966" spans="1:1">
      <c r="A1966" s="2" t="str">
        <f>CONCATENATE("'",'Inverter-Full Data'!A314,"     ",'Inverter-Full Data'!B314,",",'Inverter-Full Data'!S314,",",'Inverter-Full Data'!J314,",",'Inverter-Full Data'!T314,"'")</f>
        <v>'INGETEAM POWER TECHNOLOGY S.A     INGECON SUN 1250TL U B450 [450V],N,97.5,N'</v>
      </c>
    </row>
    <row r="1967" spans="1:1">
      <c r="A1967" s="2" t="e">
        <f>CONCATENATE("'",'Inverter-Full Data'!#REF!,"     ",'Inverter-Full Data'!#REF!,",",'Inverter-Full Data'!#REF!,",",'Inverter-Full Data'!#REF!,",",'Inverter-Full Data'!#REF!,"'")</f>
        <v>#REF!</v>
      </c>
    </row>
    <row r="1968" spans="1:1">
      <c r="A1968" s="2" t="str">
        <f>CONCATENATE("'",'Inverter-Full Data'!A315,"     ",'Inverter-Full Data'!B315,",",'Inverter-Full Data'!S315,",",'Inverter-Full Data'!J315,",",'Inverter-Full Data'!T315,"'")</f>
        <v>'INGETEAM POWER TECHNOLOGY S.A     INGECON SUN 1275TL U B460 [460V],N,97.5,N'</v>
      </c>
    </row>
    <row r="1969" spans="1:1">
      <c r="A1969" s="2" t="e">
        <f>CONCATENATE("'",'Inverter-Full Data'!#REF!,"     ",'Inverter-Full Data'!#REF!,",",'Inverter-Full Data'!#REF!,",",'Inverter-Full Data'!#REF!,",",'Inverter-Full Data'!#REF!,"'")</f>
        <v>#REF!</v>
      </c>
    </row>
    <row r="1970" spans="1:1">
      <c r="A1970" s="2" t="str">
        <f>CONCATENATE("'",'Inverter-Full Data'!A316,"     ",'Inverter-Full Data'!B316,",",'Inverter-Full Data'!S316,",",'Inverter-Full Data'!J316,",",'Inverter-Full Data'!T316,"'")</f>
        <v>'INGETEAM POWER TECHNOLOGY S.A     INGECON SUN 1665TL U B640 [640V],N,97.5,N'</v>
      </c>
    </row>
    <row r="1971" spans="1:1">
      <c r="A1971" s="2" t="str">
        <f>CONCATENATE("'",'Inverter-Full Data'!A317,"     ",'Inverter-Full Data'!B317,",",'Inverter-Full Data'!S317,",",'Inverter-Full Data'!J317,",",'Inverter-Full Data'!T317,"'")</f>
        <v>'INGETEAM POWER TECHNOLOGY S.A     INGECON SUN 1690TL U B650 [650V],N,97.5,N'</v>
      </c>
    </row>
    <row r="1972" spans="1:1">
      <c r="A1972" s="2" t="str">
        <f>CONCATENATE("'",'Inverter-Full Data'!A318,"     ",'Inverter-Full Data'!B318,",",'Inverter-Full Data'!S318,",",'Inverter-Full Data'!J318,",",'Inverter-Full Data'!T318,"'")</f>
        <v>'INGETEAM POWER TECHNOLOGY S.A     INGECON SUN 1715TL U B660 [660V],N,97.5,N'</v>
      </c>
    </row>
    <row r="1973" spans="1:1">
      <c r="A1973" s="2" t="str">
        <f>CONCATENATE("'",'Inverter-Full Data'!A319,"     ",'Inverter-Full Data'!B319,",",'Inverter-Full Data'!S319,",",'Inverter-Full Data'!J319,",",'Inverter-Full Data'!T319,"'")</f>
        <v>'INGETEAM POWER TECHNOLOGY S.A     INGECON SUN 1740TL U B670 [670V],N,97.5,N'</v>
      </c>
    </row>
    <row r="1974" spans="1:1">
      <c r="A1974" s="2" t="str">
        <f>CONCATENATE("'",'Inverter-Full Data'!A320,"     ",'Inverter-Full Data'!B320,",",'Inverter-Full Data'!S320,",",'Inverter-Full Data'!J320,",",'Inverter-Full Data'!T320,"'")</f>
        <v>'INGETEAM POWER TECHNOLOGY S.A     INGECON SUN 1800TL U B690 [690V],N,97.5,N'</v>
      </c>
    </row>
    <row r="1975" spans="1:1">
      <c r="A1975" s="2" t="e">
        <f>CONCATENATE("'",'Inverter-Full Data'!#REF!,"     ",'Inverter-Full Data'!#REF!,",",'Inverter-Full Data'!#REF!,",",'Inverter-Full Data'!#REF!,",",'Inverter-Full Data'!#REF!,"'")</f>
        <v>#REF!</v>
      </c>
    </row>
    <row r="1976" spans="1:1">
      <c r="A1976" s="2" t="str">
        <f>CONCATENATE("'",'Inverter-Full Data'!A321,"     ",'Inverter-Full Data'!B321,",",'Inverter-Full Data'!S321,",",'Inverter-Full Data'!J321,",",'Inverter-Full Data'!T321,"'")</f>
        <v>'INGETEAM POWER TECHNOLOGY S.A.     INGECON SUN 1000TL U B360 [360V],N,98,N'</v>
      </c>
    </row>
    <row r="1977" spans="1:1">
      <c r="A1977" s="2" t="str">
        <f>CONCATENATE("'",'Inverter-Full Data'!A322,"     ",'Inverter-Full Data'!B322,",",'Inverter-Full Data'!S322,",",'Inverter-Full Data'!J322,",",'Inverter-Full Data'!T322,"'")</f>
        <v>'INGETEAM POWER TECHNOLOGY S.A.     INGECON SUN 1110TL U B400 [400V],N,98,N'</v>
      </c>
    </row>
    <row r="1978" spans="1:1">
      <c r="A1978" s="2" t="str">
        <f>CONCATENATE("'",'Inverter-Full Data'!A323,"     ",'Inverter-Full Data'!B323,",",'Inverter-Full Data'!S323,",",'Inverter-Full Data'!J323,",",'Inverter-Full Data'!T323,"'")</f>
        <v>'INGETEAM POWER TECHNOLOGY S.A.     INGECON SUN 1165TL U B420 [420V],N,98,N'</v>
      </c>
    </row>
    <row r="1979" spans="1:1">
      <c r="A1979" s="2" t="e">
        <f>CONCATENATE("'",'Inverter-Full Data'!#REF!,"     ",'Inverter-Full Data'!#REF!,",",'Inverter-Full Data'!#REF!,",",'Inverter-Full Data'!#REF!,",",'Inverter-Full Data'!#REF!,"'")</f>
        <v>#REF!</v>
      </c>
    </row>
    <row r="1980" spans="1:1">
      <c r="A1980" s="2" t="e">
        <f>CONCATENATE("'",'Inverter-Full Data'!#REF!,"     ",'Inverter-Full Data'!#REF!,",",'Inverter-Full Data'!#REF!,",",'Inverter-Full Data'!#REF!,",",'Inverter-Full Data'!#REF!,"'")</f>
        <v>#REF!</v>
      </c>
    </row>
    <row r="1981" spans="1:1">
      <c r="A1981" s="2" t="e">
        <f>CONCATENATE("'",'Inverter-Full Data'!#REF!,"     ",'Inverter-Full Data'!#REF!,",",'Inverter-Full Data'!#REF!,",",'Inverter-Full Data'!#REF!,",",'Inverter-Full Data'!#REF!,"'")</f>
        <v>#REF!</v>
      </c>
    </row>
    <row r="1982" spans="1:1">
      <c r="A1982" s="2" t="e">
        <f>CONCATENATE("'",'Inverter-Full Data'!#REF!,"     ",'Inverter-Full Data'!#REF!,",",'Inverter-Full Data'!#REF!,",",'Inverter-Full Data'!#REF!,",",'Inverter-Full Data'!#REF!,"'")</f>
        <v>#REF!</v>
      </c>
    </row>
    <row r="1983" spans="1:1">
      <c r="A1983" s="2" t="e">
        <f>CONCATENATE("'",'Inverter-Full Data'!#REF!,"     ",'Inverter-Full Data'!#REF!,",",'Inverter-Full Data'!#REF!,",",'Inverter-Full Data'!#REF!,",",'Inverter-Full Data'!#REF!,"'")</f>
        <v>#REF!</v>
      </c>
    </row>
    <row r="1984" spans="1:1">
      <c r="A1984" s="2" t="e">
        <f>CONCATENATE("'",'Inverter-Full Data'!#REF!,"     ",'Inverter-Full Data'!#REF!,",",'Inverter-Full Data'!#REF!,",",'Inverter-Full Data'!#REF!,",",'Inverter-Full Data'!#REF!,"'")</f>
        <v>#REF!</v>
      </c>
    </row>
    <row r="1985" spans="1:1">
      <c r="A1985" s="2" t="e">
        <f>CONCATENATE("'",'Inverter-Full Data'!#REF!,"     ",'Inverter-Full Data'!#REF!,",",'Inverter-Full Data'!#REF!,",",'Inverter-Full Data'!#REF!,",",'Inverter-Full Data'!#REF!,"'")</f>
        <v>#REF!</v>
      </c>
    </row>
    <row r="1986" spans="1:1">
      <c r="A1986" s="2" t="str">
        <f>CONCATENATE("'",'Inverter-Full Data'!A324,"     ",'Inverter-Full Data'!B324,",",'Inverter-Full Data'!S324,",",'Inverter-Full Data'!J324,",",'Inverter-Full Data'!T324,"'")</f>
        <v>'INGETEAM POWER TECHNOLOGY S.A.     INGECON SUN 610TL U B220 [220V],N,97.5,N'</v>
      </c>
    </row>
    <row r="1987" spans="1:1">
      <c r="A1987" s="2" t="e">
        <f>CONCATENATE("'",'Inverter-Full Data'!#REF!,"     ",'Inverter-Full Data'!#REF!,",",'Inverter-Full Data'!#REF!,",",'Inverter-Full Data'!#REF!,",",'Inverter-Full Data'!#REF!,"'")</f>
        <v>#REF!</v>
      </c>
    </row>
    <row r="1988" spans="1:1">
      <c r="A1988" s="2" t="e">
        <f>CONCATENATE("'",'Inverter-Full Data'!#REF!,"     ",'Inverter-Full Data'!#REF!,",",'Inverter-Full Data'!#REF!,",",'Inverter-Full Data'!#REF!,",",'Inverter-Full Data'!#REF!,"'")</f>
        <v>#REF!</v>
      </c>
    </row>
    <row r="1989" spans="1:1">
      <c r="A1989" s="2" t="e">
        <f>CONCATENATE("'",'Inverter-Full Data'!#REF!,"     ",'Inverter-Full Data'!#REF!,",",'Inverter-Full Data'!#REF!,",",'Inverter-Full Data'!#REF!,",",'Inverter-Full Data'!#REF!,"'")</f>
        <v>#REF!</v>
      </c>
    </row>
    <row r="1990" spans="1:1">
      <c r="A1990" s="2" t="e">
        <f>CONCATENATE("'",'Inverter-Full Data'!#REF!,"     ",'Inverter-Full Data'!#REF!,",",'Inverter-Full Data'!#REF!,",",'Inverter-Full Data'!#REF!,",",'Inverter-Full Data'!#REF!,"'")</f>
        <v>#REF!</v>
      </c>
    </row>
    <row r="1991" spans="1:1">
      <c r="A1991" s="2" t="e">
        <f>CONCATENATE("'",'Inverter-Full Data'!#REF!,"     ",'Inverter-Full Data'!#REF!,",",'Inverter-Full Data'!#REF!,",",'Inverter-Full Data'!#REF!,",",'Inverter-Full Data'!#REF!,"'")</f>
        <v>#REF!</v>
      </c>
    </row>
    <row r="1992" spans="1:1">
      <c r="A1992" s="2" t="e">
        <f>CONCATENATE("'",'Inverter-Full Data'!#REF!,"     ",'Inverter-Full Data'!#REF!,",",'Inverter-Full Data'!#REF!,",",'Inverter-Full Data'!#REF!,",",'Inverter-Full Data'!#REF!,"'")</f>
        <v>#REF!</v>
      </c>
    </row>
    <row r="1993" spans="1:1">
      <c r="A1993" s="2" t="e">
        <f>CONCATENATE("'",'Inverter-Full Data'!#REF!,"     ",'Inverter-Full Data'!#REF!,",",'Inverter-Full Data'!#REF!,",",'Inverter-Full Data'!#REF!,",",'Inverter-Full Data'!#REF!,"'")</f>
        <v>#REF!</v>
      </c>
    </row>
    <row r="1994" spans="1:1">
      <c r="A1994" s="2" t="e">
        <f>CONCATENATE("'",'Inverter-Full Data'!#REF!,"     ",'Inverter-Full Data'!#REF!,",",'Inverter-Full Data'!#REF!,",",'Inverter-Full Data'!#REF!,",",'Inverter-Full Data'!#REF!,"'")</f>
        <v>#REF!</v>
      </c>
    </row>
    <row r="1995" spans="1:1">
      <c r="A1995" s="2" t="e">
        <f>CONCATENATE("'",'Inverter-Full Data'!#REF!,"     ",'Inverter-Full Data'!#REF!,",",'Inverter-Full Data'!#REF!,",",'Inverter-Full Data'!#REF!,",",'Inverter-Full Data'!#REF!,"'")</f>
        <v>#REF!</v>
      </c>
    </row>
    <row r="1996" spans="1:1">
      <c r="A1996" s="2" t="e">
        <f>CONCATENATE("'",'Inverter-Full Data'!#REF!,"     ",'Inverter-Full Data'!#REF!,",",'Inverter-Full Data'!#REF!,",",'Inverter-Full Data'!#REF!,",",'Inverter-Full Data'!#REF!,"'")</f>
        <v>#REF!</v>
      </c>
    </row>
    <row r="1997" spans="1:1">
      <c r="A1997" s="2" t="e">
        <f>CONCATENATE("'",'Inverter-Full Data'!#REF!,"     ",'Inverter-Full Data'!#REF!,",",'Inverter-Full Data'!#REF!,",",'Inverter-Full Data'!#REF!,",",'Inverter-Full Data'!#REF!,"'")</f>
        <v>#REF!</v>
      </c>
    </row>
    <row r="1998" spans="1:1">
      <c r="A1998" s="2" t="e">
        <f>CONCATENATE("'",'Inverter-Full Data'!#REF!,"     ",'Inverter-Full Data'!#REF!,",",'Inverter-Full Data'!#REF!,",",'Inverter-Full Data'!#REF!,",",'Inverter-Full Data'!#REF!,"'")</f>
        <v>#REF!</v>
      </c>
    </row>
    <row r="1999" spans="1:1">
      <c r="A1999" s="2" t="e">
        <f>CONCATENATE("'",'Inverter-Full Data'!#REF!,"     ",'Inverter-Full Data'!#REF!,",",'Inverter-Full Data'!#REF!,",",'Inverter-Full Data'!#REF!,",",'Inverter-Full Data'!#REF!,"'")</f>
        <v>#REF!</v>
      </c>
    </row>
    <row r="2000" spans="1:1">
      <c r="A2000" s="2" t="e">
        <f>CONCATENATE("'",'Inverter-Full Data'!#REF!,"     ",'Inverter-Full Data'!#REF!,",",'Inverter-Full Data'!#REF!,",",'Inverter-Full Data'!#REF!,",",'Inverter-Full Data'!#REF!,"'")</f>
        <v>#REF!</v>
      </c>
    </row>
    <row r="2001" spans="1:1">
      <c r="A2001" s="2" t="e">
        <f>CONCATENATE("'",'Inverter-Full Data'!#REF!,"     ",'Inverter-Full Data'!#REF!,",",'Inverter-Full Data'!#REF!,",",'Inverter-Full Data'!#REF!,",",'Inverter-Full Data'!#REF!,"'")</f>
        <v>#REF!</v>
      </c>
    </row>
    <row r="2002" spans="1:1">
      <c r="A2002" s="2" t="e">
        <f>CONCATENATE("'",'Inverter-Full Data'!#REF!,"     ",'Inverter-Full Data'!#REF!,",",'Inverter-Full Data'!#REF!,",",'Inverter-Full Data'!#REF!,",",'Inverter-Full Data'!#REF!,"'")</f>
        <v>#REF!</v>
      </c>
    </row>
    <row r="2003" spans="1:1">
      <c r="A2003" s="2" t="e">
        <f>CONCATENATE("'",'Inverter-Full Data'!#REF!,"     ",'Inverter-Full Data'!#REF!,",",'Inverter-Full Data'!#REF!,",",'Inverter-Full Data'!#REF!,",",'Inverter-Full Data'!#REF!,"'")</f>
        <v>#REF!</v>
      </c>
    </row>
    <row r="2004" spans="1:1">
      <c r="A2004" s="2" t="e">
        <f>CONCATENATE("'",'Inverter-Full Data'!#REF!,"     ",'Inverter-Full Data'!#REF!,",",'Inverter-Full Data'!#REF!,",",'Inverter-Full Data'!#REF!,",",'Inverter-Full Data'!#REF!,"'")</f>
        <v>#REF!</v>
      </c>
    </row>
    <row r="2005" spans="1:1">
      <c r="A2005" s="2" t="e">
        <f>CONCATENATE("'",'Inverter-Full Data'!#REF!,"     ",'Inverter-Full Data'!#REF!,",",'Inverter-Full Data'!#REF!,",",'Inverter-Full Data'!#REF!,",",'Inverter-Full Data'!#REF!,"'")</f>
        <v>#REF!</v>
      </c>
    </row>
    <row r="2006" spans="1:1">
      <c r="A2006" s="2" t="str">
        <f>CONCATENATE("'",'Inverter-Full Data'!A325,"     ",'Inverter-Full Data'!B325,",",'Inverter-Full Data'!S325,",",'Inverter-Full Data'!J325,",",'Inverter-Full Data'!T325,"'")</f>
        <v>'INGETEAM POWER TECHNOLOGY S.A.     INGECON SUN 830TL U B300 [300V],N,97.5,N'</v>
      </c>
    </row>
    <row r="2007" spans="1:1">
      <c r="A2007" s="2" t="e">
        <f>CONCATENATE("'",'Inverter-Full Data'!#REF!,"     ",'Inverter-Full Data'!#REF!,",",'Inverter-Full Data'!#REF!,",",'Inverter-Full Data'!#REF!,",",'Inverter-Full Data'!#REF!,"'")</f>
        <v>#REF!</v>
      </c>
    </row>
    <row r="2008" spans="1:1">
      <c r="A2008" s="2" t="e">
        <f>CONCATENATE("'",'Inverter-Full Data'!#REF!,"     ",'Inverter-Full Data'!#REF!,",",'Inverter-Full Data'!#REF!,",",'Inverter-Full Data'!#REF!,",",'Inverter-Full Data'!#REF!,"'")</f>
        <v>#REF!</v>
      </c>
    </row>
    <row r="2009" spans="1:1">
      <c r="A2009" s="2" t="e">
        <f>CONCATENATE("'",'Inverter-Full Data'!#REF!,"     ",'Inverter-Full Data'!#REF!,",",'Inverter-Full Data'!#REF!,",",'Inverter-Full Data'!#REF!,",",'Inverter-Full Data'!#REF!,"'")</f>
        <v>#REF!</v>
      </c>
    </row>
    <row r="2010" spans="1:1">
      <c r="A2010" s="2" t="str">
        <f>CONCATENATE("'",'Inverter-Full Data'!A326,"     ",'Inverter-Full Data'!B326,",",'Inverter-Full Data'!S326,",",'Inverter-Full Data'!J326,",",'Inverter-Full Data'!T326,"'")</f>
        <v>'INGETEAM POWER TECHNOLOGY S.A.     INGECON SUN 915TL U B330 [330V],N,97.5,N'</v>
      </c>
    </row>
    <row r="2011" spans="1:1">
      <c r="A2011" s="2" t="e">
        <f>CONCATENATE("'",'Inverter-Full Data'!#REF!,"     ",'Inverter-Full Data'!#REF!,",",'Inverter-Full Data'!#REF!,",",'Inverter-Full Data'!#REF!,",",'Inverter-Full Data'!#REF!,"'")</f>
        <v>#REF!</v>
      </c>
    </row>
    <row r="2012" spans="1:1">
      <c r="A2012" s="2" t="e">
        <f>CONCATENATE("'",'Inverter-Full Data'!#REF!,"     ",'Inverter-Full Data'!#REF!,",",'Inverter-Full Data'!#REF!,",",'Inverter-Full Data'!#REF!,",",'Inverter-Full Data'!#REF!,"'")</f>
        <v>#REF!</v>
      </c>
    </row>
    <row r="2013" spans="1:1">
      <c r="A2013" s="2" t="str">
        <f>CONCATENATE("'",'Inverter-Full Data'!A327,"     ",'Inverter-Full Data'!B327,",",'Inverter-Full Data'!S327,",",'Inverter-Full Data'!J327,",",'Inverter-Full Data'!T327,"'")</f>
        <v>'Jinko Solar Co.,Ltd.     JKMS260M-60B-EP [240V],N,97,Y'</v>
      </c>
    </row>
    <row r="2014" spans="1:1">
      <c r="A2014" s="2" t="e">
        <f>CONCATENATE("'",'Inverter-Full Data'!#REF!,"     ",'Inverter-Full Data'!#REF!,",",'Inverter-Full Data'!#REF!,",",'Inverter-Full Data'!#REF!,",",'Inverter-Full Data'!#REF!,"'")</f>
        <v>#REF!</v>
      </c>
    </row>
    <row r="2015" spans="1:1">
      <c r="A2015" s="2" t="e">
        <f>CONCATENATE("'",'Inverter-Full Data'!#REF!,"     ",'Inverter-Full Data'!#REF!,",",'Inverter-Full Data'!#REF!,",",'Inverter-Full Data'!#REF!,",",'Inverter-Full Data'!#REF!,"'")</f>
        <v>#REF!</v>
      </c>
    </row>
    <row r="2016" spans="1:1">
      <c r="A2016" s="2" t="e">
        <f>CONCATENATE("'",'Inverter-Full Data'!#REF!,"     ",'Inverter-Full Data'!#REF!,",",'Inverter-Full Data'!#REF!,",",'Inverter-Full Data'!#REF!,",",'Inverter-Full Data'!#REF!,"'")</f>
        <v>#REF!</v>
      </c>
    </row>
    <row r="2017" spans="1:1">
      <c r="A2017" s="2" t="str">
        <f>CONCATENATE("'",'Inverter-Full Data'!A328,"     ",'Inverter-Full Data'!B328,",",'Inverter-Full Data'!S328,",",'Inverter-Full Data'!J328,",",'Inverter-Full Data'!T328,"'")</f>
        <v>'Jinko Solar Co.,Ltd.     JKMS265M-60B-EP [240V],N,97,Y'</v>
      </c>
    </row>
    <row r="2018" spans="1:1">
      <c r="A2018" s="2" t="e">
        <f>CONCATENATE("'",'Inverter-Full Data'!#REF!,"     ",'Inverter-Full Data'!#REF!,",",'Inverter-Full Data'!#REF!,",",'Inverter-Full Data'!#REF!,",",'Inverter-Full Data'!#REF!,"'")</f>
        <v>#REF!</v>
      </c>
    </row>
    <row r="2019" spans="1:1">
      <c r="A2019" s="2" t="str">
        <f>CONCATENATE("'",'Inverter-Full Data'!A329,"     ",'Inverter-Full Data'!B329,",",'Inverter-Full Data'!S329,",",'Inverter-Full Data'!J329,",",'Inverter-Full Data'!T329,"'")</f>
        <v>'Jinko Solar Co.,Ltd.     JKMS270M-60B-EP [240V],N,97,Y'</v>
      </c>
    </row>
    <row r="2020" spans="1:1">
      <c r="A2020" s="2" t="e">
        <f>CONCATENATE("'",'Inverter-Full Data'!#REF!,"     ",'Inverter-Full Data'!#REF!,",",'Inverter-Full Data'!#REF!,",",'Inverter-Full Data'!#REF!,",",'Inverter-Full Data'!#REF!,"'")</f>
        <v>#REF!</v>
      </c>
    </row>
    <row r="2021" spans="1:1">
      <c r="A2021" s="2" t="e">
        <f>CONCATENATE("'",'Inverter-Full Data'!#REF!,"     ",'Inverter-Full Data'!#REF!,",",'Inverter-Full Data'!#REF!,",",'Inverter-Full Data'!#REF!,",",'Inverter-Full Data'!#REF!,"'")</f>
        <v>#REF!</v>
      </c>
    </row>
    <row r="2022" spans="1:1">
      <c r="A2022" s="2" t="str">
        <f>CONCATENATE("'",'Inverter-Full Data'!A330,"     ",'Inverter-Full Data'!B330,",",'Inverter-Full Data'!S330,",",'Inverter-Full Data'!J330,",",'Inverter-Full Data'!T330,"'")</f>
        <v>'Jinko Solar Co.,Ltd.     JKMS275M-60B-EP [240V],N,97,Y'</v>
      </c>
    </row>
    <row r="2023" spans="1:1">
      <c r="A2023" s="2" t="e">
        <f>CONCATENATE("'",'Inverter-Full Data'!#REF!,"     ",'Inverter-Full Data'!#REF!,",",'Inverter-Full Data'!#REF!,",",'Inverter-Full Data'!#REF!,",",'Inverter-Full Data'!#REF!,"'")</f>
        <v>#REF!</v>
      </c>
    </row>
    <row r="2024" spans="1:1">
      <c r="A2024" s="2" t="e">
        <f>CONCATENATE("'",'Inverter-Full Data'!#REF!,"     ",'Inverter-Full Data'!#REF!,",",'Inverter-Full Data'!#REF!,",",'Inverter-Full Data'!#REF!,",",'Inverter-Full Data'!#REF!,"'")</f>
        <v>#REF!</v>
      </c>
    </row>
    <row r="2025" spans="1:1">
      <c r="A2025" s="2" t="e">
        <f>CONCATENATE("'",'Inverter-Full Data'!#REF!,"     ",'Inverter-Full Data'!#REF!,",",'Inverter-Full Data'!#REF!,",",'Inverter-Full Data'!#REF!,",",'Inverter-Full Data'!#REF!,"'")</f>
        <v>#REF!</v>
      </c>
    </row>
    <row r="2026" spans="1:1">
      <c r="A2026" s="2" t="e">
        <f>CONCATENATE("'",'Inverter-Full Data'!#REF!,"     ",'Inverter-Full Data'!#REF!,",",'Inverter-Full Data'!#REF!,",",'Inverter-Full Data'!#REF!,",",'Inverter-Full Data'!#REF!,"'")</f>
        <v>#REF!</v>
      </c>
    </row>
    <row r="2027" spans="1:1">
      <c r="A2027" s="2" t="e">
        <f>CONCATENATE("'",'Inverter-Full Data'!#REF!,"     ",'Inverter-Full Data'!#REF!,",",'Inverter-Full Data'!#REF!,",",'Inverter-Full Data'!#REF!,",",'Inverter-Full Data'!#REF!,"'")</f>
        <v>#REF!</v>
      </c>
    </row>
    <row r="2028" spans="1:1">
      <c r="A2028" s="2" t="e">
        <f>CONCATENATE("'",'Inverter-Full Data'!#REF!,"     ",'Inverter-Full Data'!#REF!,",",'Inverter-Full Data'!#REF!,",",'Inverter-Full Data'!#REF!,",",'Inverter-Full Data'!#REF!,"'")</f>
        <v>#REF!</v>
      </c>
    </row>
    <row r="2029" spans="1:1">
      <c r="A2029" s="2" t="e">
        <f>CONCATENATE("'",'Inverter-Full Data'!#REF!,"     ",'Inverter-Full Data'!#REF!,",",'Inverter-Full Data'!#REF!,",",'Inverter-Full Data'!#REF!,",",'Inverter-Full Data'!#REF!,"'")</f>
        <v>#REF!</v>
      </c>
    </row>
    <row r="2030" spans="1:1">
      <c r="A2030" s="2" t="e">
        <f>CONCATENATE("'",'Inverter-Full Data'!#REF!,"     ",'Inverter-Full Data'!#REF!,",",'Inverter-Full Data'!#REF!,",",'Inverter-Full Data'!#REF!,",",'Inverter-Full Data'!#REF!,"'")</f>
        <v>#REF!</v>
      </c>
    </row>
    <row r="2031" spans="1:1">
      <c r="A2031" s="2" t="e">
        <f>CONCATENATE("'",'Inverter-Full Data'!#REF!,"     ",'Inverter-Full Data'!#REF!,",",'Inverter-Full Data'!#REF!,",",'Inverter-Full Data'!#REF!,",",'Inverter-Full Data'!#REF!,"'")</f>
        <v>#REF!</v>
      </c>
    </row>
    <row r="2032" spans="1:1">
      <c r="A2032" s="2" t="e">
        <f>CONCATENATE("'",'Inverter-Full Data'!#REF!,"     ",'Inverter-Full Data'!#REF!,",",'Inverter-Full Data'!#REF!,",",'Inverter-Full Data'!#REF!,",",'Inverter-Full Data'!#REF!,"'")</f>
        <v>#REF!</v>
      </c>
    </row>
    <row r="2033" spans="1:1">
      <c r="A2033" s="2" t="e">
        <f>CONCATENATE("'",'Inverter-Full Data'!#REF!,"     ",'Inverter-Full Data'!#REF!,",",'Inverter-Full Data'!#REF!,",",'Inverter-Full Data'!#REF!,",",'Inverter-Full Data'!#REF!,"'")</f>
        <v>#REF!</v>
      </c>
    </row>
    <row r="2034" spans="1:1">
      <c r="A2034" s="2" t="e">
        <f>CONCATENATE("'",'Inverter-Full Data'!#REF!,"     ",'Inverter-Full Data'!#REF!,",",'Inverter-Full Data'!#REF!,",",'Inverter-Full Data'!#REF!,",",'Inverter-Full Data'!#REF!,"'")</f>
        <v>#REF!</v>
      </c>
    </row>
    <row r="2035" spans="1:1">
      <c r="A2035" s="2" t="e">
        <f>CONCATENATE("'",'Inverter-Full Data'!#REF!,"     ",'Inverter-Full Data'!#REF!,",",'Inverter-Full Data'!#REF!,",",'Inverter-Full Data'!#REF!,",",'Inverter-Full Data'!#REF!,"'")</f>
        <v>#REF!</v>
      </c>
    </row>
    <row r="2036" spans="1:1">
      <c r="A2036" s="2" t="e">
        <f>CONCATENATE("'",'Inverter-Full Data'!#REF!,"     ",'Inverter-Full Data'!#REF!,",",'Inverter-Full Data'!#REF!,",",'Inverter-Full Data'!#REF!,",",'Inverter-Full Data'!#REF!,"'")</f>
        <v>#REF!</v>
      </c>
    </row>
    <row r="2037" spans="1:1">
      <c r="A2037" s="2" t="e">
        <f>CONCATENATE("'",'Inverter-Full Data'!#REF!,"     ",'Inverter-Full Data'!#REF!,",",'Inverter-Full Data'!#REF!,",",'Inverter-Full Data'!#REF!,",",'Inverter-Full Data'!#REF!,"'")</f>
        <v>#REF!</v>
      </c>
    </row>
    <row r="2038" spans="1:1">
      <c r="A2038" s="2" t="e">
        <f>CONCATENATE("'",'Inverter-Full Data'!#REF!,"     ",'Inverter-Full Data'!#REF!,",",'Inverter-Full Data'!#REF!,",",'Inverter-Full Data'!#REF!,",",'Inverter-Full Data'!#REF!,"'")</f>
        <v>#REF!</v>
      </c>
    </row>
    <row r="2039" spans="1:1">
      <c r="A2039" s="2" t="e">
        <f>CONCATENATE("'",'Inverter-Full Data'!#REF!,"     ",'Inverter-Full Data'!#REF!,",",'Inverter-Full Data'!#REF!,",",'Inverter-Full Data'!#REF!,",",'Inverter-Full Data'!#REF!,"'")</f>
        <v>#REF!</v>
      </c>
    </row>
    <row r="2040" spans="1:1">
      <c r="A2040" s="2" t="e">
        <f>CONCATENATE("'",'Inverter-Full Data'!#REF!,"     ",'Inverter-Full Data'!#REF!,",",'Inverter-Full Data'!#REF!,",",'Inverter-Full Data'!#REF!,",",'Inverter-Full Data'!#REF!,"'")</f>
        <v>#REF!</v>
      </c>
    </row>
    <row r="2041" spans="1:1">
      <c r="A2041" s="2" t="e">
        <f>CONCATENATE("'",'Inverter-Full Data'!#REF!,"     ",'Inverter-Full Data'!#REF!,",",'Inverter-Full Data'!#REF!,",",'Inverter-Full Data'!#REF!,",",'Inverter-Full Data'!#REF!,"'")</f>
        <v>#REF!</v>
      </c>
    </row>
    <row r="2042" spans="1:1">
      <c r="A2042" s="2" t="e">
        <f>CONCATENATE("'",'Inverter-Full Data'!#REF!,"     ",'Inverter-Full Data'!#REF!,",",'Inverter-Full Data'!#REF!,",",'Inverter-Full Data'!#REF!,",",'Inverter-Full Data'!#REF!,"'")</f>
        <v>#REF!</v>
      </c>
    </row>
    <row r="2043" spans="1:1">
      <c r="A2043" s="2" t="e">
        <f>CONCATENATE("'",'Inverter-Full Data'!#REF!,"     ",'Inverter-Full Data'!#REF!,",",'Inverter-Full Data'!#REF!,",",'Inverter-Full Data'!#REF!,",",'Inverter-Full Data'!#REF!,"'")</f>
        <v>#REF!</v>
      </c>
    </row>
    <row r="2044" spans="1:1">
      <c r="A2044" s="2" t="e">
        <f>CONCATENATE("'",'Inverter-Full Data'!#REF!,"     ",'Inverter-Full Data'!#REF!,",",'Inverter-Full Data'!#REF!,",",'Inverter-Full Data'!#REF!,",",'Inverter-Full Data'!#REF!,"'")</f>
        <v>#REF!</v>
      </c>
    </row>
    <row r="2045" spans="1:1">
      <c r="A2045" s="2" t="e">
        <f>CONCATENATE("'",'Inverter-Full Data'!#REF!,"     ",'Inverter-Full Data'!#REF!,",",'Inverter-Full Data'!#REF!,",",'Inverter-Full Data'!#REF!,",",'Inverter-Full Data'!#REF!,"'")</f>
        <v>#REF!</v>
      </c>
    </row>
    <row r="2046" spans="1:1">
      <c r="A2046" s="2" t="e">
        <f>CONCATENATE("'",'Inverter-Full Data'!#REF!,"     ",'Inverter-Full Data'!#REF!,",",'Inverter-Full Data'!#REF!,",",'Inverter-Full Data'!#REF!,",",'Inverter-Full Data'!#REF!,"'")</f>
        <v>#REF!</v>
      </c>
    </row>
    <row r="2047" spans="1:1">
      <c r="A2047" s="2" t="e">
        <f>CONCATENATE("'",'Inverter-Full Data'!#REF!,"     ",'Inverter-Full Data'!#REF!,",",'Inverter-Full Data'!#REF!,",",'Inverter-Full Data'!#REF!,",",'Inverter-Full Data'!#REF!,"'")</f>
        <v>#REF!</v>
      </c>
    </row>
    <row r="2048" spans="1:1">
      <c r="A2048" s="2" t="e">
        <f>CONCATENATE("'",'Inverter-Full Data'!#REF!,"     ",'Inverter-Full Data'!#REF!,",",'Inverter-Full Data'!#REF!,",",'Inverter-Full Data'!#REF!,",",'Inverter-Full Data'!#REF!,"'")</f>
        <v>#REF!</v>
      </c>
    </row>
    <row r="2049" spans="1:1">
      <c r="A2049" s="2" t="e">
        <f>CONCATENATE("'",'Inverter-Full Data'!#REF!,"     ",'Inverter-Full Data'!#REF!,",",'Inverter-Full Data'!#REF!,",",'Inverter-Full Data'!#REF!,",",'Inverter-Full Data'!#REF!,"'")</f>
        <v>#REF!</v>
      </c>
    </row>
    <row r="2050" spans="1:1">
      <c r="A2050" s="2" t="e">
        <f>CONCATENATE("'",'Inverter-Full Data'!#REF!,"     ",'Inverter-Full Data'!#REF!,",",'Inverter-Full Data'!#REF!,",",'Inverter-Full Data'!#REF!,",",'Inverter-Full Data'!#REF!,"'")</f>
        <v>#REF!</v>
      </c>
    </row>
    <row r="2051" spans="1:1">
      <c r="A2051" s="2" t="e">
        <f>CONCATENATE("'",'Inverter-Full Data'!#REF!,"     ",'Inverter-Full Data'!#REF!,",",'Inverter-Full Data'!#REF!,",",'Inverter-Full Data'!#REF!,",",'Inverter-Full Data'!#REF!,"'")</f>
        <v>#REF!</v>
      </c>
    </row>
    <row r="2052" spans="1:1">
      <c r="A2052" s="2" t="e">
        <f>CONCATENATE("'",'Inverter-Full Data'!#REF!,"     ",'Inverter-Full Data'!#REF!,",",'Inverter-Full Data'!#REF!,",",'Inverter-Full Data'!#REF!,",",'Inverter-Full Data'!#REF!,"'")</f>
        <v>#REF!</v>
      </c>
    </row>
    <row r="2053" spans="1:1">
      <c r="A2053" s="2" t="e">
        <f>CONCATENATE("'",'Inverter-Full Data'!#REF!,"     ",'Inverter-Full Data'!#REF!,",",'Inverter-Full Data'!#REF!,",",'Inverter-Full Data'!#REF!,",",'Inverter-Full Data'!#REF!,"'")</f>
        <v>#REF!</v>
      </c>
    </row>
    <row r="2054" spans="1:1">
      <c r="A2054" s="2" t="e">
        <f>CONCATENATE("'",'Inverter-Full Data'!#REF!,"     ",'Inverter-Full Data'!#REF!,",",'Inverter-Full Data'!#REF!,",",'Inverter-Full Data'!#REF!,",",'Inverter-Full Data'!#REF!,"'")</f>
        <v>#REF!</v>
      </c>
    </row>
    <row r="2055" spans="1:1">
      <c r="A2055" s="2" t="e">
        <f>CONCATENATE("'",'Inverter-Full Data'!#REF!,"     ",'Inverter-Full Data'!#REF!,",",'Inverter-Full Data'!#REF!,",",'Inverter-Full Data'!#REF!,",",'Inverter-Full Data'!#REF!,"'")</f>
        <v>#REF!</v>
      </c>
    </row>
    <row r="2056" spans="1:1">
      <c r="A2056" s="2" t="e">
        <f>CONCATENATE("'",'Inverter-Full Data'!#REF!,"     ",'Inverter-Full Data'!#REF!,",",'Inverter-Full Data'!#REF!,",",'Inverter-Full Data'!#REF!,",",'Inverter-Full Data'!#REF!,"'")</f>
        <v>#REF!</v>
      </c>
    </row>
    <row r="2057" spans="1:1">
      <c r="A2057" s="2" t="e">
        <f>CONCATENATE("'",'Inverter-Full Data'!#REF!,"     ",'Inverter-Full Data'!#REF!,",",'Inverter-Full Data'!#REF!,",",'Inverter-Full Data'!#REF!,",",'Inverter-Full Data'!#REF!,"'")</f>
        <v>#REF!</v>
      </c>
    </row>
    <row r="2058" spans="1:1">
      <c r="A2058" s="2" t="e">
        <f>CONCATENATE("'",'Inverter-Full Data'!#REF!,"     ",'Inverter-Full Data'!#REF!,",",'Inverter-Full Data'!#REF!,",",'Inverter-Full Data'!#REF!,",",'Inverter-Full Data'!#REF!,"'")</f>
        <v>#REF!</v>
      </c>
    </row>
    <row r="2059" spans="1:1">
      <c r="A2059" s="2" t="e">
        <f>CONCATENATE("'",'Inverter-Full Data'!#REF!,"     ",'Inverter-Full Data'!#REF!,",",'Inverter-Full Data'!#REF!,",",'Inverter-Full Data'!#REF!,",",'Inverter-Full Data'!#REF!,"'")</f>
        <v>#REF!</v>
      </c>
    </row>
    <row r="2060" spans="1:1">
      <c r="A2060" s="2" t="e">
        <f>CONCATENATE("'",'Inverter-Full Data'!#REF!,"     ",'Inverter-Full Data'!#REF!,",",'Inverter-Full Data'!#REF!,",",'Inverter-Full Data'!#REF!,",",'Inverter-Full Data'!#REF!,"'")</f>
        <v>#REF!</v>
      </c>
    </row>
    <row r="2061" spans="1:1">
      <c r="A2061" s="2" t="e">
        <f>CONCATENATE("'",'Inverter-Full Data'!#REF!,"     ",'Inverter-Full Data'!#REF!,",",'Inverter-Full Data'!#REF!,",",'Inverter-Full Data'!#REF!,",",'Inverter-Full Data'!#REF!,"'")</f>
        <v>#REF!</v>
      </c>
    </row>
    <row r="2062" spans="1:1">
      <c r="A2062" s="2" t="e">
        <f>CONCATENATE("'",'Inverter-Full Data'!#REF!,"     ",'Inverter-Full Data'!#REF!,",",'Inverter-Full Data'!#REF!,",",'Inverter-Full Data'!#REF!,",",'Inverter-Full Data'!#REF!,"'")</f>
        <v>#REF!</v>
      </c>
    </row>
    <row r="2063" spans="1:1">
      <c r="A2063" s="2" t="e">
        <f>CONCATENATE("'",'Inverter-Full Data'!#REF!,"     ",'Inverter-Full Data'!#REF!,",",'Inverter-Full Data'!#REF!,",",'Inverter-Full Data'!#REF!,",",'Inverter-Full Data'!#REF!,"'")</f>
        <v>#REF!</v>
      </c>
    </row>
    <row r="2064" spans="1:1">
      <c r="A2064" s="2" t="e">
        <f>CONCATENATE("'",'Inverter-Full Data'!#REF!,"     ",'Inverter-Full Data'!#REF!,",",'Inverter-Full Data'!#REF!,",",'Inverter-Full Data'!#REF!,",",'Inverter-Full Data'!#REF!,"'")</f>
        <v>#REF!</v>
      </c>
    </row>
    <row r="2065" spans="1:1">
      <c r="A2065" s="2" t="e">
        <f>CONCATENATE("'",'Inverter-Full Data'!#REF!,"     ",'Inverter-Full Data'!#REF!,",",'Inverter-Full Data'!#REF!,",",'Inverter-Full Data'!#REF!,",",'Inverter-Full Data'!#REF!,"'")</f>
        <v>#REF!</v>
      </c>
    </row>
    <row r="2066" spans="1:1">
      <c r="A2066" s="2" t="e">
        <f>CONCATENATE("'",'Inverter-Full Data'!#REF!,"     ",'Inverter-Full Data'!#REF!,",",'Inverter-Full Data'!#REF!,",",'Inverter-Full Data'!#REF!,",",'Inverter-Full Data'!#REF!,"'")</f>
        <v>#REF!</v>
      </c>
    </row>
    <row r="2067" spans="1:1">
      <c r="A2067" s="2" t="e">
        <f>CONCATENATE("'",'Inverter-Full Data'!#REF!,"     ",'Inverter-Full Data'!#REF!,",",'Inverter-Full Data'!#REF!,",",'Inverter-Full Data'!#REF!,",",'Inverter-Full Data'!#REF!,"'")</f>
        <v>#REF!</v>
      </c>
    </row>
    <row r="2068" spans="1:1">
      <c r="A2068" s="2" t="e">
        <f>CONCATENATE("'",'Inverter-Full Data'!#REF!,"     ",'Inverter-Full Data'!#REF!,",",'Inverter-Full Data'!#REF!,",",'Inverter-Full Data'!#REF!,",",'Inverter-Full Data'!#REF!,"'")</f>
        <v>#REF!</v>
      </c>
    </row>
    <row r="2069" spans="1:1">
      <c r="A2069" s="2" t="e">
        <f>CONCATENATE("'",'Inverter-Full Data'!#REF!,"     ",'Inverter-Full Data'!#REF!,",",'Inverter-Full Data'!#REF!,",",'Inverter-Full Data'!#REF!,",",'Inverter-Full Data'!#REF!,"'")</f>
        <v>#REF!</v>
      </c>
    </row>
    <row r="2070" spans="1:1">
      <c r="A2070" s="2" t="e">
        <f>CONCATENATE("'",'Inverter-Full Data'!#REF!,"     ",'Inverter-Full Data'!#REF!,",",'Inverter-Full Data'!#REF!,",",'Inverter-Full Data'!#REF!,",",'Inverter-Full Data'!#REF!,"'")</f>
        <v>#REF!</v>
      </c>
    </row>
    <row r="2071" spans="1:1">
      <c r="A2071" s="2" t="e">
        <f>CONCATENATE("'",'Inverter-Full Data'!#REF!,"     ",'Inverter-Full Data'!#REF!,",",'Inverter-Full Data'!#REF!,",",'Inverter-Full Data'!#REF!,",",'Inverter-Full Data'!#REF!,"'")</f>
        <v>#REF!</v>
      </c>
    </row>
    <row r="2072" spans="1:1">
      <c r="A2072" s="2" t="e">
        <f>CONCATENATE("'",'Inverter-Full Data'!#REF!,"     ",'Inverter-Full Data'!#REF!,",",'Inverter-Full Data'!#REF!,",",'Inverter-Full Data'!#REF!,",",'Inverter-Full Data'!#REF!,"'")</f>
        <v>#REF!</v>
      </c>
    </row>
    <row r="2073" spans="1:1">
      <c r="A2073" s="2" t="e">
        <f>CONCATENATE("'",'Inverter-Full Data'!#REF!,"     ",'Inverter-Full Data'!#REF!,",",'Inverter-Full Data'!#REF!,",",'Inverter-Full Data'!#REF!,",",'Inverter-Full Data'!#REF!,"'")</f>
        <v>#REF!</v>
      </c>
    </row>
    <row r="2074" spans="1:1">
      <c r="A2074" s="2" t="e">
        <f>CONCATENATE("'",'Inverter-Full Data'!#REF!,"     ",'Inverter-Full Data'!#REF!,",",'Inverter-Full Data'!#REF!,",",'Inverter-Full Data'!#REF!,",",'Inverter-Full Data'!#REF!,"'")</f>
        <v>#REF!</v>
      </c>
    </row>
    <row r="2075" spans="1:1">
      <c r="A2075" s="2" t="e">
        <f>CONCATENATE("'",'Inverter-Full Data'!#REF!,"     ",'Inverter-Full Data'!#REF!,",",'Inverter-Full Data'!#REF!,",",'Inverter-Full Data'!#REF!,",",'Inverter-Full Data'!#REF!,"'")</f>
        <v>#REF!</v>
      </c>
    </row>
    <row r="2076" spans="1:1">
      <c r="A2076" s="2" t="e">
        <f>CONCATENATE("'",'Inverter-Full Data'!#REF!,"     ",'Inverter-Full Data'!#REF!,",",'Inverter-Full Data'!#REF!,",",'Inverter-Full Data'!#REF!,",",'Inverter-Full Data'!#REF!,"'")</f>
        <v>#REF!</v>
      </c>
    </row>
    <row r="2077" spans="1:1">
      <c r="A2077" s="2" t="e">
        <f>CONCATENATE("'",'Inverter-Full Data'!#REF!,"     ",'Inverter-Full Data'!#REF!,",",'Inverter-Full Data'!#REF!,",",'Inverter-Full Data'!#REF!,",",'Inverter-Full Data'!#REF!,"'")</f>
        <v>#REF!</v>
      </c>
    </row>
    <row r="2078" spans="1:1">
      <c r="A2078" s="2" t="e">
        <f>CONCATENATE("'",'Inverter-Full Data'!#REF!,"     ",'Inverter-Full Data'!#REF!,",",'Inverter-Full Data'!#REF!,",",'Inverter-Full Data'!#REF!,",",'Inverter-Full Data'!#REF!,"'")</f>
        <v>#REF!</v>
      </c>
    </row>
    <row r="2079" spans="1:1">
      <c r="A2079" s="2" t="e">
        <f>CONCATENATE("'",'Inverter-Full Data'!#REF!,"     ",'Inverter-Full Data'!#REF!,",",'Inverter-Full Data'!#REF!,",",'Inverter-Full Data'!#REF!,",",'Inverter-Full Data'!#REF!,"'")</f>
        <v>#REF!</v>
      </c>
    </row>
    <row r="2080" spans="1:1">
      <c r="A2080" s="2" t="e">
        <f>CONCATENATE("'",'Inverter-Full Data'!#REF!,"     ",'Inverter-Full Data'!#REF!,",",'Inverter-Full Data'!#REF!,",",'Inverter-Full Data'!#REF!,",",'Inverter-Full Data'!#REF!,"'")</f>
        <v>#REF!</v>
      </c>
    </row>
    <row r="2081" spans="1:1">
      <c r="A2081" s="2" t="e">
        <f>CONCATENATE("'",'Inverter-Full Data'!#REF!,"     ",'Inverter-Full Data'!#REF!,",",'Inverter-Full Data'!#REF!,",",'Inverter-Full Data'!#REF!,",",'Inverter-Full Data'!#REF!,"'")</f>
        <v>#REF!</v>
      </c>
    </row>
    <row r="2082" spans="1:1">
      <c r="A2082" s="2" t="e">
        <f>CONCATENATE("'",'Inverter-Full Data'!#REF!,"     ",'Inverter-Full Data'!#REF!,",",'Inverter-Full Data'!#REF!,",",'Inverter-Full Data'!#REF!,",",'Inverter-Full Data'!#REF!,"'")</f>
        <v>#REF!</v>
      </c>
    </row>
    <row r="2083" spans="1:1">
      <c r="A2083" s="2" t="e">
        <f>CONCATENATE("'",'Inverter-Full Data'!#REF!,"     ",'Inverter-Full Data'!#REF!,",",'Inverter-Full Data'!#REF!,",",'Inverter-Full Data'!#REF!,",",'Inverter-Full Data'!#REF!,"'")</f>
        <v>#REF!</v>
      </c>
    </row>
    <row r="2084" spans="1:1">
      <c r="A2084" s="2" t="e">
        <f>CONCATENATE("'",'Inverter-Full Data'!#REF!,"     ",'Inverter-Full Data'!#REF!,",",'Inverter-Full Data'!#REF!,",",'Inverter-Full Data'!#REF!,",",'Inverter-Full Data'!#REF!,"'")</f>
        <v>#REF!</v>
      </c>
    </row>
    <row r="2085" spans="1:1">
      <c r="A2085" s="2" t="e">
        <f>CONCATENATE("'",'Inverter-Full Data'!#REF!,"     ",'Inverter-Full Data'!#REF!,",",'Inverter-Full Data'!#REF!,",",'Inverter-Full Data'!#REF!,",",'Inverter-Full Data'!#REF!,"'")</f>
        <v>#REF!</v>
      </c>
    </row>
    <row r="2086" spans="1:1">
      <c r="A2086" s="2" t="e">
        <f>CONCATENATE("'",'Inverter-Full Data'!#REF!,"     ",'Inverter-Full Data'!#REF!,",",'Inverter-Full Data'!#REF!,",",'Inverter-Full Data'!#REF!,",",'Inverter-Full Data'!#REF!,"'")</f>
        <v>#REF!</v>
      </c>
    </row>
    <row r="2087" spans="1:1">
      <c r="A2087" s="2" t="e">
        <f>CONCATENATE("'",'Inverter-Full Data'!#REF!,"     ",'Inverter-Full Data'!#REF!,",",'Inverter-Full Data'!#REF!,",",'Inverter-Full Data'!#REF!,",",'Inverter-Full Data'!#REF!,"'")</f>
        <v>#REF!</v>
      </c>
    </row>
    <row r="2088" spans="1:1">
      <c r="A2088" s="2" t="e">
        <f>CONCATENATE("'",'Inverter-Full Data'!#REF!,"     ",'Inverter-Full Data'!#REF!,",",'Inverter-Full Data'!#REF!,",",'Inverter-Full Data'!#REF!,",",'Inverter-Full Data'!#REF!,"'")</f>
        <v>#REF!</v>
      </c>
    </row>
    <row r="2089" spans="1:1">
      <c r="A2089" s="2" t="e">
        <f>CONCATENATE("'",'Inverter-Full Data'!#REF!,"     ",'Inverter-Full Data'!#REF!,",",'Inverter-Full Data'!#REF!,",",'Inverter-Full Data'!#REF!,",",'Inverter-Full Data'!#REF!,"'")</f>
        <v>#REF!</v>
      </c>
    </row>
    <row r="2090" spans="1:1">
      <c r="A2090" s="2" t="e">
        <f>CONCATENATE("'",'Inverter-Full Data'!#REF!,"     ",'Inverter-Full Data'!#REF!,",",'Inverter-Full Data'!#REF!,",",'Inverter-Full Data'!#REF!,",",'Inverter-Full Data'!#REF!,"'")</f>
        <v>#REF!</v>
      </c>
    </row>
    <row r="2091" spans="1:1">
      <c r="A2091" s="2" t="e">
        <f>CONCATENATE("'",'Inverter-Full Data'!#REF!,"     ",'Inverter-Full Data'!#REF!,",",'Inverter-Full Data'!#REF!,",",'Inverter-Full Data'!#REF!,",",'Inverter-Full Data'!#REF!,"'")</f>
        <v>#REF!</v>
      </c>
    </row>
    <row r="2092" spans="1:1">
      <c r="A2092" s="2" t="e">
        <f>CONCATENATE("'",'Inverter-Full Data'!#REF!,"     ",'Inverter-Full Data'!#REF!,",",'Inverter-Full Data'!#REF!,",",'Inverter-Full Data'!#REF!,",",'Inverter-Full Data'!#REF!,"'")</f>
        <v>#REF!</v>
      </c>
    </row>
    <row r="2093" spans="1:1">
      <c r="A2093" s="2" t="e">
        <f>CONCATENATE("'",'Inverter-Full Data'!#REF!,"     ",'Inverter-Full Data'!#REF!,",",'Inverter-Full Data'!#REF!,",",'Inverter-Full Data'!#REF!,",",'Inverter-Full Data'!#REF!,"'")</f>
        <v>#REF!</v>
      </c>
    </row>
    <row r="2094" spans="1:1">
      <c r="A2094" s="2" t="e">
        <f>CONCATENATE("'",'Inverter-Full Data'!#REF!,"     ",'Inverter-Full Data'!#REF!,",",'Inverter-Full Data'!#REF!,",",'Inverter-Full Data'!#REF!,",",'Inverter-Full Data'!#REF!,"'")</f>
        <v>#REF!</v>
      </c>
    </row>
    <row r="2095" spans="1:1">
      <c r="A2095" s="2" t="e">
        <f>CONCATENATE("'",'Inverter-Full Data'!#REF!,"     ",'Inverter-Full Data'!#REF!,",",'Inverter-Full Data'!#REF!,",",'Inverter-Full Data'!#REF!,",",'Inverter-Full Data'!#REF!,"'")</f>
        <v>#REF!</v>
      </c>
    </row>
    <row r="2096" spans="1:1">
      <c r="A2096" s="2" t="e">
        <f>CONCATENATE("'",'Inverter-Full Data'!#REF!,"     ",'Inverter-Full Data'!#REF!,",",'Inverter-Full Data'!#REF!,",",'Inverter-Full Data'!#REF!,",",'Inverter-Full Data'!#REF!,"'")</f>
        <v>#REF!</v>
      </c>
    </row>
    <row r="2097" spans="1:1">
      <c r="A2097" s="2" t="e">
        <f>CONCATENATE("'",'Inverter-Full Data'!#REF!,"     ",'Inverter-Full Data'!#REF!,",",'Inverter-Full Data'!#REF!,",",'Inverter-Full Data'!#REF!,",",'Inverter-Full Data'!#REF!,"'")</f>
        <v>#REF!</v>
      </c>
    </row>
    <row r="2098" spans="1:1">
      <c r="A2098" s="2" t="e">
        <f>CONCATENATE("'",'Inverter-Full Data'!#REF!,"     ",'Inverter-Full Data'!#REF!,",",'Inverter-Full Data'!#REF!,",",'Inverter-Full Data'!#REF!,",",'Inverter-Full Data'!#REF!,"'")</f>
        <v>#REF!</v>
      </c>
    </row>
    <row r="2099" spans="1:1">
      <c r="A2099" s="2" t="e">
        <f>CONCATENATE("'",'Inverter-Full Data'!#REF!,"     ",'Inverter-Full Data'!#REF!,",",'Inverter-Full Data'!#REF!,",",'Inverter-Full Data'!#REF!,",",'Inverter-Full Data'!#REF!,"'")</f>
        <v>#REF!</v>
      </c>
    </row>
    <row r="2100" spans="1:1">
      <c r="A2100" s="2" t="e">
        <f>CONCATENATE("'",'Inverter-Full Data'!#REF!,"     ",'Inverter-Full Data'!#REF!,",",'Inverter-Full Data'!#REF!,",",'Inverter-Full Data'!#REF!,",",'Inverter-Full Data'!#REF!,"'")</f>
        <v>#REF!</v>
      </c>
    </row>
    <row r="2101" spans="1:1">
      <c r="A2101" s="2" t="e">
        <f>CONCATENATE("'",'Inverter-Full Data'!#REF!,"     ",'Inverter-Full Data'!#REF!,",",'Inverter-Full Data'!#REF!,",",'Inverter-Full Data'!#REF!,",",'Inverter-Full Data'!#REF!,"'")</f>
        <v>#REF!</v>
      </c>
    </row>
    <row r="2102" spans="1:1">
      <c r="A2102" s="2" t="e">
        <f>CONCATENATE("'",'Inverter-Full Data'!#REF!,"     ",'Inverter-Full Data'!#REF!,",",'Inverter-Full Data'!#REF!,",",'Inverter-Full Data'!#REF!,",",'Inverter-Full Data'!#REF!,"'")</f>
        <v>#REF!</v>
      </c>
    </row>
    <row r="2103" spans="1:1">
      <c r="A2103" s="2" t="e">
        <f>CONCATENATE("'",'Inverter-Full Data'!#REF!,"     ",'Inverter-Full Data'!#REF!,",",'Inverter-Full Data'!#REF!,",",'Inverter-Full Data'!#REF!,",",'Inverter-Full Data'!#REF!,"'")</f>
        <v>#REF!</v>
      </c>
    </row>
    <row r="2104" spans="1:1">
      <c r="A2104" s="2" t="e">
        <f>CONCATENATE("'",'Inverter-Full Data'!#REF!,"     ",'Inverter-Full Data'!#REF!,",",'Inverter-Full Data'!#REF!,",",'Inverter-Full Data'!#REF!,",",'Inverter-Full Data'!#REF!,"'")</f>
        <v>#REF!</v>
      </c>
    </row>
    <row r="2105" spans="1:1">
      <c r="A2105" s="2" t="e">
        <f>CONCATENATE("'",'Inverter-Full Data'!#REF!,"     ",'Inverter-Full Data'!#REF!,",",'Inverter-Full Data'!#REF!,",",'Inverter-Full Data'!#REF!,",",'Inverter-Full Data'!#REF!,"'")</f>
        <v>#REF!</v>
      </c>
    </row>
    <row r="2106" spans="1:1">
      <c r="A2106" s="2" t="e">
        <f>CONCATENATE("'",'Inverter-Full Data'!#REF!,"     ",'Inverter-Full Data'!#REF!,",",'Inverter-Full Data'!#REF!,",",'Inverter-Full Data'!#REF!,",",'Inverter-Full Data'!#REF!,"'")</f>
        <v>#REF!</v>
      </c>
    </row>
    <row r="2107" spans="1:1">
      <c r="A2107" s="2" t="e">
        <f>CONCATENATE("'",'Inverter-Full Data'!#REF!,"     ",'Inverter-Full Data'!#REF!,",",'Inverter-Full Data'!#REF!,",",'Inverter-Full Data'!#REF!,",",'Inverter-Full Data'!#REF!,"'")</f>
        <v>#REF!</v>
      </c>
    </row>
    <row r="2108" spans="1:1">
      <c r="A2108" s="2" t="e">
        <f>CONCATENATE("'",'Inverter-Full Data'!#REF!,"     ",'Inverter-Full Data'!#REF!,",",'Inverter-Full Data'!#REF!,",",'Inverter-Full Data'!#REF!,",",'Inverter-Full Data'!#REF!,"'")</f>
        <v>#REF!</v>
      </c>
    </row>
    <row r="2109" spans="1:1">
      <c r="A2109" s="2" t="e">
        <f>CONCATENATE("'",'Inverter-Full Data'!#REF!,"     ",'Inverter-Full Data'!#REF!,",",'Inverter-Full Data'!#REF!,",",'Inverter-Full Data'!#REF!,",",'Inverter-Full Data'!#REF!,"'")</f>
        <v>#REF!</v>
      </c>
    </row>
    <row r="2110" spans="1:1">
      <c r="A2110" s="2" t="e">
        <f>CONCATENATE("'",'Inverter-Full Data'!#REF!,"     ",'Inverter-Full Data'!#REF!,",",'Inverter-Full Data'!#REF!,",",'Inverter-Full Data'!#REF!,",",'Inverter-Full Data'!#REF!,"'")</f>
        <v>#REF!</v>
      </c>
    </row>
    <row r="2111" spans="1:1">
      <c r="A2111" s="2" t="e">
        <f>CONCATENATE("'",'Inverter-Full Data'!#REF!,"     ",'Inverter-Full Data'!#REF!,",",'Inverter-Full Data'!#REF!,",",'Inverter-Full Data'!#REF!,",",'Inverter-Full Data'!#REF!,"'")</f>
        <v>#REF!</v>
      </c>
    </row>
    <row r="2112" spans="1:1">
      <c r="A2112" s="2" t="e">
        <f>CONCATENATE("'",'Inverter-Full Data'!#REF!,"     ",'Inverter-Full Data'!#REF!,",",'Inverter-Full Data'!#REF!,",",'Inverter-Full Data'!#REF!,",",'Inverter-Full Data'!#REF!,"'")</f>
        <v>#REF!</v>
      </c>
    </row>
    <row r="2113" spans="1:1">
      <c r="A2113" s="2" t="e">
        <f>CONCATENATE("'",'Inverter-Full Data'!#REF!,"     ",'Inverter-Full Data'!#REF!,",",'Inverter-Full Data'!#REF!,",",'Inverter-Full Data'!#REF!,",",'Inverter-Full Data'!#REF!,"'")</f>
        <v>#REF!</v>
      </c>
    </row>
    <row r="2114" spans="1:1">
      <c r="A2114" s="2" t="e">
        <f>CONCATENATE("'",'Inverter-Full Data'!#REF!,"     ",'Inverter-Full Data'!#REF!,",",'Inverter-Full Data'!#REF!,",",'Inverter-Full Data'!#REF!,",",'Inverter-Full Data'!#REF!,"'")</f>
        <v>#REF!</v>
      </c>
    </row>
    <row r="2115" spans="1:1">
      <c r="A2115" s="2" t="e">
        <f>CONCATENATE("'",'Inverter-Full Data'!#REF!,"     ",'Inverter-Full Data'!#REF!,",",'Inverter-Full Data'!#REF!,",",'Inverter-Full Data'!#REF!,",",'Inverter-Full Data'!#REF!,"'")</f>
        <v>#REF!</v>
      </c>
    </row>
    <row r="2116" spans="1:1">
      <c r="A2116" s="2" t="e">
        <f>CONCATENATE("'",'Inverter-Full Data'!#REF!,"     ",'Inverter-Full Data'!#REF!,",",'Inverter-Full Data'!#REF!,",",'Inverter-Full Data'!#REF!,",",'Inverter-Full Data'!#REF!,"'")</f>
        <v>#REF!</v>
      </c>
    </row>
    <row r="2117" spans="1:1">
      <c r="A2117" s="2" t="e">
        <f>CONCATENATE("'",'Inverter-Full Data'!#REF!,"     ",'Inverter-Full Data'!#REF!,",",'Inverter-Full Data'!#REF!,",",'Inverter-Full Data'!#REF!,",",'Inverter-Full Data'!#REF!,"'")</f>
        <v>#REF!</v>
      </c>
    </row>
    <row r="2118" spans="1:1">
      <c r="A2118" s="2" t="e">
        <f>CONCATENATE("'",'Inverter-Full Data'!#REF!,"     ",'Inverter-Full Data'!#REF!,",",'Inverter-Full Data'!#REF!,",",'Inverter-Full Data'!#REF!,",",'Inverter-Full Data'!#REF!,"'")</f>
        <v>#REF!</v>
      </c>
    </row>
    <row r="2119" spans="1:1">
      <c r="A2119" s="2" t="e">
        <f>CONCATENATE("'",'Inverter-Full Data'!#REF!,"     ",'Inverter-Full Data'!#REF!,",",'Inverter-Full Data'!#REF!,",",'Inverter-Full Data'!#REF!,",",'Inverter-Full Data'!#REF!,"'")</f>
        <v>#REF!</v>
      </c>
    </row>
    <row r="2120" spans="1:1">
      <c r="A2120" s="2" t="e">
        <f>CONCATENATE("'",'Inverter-Full Data'!#REF!,"     ",'Inverter-Full Data'!#REF!,",",'Inverter-Full Data'!#REF!,",",'Inverter-Full Data'!#REF!,",",'Inverter-Full Data'!#REF!,"'")</f>
        <v>#REF!</v>
      </c>
    </row>
    <row r="2121" spans="1:1">
      <c r="A2121" s="2" t="e">
        <f>CONCATENATE("'",'Inverter-Full Data'!#REF!,"     ",'Inverter-Full Data'!#REF!,",",'Inverter-Full Data'!#REF!,",",'Inverter-Full Data'!#REF!,",",'Inverter-Full Data'!#REF!,"'")</f>
        <v>#REF!</v>
      </c>
    </row>
    <row r="2122" spans="1:1">
      <c r="A2122" s="2" t="e">
        <f>CONCATENATE("'",'Inverter-Full Data'!#REF!,"     ",'Inverter-Full Data'!#REF!,",",'Inverter-Full Data'!#REF!,",",'Inverter-Full Data'!#REF!,",",'Inverter-Full Data'!#REF!,"'")</f>
        <v>#REF!</v>
      </c>
    </row>
    <row r="2123" spans="1:1">
      <c r="A2123" s="2" t="str">
        <f>CONCATENATE("'",'Inverter-Full Data'!A331,"     ",'Inverter-Full Data'!B331,",",'Inverter-Full Data'!S331,",",'Inverter-Full Data'!J331,",",'Inverter-Full Data'!T331,"'")</f>
        <v>'Jinko Solar Co.,Ltd.     JKMS275M-60-EP [240V],N,97,Y'</v>
      </c>
    </row>
    <row r="2124" spans="1:1">
      <c r="A2124" s="2" t="str">
        <f>CONCATENATE("'",'Inverter-Full Data'!A332,"     ",'Inverter-Full Data'!B332,",",'Inverter-Full Data'!S332,",",'Inverter-Full Data'!J332,",",'Inverter-Full Data'!T332,"'")</f>
        <v>'Jinko Solar Co.,Ltd.     JKMS280M-60B-EP [240V],N,97,Y'</v>
      </c>
    </row>
    <row r="2125" spans="1:1">
      <c r="A2125" s="2" t="e">
        <f>CONCATENATE("'",'Inverter-Full Data'!#REF!,"     ",'Inverter-Full Data'!#REF!,",",'Inverter-Full Data'!#REF!,",",'Inverter-Full Data'!#REF!,",",'Inverter-Full Data'!#REF!,"'")</f>
        <v>#REF!</v>
      </c>
    </row>
    <row r="2126" spans="1:1">
      <c r="A2126" s="2" t="str">
        <f>CONCATENATE("'",'Inverter-Full Data'!A333,"     ",'Inverter-Full Data'!B333,",",'Inverter-Full Data'!S333,",",'Inverter-Full Data'!J333,",",'Inverter-Full Data'!T333,"'")</f>
        <v>'Jinko Solar Co.,Ltd.     JKMS280M-60-EP [240V],N,97,Y'</v>
      </c>
    </row>
    <row r="2127" spans="1:1">
      <c r="A2127" s="2" t="str">
        <f>CONCATENATE("'",'Inverter-Full Data'!A334,"     ",'Inverter-Full Data'!B334,",",'Inverter-Full Data'!S334,",",'Inverter-Full Data'!J334,",",'Inverter-Full Data'!T334,"'")</f>
        <v>'Jinko Solar Co.,Ltd.     JKMS285M-60B-EP [240V],N,97,Y'</v>
      </c>
    </row>
    <row r="2128" spans="1:1">
      <c r="A2128" s="2" t="str">
        <f>CONCATENATE("'",'Inverter-Full Data'!A335,"     ",'Inverter-Full Data'!B335,",",'Inverter-Full Data'!S335,",",'Inverter-Full Data'!J335,",",'Inverter-Full Data'!T335,"'")</f>
        <v>'Jinko Solar Co.,Ltd.     JKMS285M-60-EP [240V],N,97,Y'</v>
      </c>
    </row>
    <row r="2129" spans="1:1">
      <c r="A2129" s="2" t="e">
        <f>CONCATENATE("'",'Inverter-Full Data'!#REF!,"     ",'Inverter-Full Data'!#REF!,",",'Inverter-Full Data'!#REF!,",",'Inverter-Full Data'!#REF!,",",'Inverter-Full Data'!#REF!,"'")</f>
        <v>#REF!</v>
      </c>
    </row>
    <row r="2130" spans="1:1">
      <c r="A2130" s="2" t="e">
        <f>CONCATENATE("'",'Inverter-Full Data'!#REF!,"     ",'Inverter-Full Data'!#REF!,",",'Inverter-Full Data'!#REF!,",",'Inverter-Full Data'!#REF!,",",'Inverter-Full Data'!#REF!,"'")</f>
        <v>#REF!</v>
      </c>
    </row>
    <row r="2131" spans="1:1">
      <c r="A2131" s="2" t="e">
        <f>CONCATENATE("'",'Inverter-Full Data'!#REF!,"     ",'Inverter-Full Data'!#REF!,",",'Inverter-Full Data'!#REF!,",",'Inverter-Full Data'!#REF!,",",'Inverter-Full Data'!#REF!,"'")</f>
        <v>#REF!</v>
      </c>
    </row>
    <row r="2132" spans="1:1">
      <c r="A2132" s="2" t="e">
        <f>CONCATENATE("'",'Inverter-Full Data'!#REF!,"     ",'Inverter-Full Data'!#REF!,",",'Inverter-Full Data'!#REF!,",",'Inverter-Full Data'!#REF!,",",'Inverter-Full Data'!#REF!,"'")</f>
        <v>#REF!</v>
      </c>
    </row>
    <row r="2133" spans="1:1">
      <c r="A2133" s="2" t="e">
        <f>CONCATENATE("'",'Inverter-Full Data'!#REF!,"     ",'Inverter-Full Data'!#REF!,",",'Inverter-Full Data'!#REF!,",",'Inverter-Full Data'!#REF!,",",'Inverter-Full Data'!#REF!,"'")</f>
        <v>#REF!</v>
      </c>
    </row>
    <row r="2134" spans="1:1">
      <c r="A2134" s="2" t="e">
        <f>CONCATENATE("'",'Inverter-Full Data'!#REF!,"     ",'Inverter-Full Data'!#REF!,",",'Inverter-Full Data'!#REF!,",",'Inverter-Full Data'!#REF!,",",'Inverter-Full Data'!#REF!,"'")</f>
        <v>#REF!</v>
      </c>
    </row>
    <row r="2135" spans="1:1">
      <c r="A2135" s="2" t="e">
        <f>CONCATENATE("'",'Inverter-Full Data'!#REF!,"     ",'Inverter-Full Data'!#REF!,",",'Inverter-Full Data'!#REF!,",",'Inverter-Full Data'!#REF!,",",'Inverter-Full Data'!#REF!,"'")</f>
        <v>#REF!</v>
      </c>
    </row>
    <row r="2136" spans="1:1">
      <c r="A2136" s="2" t="e">
        <f>CONCATENATE("'",'Inverter-Full Data'!#REF!,"     ",'Inverter-Full Data'!#REF!,",",'Inverter-Full Data'!#REF!,",",'Inverter-Full Data'!#REF!,",",'Inverter-Full Data'!#REF!,"'")</f>
        <v>#REF!</v>
      </c>
    </row>
    <row r="2137" spans="1:1">
      <c r="A2137" s="2" t="e">
        <f>CONCATENATE("'",'Inverter-Full Data'!#REF!,"     ",'Inverter-Full Data'!#REF!,",",'Inverter-Full Data'!#REF!,",",'Inverter-Full Data'!#REF!,",",'Inverter-Full Data'!#REF!,"'")</f>
        <v>#REF!</v>
      </c>
    </row>
    <row r="2138" spans="1:1">
      <c r="A2138" s="2" t="e">
        <f>CONCATENATE("'",'Inverter-Full Data'!#REF!,"     ",'Inverter-Full Data'!#REF!,",",'Inverter-Full Data'!#REF!,",",'Inverter-Full Data'!#REF!,",",'Inverter-Full Data'!#REF!,"'")</f>
        <v>#REF!</v>
      </c>
    </row>
    <row r="2139" spans="1:1">
      <c r="A2139" s="2" t="e">
        <f>CONCATENATE("'",'Inverter-Full Data'!#REF!,"     ",'Inverter-Full Data'!#REF!,",",'Inverter-Full Data'!#REF!,",",'Inverter-Full Data'!#REF!,",",'Inverter-Full Data'!#REF!,"'")</f>
        <v>#REF!</v>
      </c>
    </row>
    <row r="2140" spans="1:1">
      <c r="A2140" s="2" t="e">
        <f>CONCATENATE("'",'Inverter-Full Data'!#REF!,"     ",'Inverter-Full Data'!#REF!,",",'Inverter-Full Data'!#REF!,",",'Inverter-Full Data'!#REF!,",",'Inverter-Full Data'!#REF!,"'")</f>
        <v>#REF!</v>
      </c>
    </row>
    <row r="2141" spans="1:1">
      <c r="A2141" s="2" t="e">
        <f>CONCATENATE("'",'Inverter-Full Data'!#REF!,"     ",'Inverter-Full Data'!#REF!,",",'Inverter-Full Data'!#REF!,",",'Inverter-Full Data'!#REF!,",",'Inverter-Full Data'!#REF!,"'")</f>
        <v>#REF!</v>
      </c>
    </row>
    <row r="2142" spans="1:1">
      <c r="A2142" s="2" t="e">
        <f>CONCATENATE("'",'Inverter-Full Data'!#REF!,"     ",'Inverter-Full Data'!#REF!,",",'Inverter-Full Data'!#REF!,",",'Inverter-Full Data'!#REF!,",",'Inverter-Full Data'!#REF!,"'")</f>
        <v>#REF!</v>
      </c>
    </row>
    <row r="2143" spans="1:1">
      <c r="A2143" s="2" t="e">
        <f>CONCATENATE("'",'Inverter-Full Data'!#REF!,"     ",'Inverter-Full Data'!#REF!,",",'Inverter-Full Data'!#REF!,",",'Inverter-Full Data'!#REF!,",",'Inverter-Full Data'!#REF!,"'")</f>
        <v>#REF!</v>
      </c>
    </row>
    <row r="2144" spans="1:1">
      <c r="A2144" s="2" t="e">
        <f>CONCATENATE("'",'Inverter-Full Data'!#REF!,"     ",'Inverter-Full Data'!#REF!,",",'Inverter-Full Data'!#REF!,",",'Inverter-Full Data'!#REF!,",",'Inverter-Full Data'!#REF!,"'")</f>
        <v>#REF!</v>
      </c>
    </row>
    <row r="2145" spans="1:1">
      <c r="A2145" s="2" t="e">
        <f>CONCATENATE("'",'Inverter-Full Data'!#REF!,"     ",'Inverter-Full Data'!#REF!,",",'Inverter-Full Data'!#REF!,",",'Inverter-Full Data'!#REF!,",",'Inverter-Full Data'!#REF!,"'")</f>
        <v>#REF!</v>
      </c>
    </row>
    <row r="2146" spans="1:1">
      <c r="A2146" s="2" t="e">
        <f>CONCATENATE("'",'Inverter-Full Data'!#REF!,"     ",'Inverter-Full Data'!#REF!,",",'Inverter-Full Data'!#REF!,",",'Inverter-Full Data'!#REF!,",",'Inverter-Full Data'!#REF!,"'")</f>
        <v>#REF!</v>
      </c>
    </row>
    <row r="2147" spans="1:1">
      <c r="A2147" s="2" t="e">
        <f>CONCATENATE("'",'Inverter-Full Data'!#REF!,"     ",'Inverter-Full Data'!#REF!,",",'Inverter-Full Data'!#REF!,",",'Inverter-Full Data'!#REF!,",",'Inverter-Full Data'!#REF!,"'")</f>
        <v>#REF!</v>
      </c>
    </row>
    <row r="2148" spans="1:1">
      <c r="A2148" s="2" t="e">
        <f>CONCATENATE("'",'Inverter-Full Data'!#REF!,"     ",'Inverter-Full Data'!#REF!,",",'Inverter-Full Data'!#REF!,",",'Inverter-Full Data'!#REF!,",",'Inverter-Full Data'!#REF!,"'")</f>
        <v>#REF!</v>
      </c>
    </row>
    <row r="2149" spans="1:1">
      <c r="A2149" s="2" t="e">
        <f>CONCATENATE("'",'Inverter-Full Data'!#REF!,"     ",'Inverter-Full Data'!#REF!,",",'Inverter-Full Data'!#REF!,",",'Inverter-Full Data'!#REF!,",",'Inverter-Full Data'!#REF!,"'")</f>
        <v>#REF!</v>
      </c>
    </row>
    <row r="2150" spans="1:1">
      <c r="A2150" s="2" t="e">
        <f>CONCATENATE("'",'Inverter-Full Data'!#REF!,"     ",'Inverter-Full Data'!#REF!,",",'Inverter-Full Data'!#REF!,",",'Inverter-Full Data'!#REF!,",",'Inverter-Full Data'!#REF!,"'")</f>
        <v>#REF!</v>
      </c>
    </row>
    <row r="2151" spans="1:1">
      <c r="A2151" s="2" t="e">
        <f>CONCATENATE("'",'Inverter-Full Data'!#REF!,"     ",'Inverter-Full Data'!#REF!,",",'Inverter-Full Data'!#REF!,",",'Inverter-Full Data'!#REF!,",",'Inverter-Full Data'!#REF!,"'")</f>
        <v>#REF!</v>
      </c>
    </row>
    <row r="2152" spans="1:1">
      <c r="A2152" s="2" t="e">
        <f>CONCATENATE("'",'Inverter-Full Data'!#REF!,"     ",'Inverter-Full Data'!#REF!,",",'Inverter-Full Data'!#REF!,",",'Inverter-Full Data'!#REF!,",",'Inverter-Full Data'!#REF!,"'")</f>
        <v>#REF!</v>
      </c>
    </row>
    <row r="2153" spans="1:1">
      <c r="A2153" s="2" t="e">
        <f>CONCATENATE("'",'Inverter-Full Data'!#REF!,"     ",'Inverter-Full Data'!#REF!,",",'Inverter-Full Data'!#REF!,",",'Inverter-Full Data'!#REF!,",",'Inverter-Full Data'!#REF!,"'")</f>
        <v>#REF!</v>
      </c>
    </row>
    <row r="2154" spans="1:1">
      <c r="A2154" s="2" t="e">
        <f>CONCATENATE("'",'Inverter-Full Data'!#REF!,"     ",'Inverter-Full Data'!#REF!,",",'Inverter-Full Data'!#REF!,",",'Inverter-Full Data'!#REF!,",",'Inverter-Full Data'!#REF!,"'")</f>
        <v>#REF!</v>
      </c>
    </row>
    <row r="2155" spans="1:1">
      <c r="A2155" s="2" t="e">
        <f>CONCATENATE("'",'Inverter-Full Data'!#REF!,"     ",'Inverter-Full Data'!#REF!,",",'Inverter-Full Data'!#REF!,",",'Inverter-Full Data'!#REF!,",",'Inverter-Full Data'!#REF!,"'")</f>
        <v>#REF!</v>
      </c>
    </row>
    <row r="2156" spans="1:1">
      <c r="A2156" s="2" t="e">
        <f>CONCATENATE("'",'Inverter-Full Data'!#REF!,"     ",'Inverter-Full Data'!#REF!,",",'Inverter-Full Data'!#REF!,",",'Inverter-Full Data'!#REF!,",",'Inverter-Full Data'!#REF!,"'")</f>
        <v>#REF!</v>
      </c>
    </row>
    <row r="2157" spans="1:1">
      <c r="A2157" s="2" t="e">
        <f>CONCATENATE("'",'Inverter-Full Data'!#REF!,"     ",'Inverter-Full Data'!#REF!,",",'Inverter-Full Data'!#REF!,",",'Inverter-Full Data'!#REF!,",",'Inverter-Full Data'!#REF!,"'")</f>
        <v>#REF!</v>
      </c>
    </row>
    <row r="2158" spans="1:1">
      <c r="A2158" s="2" t="e">
        <f>CONCATENATE("'",'Inverter-Full Data'!#REF!,"     ",'Inverter-Full Data'!#REF!,",",'Inverter-Full Data'!#REF!,",",'Inverter-Full Data'!#REF!,",",'Inverter-Full Data'!#REF!,"'")</f>
        <v>#REF!</v>
      </c>
    </row>
    <row r="2159" spans="1:1">
      <c r="A2159" s="2" t="e">
        <f>CONCATENATE("'",'Inverter-Full Data'!#REF!,"     ",'Inverter-Full Data'!#REF!,",",'Inverter-Full Data'!#REF!,",",'Inverter-Full Data'!#REF!,",",'Inverter-Full Data'!#REF!,"'")</f>
        <v>#REF!</v>
      </c>
    </row>
    <row r="2160" spans="1:1">
      <c r="A2160" s="2" t="e">
        <f>CONCATENATE("'",'Inverter-Full Data'!#REF!,"     ",'Inverter-Full Data'!#REF!,",",'Inverter-Full Data'!#REF!,",",'Inverter-Full Data'!#REF!,",",'Inverter-Full Data'!#REF!,"'")</f>
        <v>#REF!</v>
      </c>
    </row>
    <row r="2161" spans="1:1">
      <c r="A2161" s="2" t="str">
        <f>CONCATENATE("'",'Inverter-Full Data'!A336,"     ",'Inverter-Full Data'!B336,",",'Inverter-Full Data'!S336,",",'Inverter-Full Data'!J336,",",'Inverter-Full Data'!T336,"'")</f>
        <v>'Jinko Solar Co.,Ltd.     JKMS290M-60B-EP [240V],N,97,Y'</v>
      </c>
    </row>
    <row r="2162" spans="1:1">
      <c r="A2162" s="2" t="e">
        <f>CONCATENATE("'",'Inverter-Full Data'!#REF!,"     ",'Inverter-Full Data'!#REF!,",",'Inverter-Full Data'!#REF!,",",'Inverter-Full Data'!#REF!,",",'Inverter-Full Data'!#REF!,"'")</f>
        <v>#REF!</v>
      </c>
    </row>
    <row r="2163" spans="1:1">
      <c r="A2163" s="2" t="str">
        <f>CONCATENATE("'",'Inverter-Full Data'!A337,"     ",'Inverter-Full Data'!B337,",",'Inverter-Full Data'!S337,",",'Inverter-Full Data'!J337,",",'Inverter-Full Data'!T337,"'")</f>
        <v>'Jinko Solar Co.,Ltd.     JKMS290M-60-EP [240V],N,97,Y'</v>
      </c>
    </row>
    <row r="2164" spans="1:1">
      <c r="A2164" s="2" t="e">
        <f>CONCATENATE("'",'Inverter-Full Data'!#REF!,"     ",'Inverter-Full Data'!#REF!,",",'Inverter-Full Data'!#REF!,",",'Inverter-Full Data'!#REF!,",",'Inverter-Full Data'!#REF!,"'")</f>
        <v>#REF!</v>
      </c>
    </row>
    <row r="2165" spans="1:1">
      <c r="A2165" s="2" t="e">
        <f>CONCATENATE("'",'Inverter-Full Data'!#REF!,"     ",'Inverter-Full Data'!#REF!,",",'Inverter-Full Data'!#REF!,",",'Inverter-Full Data'!#REF!,",",'Inverter-Full Data'!#REF!,"'")</f>
        <v>#REF!</v>
      </c>
    </row>
    <row r="2166" spans="1:1">
      <c r="A2166" s="2" t="e">
        <f>CONCATENATE("'",'Inverter-Full Data'!#REF!,"     ",'Inverter-Full Data'!#REF!,",",'Inverter-Full Data'!#REF!,",",'Inverter-Full Data'!#REF!,",",'Inverter-Full Data'!#REF!,"'")</f>
        <v>#REF!</v>
      </c>
    </row>
    <row r="2167" spans="1:1">
      <c r="A2167" s="2" t="e">
        <f>CONCATENATE("'",'Inverter-Full Data'!#REF!,"     ",'Inverter-Full Data'!#REF!,",",'Inverter-Full Data'!#REF!,",",'Inverter-Full Data'!#REF!,",",'Inverter-Full Data'!#REF!,"'")</f>
        <v>#REF!</v>
      </c>
    </row>
    <row r="2168" spans="1:1">
      <c r="A2168" s="2" t="e">
        <f>CONCATENATE("'",'Inverter-Full Data'!#REF!,"     ",'Inverter-Full Data'!#REF!,",",'Inverter-Full Data'!#REF!,",",'Inverter-Full Data'!#REF!,",",'Inverter-Full Data'!#REF!,"'")</f>
        <v>#REF!</v>
      </c>
    </row>
    <row r="2169" spans="1:1">
      <c r="A2169" s="2" t="e">
        <f>CONCATENATE("'",'Inverter-Full Data'!#REF!,"     ",'Inverter-Full Data'!#REF!,",",'Inverter-Full Data'!#REF!,",",'Inverter-Full Data'!#REF!,",",'Inverter-Full Data'!#REF!,"'")</f>
        <v>#REF!</v>
      </c>
    </row>
    <row r="2170" spans="1:1">
      <c r="A2170" s="2" t="e">
        <f>CONCATENATE("'",'Inverter-Full Data'!#REF!,"     ",'Inverter-Full Data'!#REF!,",",'Inverter-Full Data'!#REF!,",",'Inverter-Full Data'!#REF!,",",'Inverter-Full Data'!#REF!,"'")</f>
        <v>#REF!</v>
      </c>
    </row>
    <row r="2171" spans="1:1">
      <c r="A2171" s="2" t="e">
        <f>CONCATENATE("'",'Inverter-Full Data'!#REF!,"     ",'Inverter-Full Data'!#REF!,",",'Inverter-Full Data'!#REF!,",",'Inverter-Full Data'!#REF!,",",'Inverter-Full Data'!#REF!,"'")</f>
        <v>#REF!</v>
      </c>
    </row>
    <row r="2172" spans="1:1">
      <c r="A2172" s="2" t="str">
        <f>CONCATENATE("'",'Inverter-Full Data'!A338,"     ",'Inverter-Full Data'!B338,",",'Inverter-Full Data'!S338,",",'Inverter-Full Data'!J338,",",'Inverter-Full Data'!T338,"'")</f>
        <v>'Jinko Solar Co.,Ltd.     JKMS295M-60B-EP [240V],N,97,Y'</v>
      </c>
    </row>
    <row r="2173" spans="1:1">
      <c r="A2173" s="2" t="e">
        <f>CONCATENATE("'",'Inverter-Full Data'!#REF!,"     ",'Inverter-Full Data'!#REF!,",",'Inverter-Full Data'!#REF!,",",'Inverter-Full Data'!#REF!,",",'Inverter-Full Data'!#REF!,"'")</f>
        <v>#REF!</v>
      </c>
    </row>
    <row r="2174" spans="1:1">
      <c r="A2174" s="2" t="e">
        <f>CONCATENATE("'",'Inverter-Full Data'!#REF!,"     ",'Inverter-Full Data'!#REF!,",",'Inverter-Full Data'!#REF!,",",'Inverter-Full Data'!#REF!,",",'Inverter-Full Data'!#REF!,"'")</f>
        <v>#REF!</v>
      </c>
    </row>
    <row r="2175" spans="1:1">
      <c r="A2175" s="2" t="e">
        <f>CONCATENATE("'",'Inverter-Full Data'!#REF!,"     ",'Inverter-Full Data'!#REF!,",",'Inverter-Full Data'!#REF!,",",'Inverter-Full Data'!#REF!,",",'Inverter-Full Data'!#REF!,"'")</f>
        <v>#REF!</v>
      </c>
    </row>
    <row r="2176" spans="1:1">
      <c r="A2176" s="2" t="e">
        <f>CONCATENATE("'",'Inverter-Full Data'!#REF!,"     ",'Inverter-Full Data'!#REF!,",",'Inverter-Full Data'!#REF!,",",'Inverter-Full Data'!#REF!,",",'Inverter-Full Data'!#REF!,"'")</f>
        <v>#REF!</v>
      </c>
    </row>
    <row r="2177" spans="1:1">
      <c r="A2177" s="2" t="e">
        <f>CONCATENATE("'",'Inverter-Full Data'!#REF!,"     ",'Inverter-Full Data'!#REF!,",",'Inverter-Full Data'!#REF!,",",'Inverter-Full Data'!#REF!,",",'Inverter-Full Data'!#REF!,"'")</f>
        <v>#REF!</v>
      </c>
    </row>
    <row r="2178" spans="1:1">
      <c r="A2178" s="2" t="e">
        <f>CONCATENATE("'",'Inverter-Full Data'!#REF!,"     ",'Inverter-Full Data'!#REF!,",",'Inverter-Full Data'!#REF!,",",'Inverter-Full Data'!#REF!,",",'Inverter-Full Data'!#REF!,"'")</f>
        <v>#REF!</v>
      </c>
    </row>
    <row r="2179" spans="1:1">
      <c r="A2179" s="2" t="e">
        <f>CONCATENATE("'",'Inverter-Full Data'!#REF!,"     ",'Inverter-Full Data'!#REF!,",",'Inverter-Full Data'!#REF!,",",'Inverter-Full Data'!#REF!,",",'Inverter-Full Data'!#REF!,"'")</f>
        <v>#REF!</v>
      </c>
    </row>
    <row r="2180" spans="1:1">
      <c r="A2180" s="2" t="e">
        <f>CONCATENATE("'",'Inverter-Full Data'!#REF!,"     ",'Inverter-Full Data'!#REF!,",",'Inverter-Full Data'!#REF!,",",'Inverter-Full Data'!#REF!,",",'Inverter-Full Data'!#REF!,"'")</f>
        <v>#REF!</v>
      </c>
    </row>
    <row r="2181" spans="1:1">
      <c r="A2181" s="2" t="e">
        <f>CONCATENATE("'",'Inverter-Full Data'!#REF!,"     ",'Inverter-Full Data'!#REF!,",",'Inverter-Full Data'!#REF!,",",'Inverter-Full Data'!#REF!,",",'Inverter-Full Data'!#REF!,"'")</f>
        <v>#REF!</v>
      </c>
    </row>
    <row r="2182" spans="1:1">
      <c r="A2182" s="2" t="e">
        <f>CONCATENATE("'",'Inverter-Full Data'!#REF!,"     ",'Inverter-Full Data'!#REF!,",",'Inverter-Full Data'!#REF!,",",'Inverter-Full Data'!#REF!,",",'Inverter-Full Data'!#REF!,"'")</f>
        <v>#REF!</v>
      </c>
    </row>
    <row r="2183" spans="1:1">
      <c r="A2183" s="2" t="str">
        <f>CONCATENATE("'",'Inverter-Full Data'!A339,"     ",'Inverter-Full Data'!B339,",",'Inverter-Full Data'!S339,",",'Inverter-Full Data'!J339,",",'Inverter-Full Data'!T339,"'")</f>
        <v>'Jinko Solar Co.,Ltd.     JKMS295M-60-EP [240V],N,97,Y'</v>
      </c>
    </row>
    <row r="2184" spans="1:1">
      <c r="A2184" s="2" t="e">
        <f>CONCATENATE("'",'Inverter-Full Data'!#REF!,"     ",'Inverter-Full Data'!#REF!,",",'Inverter-Full Data'!#REF!,",",'Inverter-Full Data'!#REF!,",",'Inverter-Full Data'!#REF!,"'")</f>
        <v>#REF!</v>
      </c>
    </row>
    <row r="2185" spans="1:1">
      <c r="A2185" s="2" t="e">
        <f>CONCATENATE("'",'Inverter-Full Data'!#REF!,"     ",'Inverter-Full Data'!#REF!,",",'Inverter-Full Data'!#REF!,",",'Inverter-Full Data'!#REF!,",",'Inverter-Full Data'!#REF!,"'")</f>
        <v>#REF!</v>
      </c>
    </row>
    <row r="2186" spans="1:1">
      <c r="A2186" s="2" t="e">
        <f>CONCATENATE("'",'Inverter-Full Data'!#REF!,"     ",'Inverter-Full Data'!#REF!,",",'Inverter-Full Data'!#REF!,",",'Inverter-Full Data'!#REF!,",",'Inverter-Full Data'!#REF!,"'")</f>
        <v>#REF!</v>
      </c>
    </row>
    <row r="2187" spans="1:1">
      <c r="A2187" s="2" t="str">
        <f>CONCATENATE("'",'Inverter-Full Data'!A340,"     ",'Inverter-Full Data'!B340,",",'Inverter-Full Data'!S340,",",'Inverter-Full Data'!J340,",",'Inverter-Full Data'!T340,"'")</f>
        <v>'Jinko Solar Co.,Ltd.     JKMS300M-60BL-EP [208V],N,97,Y'</v>
      </c>
    </row>
    <row r="2188" spans="1:1">
      <c r="A2188" s="2" t="e">
        <f>CONCATENATE("'",'Inverter-Full Data'!#REF!,"     ",'Inverter-Full Data'!#REF!,",",'Inverter-Full Data'!#REF!,",",'Inverter-Full Data'!#REF!,",",'Inverter-Full Data'!#REF!,"'")</f>
        <v>#REF!</v>
      </c>
    </row>
    <row r="2189" spans="1:1">
      <c r="A2189" s="2" t="e">
        <f>CONCATENATE("'",'Inverter-Full Data'!#REF!,"     ",'Inverter-Full Data'!#REF!,",",'Inverter-Full Data'!#REF!,",",'Inverter-Full Data'!#REF!,",",'Inverter-Full Data'!#REF!,"'")</f>
        <v>#REF!</v>
      </c>
    </row>
    <row r="2190" spans="1:1">
      <c r="A2190" s="2" t="e">
        <f>CONCATENATE("'",'Inverter-Full Data'!#REF!,"     ",'Inverter-Full Data'!#REF!,",",'Inverter-Full Data'!#REF!,",",'Inverter-Full Data'!#REF!,",",'Inverter-Full Data'!#REF!,"'")</f>
        <v>#REF!</v>
      </c>
    </row>
    <row r="2191" spans="1:1">
      <c r="A2191" s="2" t="e">
        <f>CONCATENATE("'",'Inverter-Full Data'!#REF!,"     ",'Inverter-Full Data'!#REF!,",",'Inverter-Full Data'!#REF!,",",'Inverter-Full Data'!#REF!,",",'Inverter-Full Data'!#REF!,"'")</f>
        <v>#REF!</v>
      </c>
    </row>
    <row r="2192" spans="1:1">
      <c r="A2192" s="2" t="e">
        <f>CONCATENATE("'",'Inverter-Full Data'!#REF!,"     ",'Inverter-Full Data'!#REF!,",",'Inverter-Full Data'!#REF!,",",'Inverter-Full Data'!#REF!,",",'Inverter-Full Data'!#REF!,"'")</f>
        <v>#REF!</v>
      </c>
    </row>
    <row r="2193" spans="1:1">
      <c r="A2193" s="2" t="str">
        <f>CONCATENATE("'",'Inverter-Full Data'!A341,"     ",'Inverter-Full Data'!B341,",",'Inverter-Full Data'!S341,",",'Inverter-Full Data'!J341,",",'Inverter-Full Data'!T341,"'")</f>
        <v>'Jinko Solar Co.,Ltd.     JKMS300M-60BL-EP [240V],N,97,Y'</v>
      </c>
    </row>
    <row r="2194" spans="1:1">
      <c r="A2194" s="2" t="e">
        <f>CONCATENATE("'",'Inverter-Full Data'!#REF!,"     ",'Inverter-Full Data'!#REF!,",",'Inverter-Full Data'!#REF!,",",'Inverter-Full Data'!#REF!,",",'Inverter-Full Data'!#REF!,"'")</f>
        <v>#REF!</v>
      </c>
    </row>
    <row r="2195" spans="1:1">
      <c r="A2195" s="2" t="e">
        <f>CONCATENATE("'",'Inverter-Full Data'!#REF!,"     ",'Inverter-Full Data'!#REF!,",",'Inverter-Full Data'!#REF!,",",'Inverter-Full Data'!#REF!,",",'Inverter-Full Data'!#REF!,"'")</f>
        <v>#REF!</v>
      </c>
    </row>
    <row r="2196" spans="1:1">
      <c r="A2196" s="2" t="e">
        <f>CONCATENATE("'",'Inverter-Full Data'!#REF!,"     ",'Inverter-Full Data'!#REF!,",",'Inverter-Full Data'!#REF!,",",'Inverter-Full Data'!#REF!,",",'Inverter-Full Data'!#REF!,"'")</f>
        <v>#REF!</v>
      </c>
    </row>
    <row r="2197" spans="1:1">
      <c r="A2197" s="2" t="str">
        <f>CONCATENATE("'",'Inverter-Full Data'!A342,"     ",'Inverter-Full Data'!B342,",",'Inverter-Full Data'!S342,",",'Inverter-Full Data'!J342,",",'Inverter-Full Data'!T342,"'")</f>
        <v>'Jinko Solar Co.,Ltd.     JKMS300M-60-EP [240V],N,97,Y'</v>
      </c>
    </row>
    <row r="2198" spans="1:1">
      <c r="A2198" s="2" t="e">
        <f>CONCATENATE("'",'Inverter-Full Data'!#REF!,"     ",'Inverter-Full Data'!#REF!,",",'Inverter-Full Data'!#REF!,",",'Inverter-Full Data'!#REF!,",",'Inverter-Full Data'!#REF!,"'")</f>
        <v>#REF!</v>
      </c>
    </row>
    <row r="2199" spans="1:1">
      <c r="A2199" s="2" t="e">
        <f>CONCATENATE("'",'Inverter-Full Data'!#REF!,"     ",'Inverter-Full Data'!#REF!,",",'Inverter-Full Data'!#REF!,",",'Inverter-Full Data'!#REF!,",",'Inverter-Full Data'!#REF!,"'")</f>
        <v>#REF!</v>
      </c>
    </row>
    <row r="2200" spans="1:1">
      <c r="A2200" s="2" t="str">
        <f>CONCATENATE("'",'Inverter-Full Data'!A343,"     ",'Inverter-Full Data'!B343,",",'Inverter-Full Data'!S343,",",'Inverter-Full Data'!J343,",",'Inverter-Full Data'!T343,"'")</f>
        <v>'Jinko Solar Co.,Ltd.     JKMS305M-60BL-EP [208V],N,97,Y'</v>
      </c>
    </row>
    <row r="2201" spans="1:1">
      <c r="A2201" s="2" t="e">
        <f>CONCATENATE("'",'Inverter-Full Data'!#REF!,"     ",'Inverter-Full Data'!#REF!,",",'Inverter-Full Data'!#REF!,",",'Inverter-Full Data'!#REF!,",",'Inverter-Full Data'!#REF!,"'")</f>
        <v>#REF!</v>
      </c>
    </row>
    <row r="2202" spans="1:1">
      <c r="A2202" s="2" t="e">
        <f>CONCATENATE("'",'Inverter-Full Data'!#REF!,"     ",'Inverter-Full Data'!#REF!,",",'Inverter-Full Data'!#REF!,",",'Inverter-Full Data'!#REF!,",",'Inverter-Full Data'!#REF!,"'")</f>
        <v>#REF!</v>
      </c>
    </row>
    <row r="2203" spans="1:1">
      <c r="A2203" s="2" t="e">
        <f>CONCATENATE("'",'Inverter-Full Data'!#REF!,"     ",'Inverter-Full Data'!#REF!,",",'Inverter-Full Data'!#REF!,",",'Inverter-Full Data'!#REF!,",",'Inverter-Full Data'!#REF!,"'")</f>
        <v>#REF!</v>
      </c>
    </row>
    <row r="2204" spans="1:1">
      <c r="A2204" s="2" t="e">
        <f>CONCATENATE("'",'Inverter-Full Data'!#REF!,"     ",'Inverter-Full Data'!#REF!,",",'Inverter-Full Data'!#REF!,",",'Inverter-Full Data'!#REF!,",",'Inverter-Full Data'!#REF!,"'")</f>
        <v>#REF!</v>
      </c>
    </row>
    <row r="2205" spans="1:1">
      <c r="A2205" s="2" t="str">
        <f>CONCATENATE("'",'Inverter-Full Data'!A344,"     ",'Inverter-Full Data'!B344,",",'Inverter-Full Data'!S344,",",'Inverter-Full Data'!J344,",",'Inverter-Full Data'!T344,"'")</f>
        <v>'Jinko Solar Co.,Ltd.     JKMS305M-60BL-EP [240V],N,97,Y'</v>
      </c>
    </row>
    <row r="2206" spans="1:1">
      <c r="A2206" s="2" t="e">
        <f>CONCATENATE("'",'Inverter-Full Data'!#REF!,"     ",'Inverter-Full Data'!#REF!,",",'Inverter-Full Data'!#REF!,",",'Inverter-Full Data'!#REF!,",",'Inverter-Full Data'!#REF!,"'")</f>
        <v>#REF!</v>
      </c>
    </row>
    <row r="2207" spans="1:1">
      <c r="A2207" s="2" t="e">
        <f>CONCATENATE("'",'Inverter-Full Data'!#REF!,"     ",'Inverter-Full Data'!#REF!,",",'Inverter-Full Data'!#REF!,",",'Inverter-Full Data'!#REF!,",",'Inverter-Full Data'!#REF!,"'")</f>
        <v>#REF!</v>
      </c>
    </row>
    <row r="2208" spans="1:1">
      <c r="A2208" s="2" t="e">
        <f>CONCATENATE("'",'Inverter-Full Data'!#REF!,"     ",'Inverter-Full Data'!#REF!,",",'Inverter-Full Data'!#REF!,",",'Inverter-Full Data'!#REF!,",",'Inverter-Full Data'!#REF!,"'")</f>
        <v>#REF!</v>
      </c>
    </row>
    <row r="2209" spans="1:1">
      <c r="A2209" s="2" t="str">
        <f>CONCATENATE("'",'Inverter-Full Data'!A345,"     ",'Inverter-Full Data'!B345,",",'Inverter-Full Data'!S345,",",'Inverter-Full Data'!J345,",",'Inverter-Full Data'!T345,"'")</f>
        <v>'Jinko Solar Co.,Ltd.     JKMS305M-60L-EP [208V],N,97,Y'</v>
      </c>
    </row>
    <row r="2210" spans="1:1">
      <c r="A2210" s="2" t="str">
        <f>CONCATENATE("'",'Inverter-Full Data'!A346,"     ",'Inverter-Full Data'!B346,",",'Inverter-Full Data'!S346,",",'Inverter-Full Data'!J346,",",'Inverter-Full Data'!T346,"'")</f>
        <v>'Jinko Solar Co.,Ltd.     JKMS305M-60L-EP [240V],N,97,Y'</v>
      </c>
    </row>
    <row r="2211" spans="1:1">
      <c r="A2211" s="2" t="e">
        <f>CONCATENATE("'",'Inverter-Full Data'!#REF!,"     ",'Inverter-Full Data'!#REF!,",",'Inverter-Full Data'!#REF!,",",'Inverter-Full Data'!#REF!,",",'Inverter-Full Data'!#REF!,"'")</f>
        <v>#REF!</v>
      </c>
    </row>
    <row r="2212" spans="1:1">
      <c r="A2212" s="2" t="e">
        <f>CONCATENATE("'",'Inverter-Full Data'!#REF!,"     ",'Inverter-Full Data'!#REF!,",",'Inverter-Full Data'!#REF!,",",'Inverter-Full Data'!#REF!,",",'Inverter-Full Data'!#REF!,"'")</f>
        <v>#REF!</v>
      </c>
    </row>
    <row r="2213" spans="1:1">
      <c r="A2213" s="2" t="str">
        <f>CONCATENATE("'",'Inverter-Full Data'!A347,"     ",'Inverter-Full Data'!B347,",",'Inverter-Full Data'!S347,",",'Inverter-Full Data'!J347,",",'Inverter-Full Data'!T347,"'")</f>
        <v>'Jinko Solar Co.,Ltd.     JKMS310M-60BL-EP [208V],N,97,Y'</v>
      </c>
    </row>
    <row r="2214" spans="1:1">
      <c r="A2214" s="2" t="e">
        <f>CONCATENATE("'",'Inverter-Full Data'!#REF!,"     ",'Inverter-Full Data'!#REF!,",",'Inverter-Full Data'!#REF!,",",'Inverter-Full Data'!#REF!,",",'Inverter-Full Data'!#REF!,"'")</f>
        <v>#REF!</v>
      </c>
    </row>
    <row r="2215" spans="1:1">
      <c r="A2215" s="2" t="e">
        <f>CONCATENATE("'",'Inverter-Full Data'!#REF!,"     ",'Inverter-Full Data'!#REF!,",",'Inverter-Full Data'!#REF!,",",'Inverter-Full Data'!#REF!,",",'Inverter-Full Data'!#REF!,"'")</f>
        <v>#REF!</v>
      </c>
    </row>
    <row r="2216" spans="1:1">
      <c r="A2216" s="2" t="e">
        <f>CONCATENATE("'",'Inverter-Full Data'!#REF!,"     ",'Inverter-Full Data'!#REF!,",",'Inverter-Full Data'!#REF!,",",'Inverter-Full Data'!#REF!,",",'Inverter-Full Data'!#REF!,"'")</f>
        <v>#REF!</v>
      </c>
    </row>
    <row r="2217" spans="1:1">
      <c r="A2217" s="2" t="e">
        <f>CONCATENATE("'",'Inverter-Full Data'!#REF!,"     ",'Inverter-Full Data'!#REF!,",",'Inverter-Full Data'!#REF!,",",'Inverter-Full Data'!#REF!,",",'Inverter-Full Data'!#REF!,"'")</f>
        <v>#REF!</v>
      </c>
    </row>
    <row r="2218" spans="1:1">
      <c r="A2218" s="2" t="e">
        <f>CONCATENATE("'",'Inverter-Full Data'!#REF!,"     ",'Inverter-Full Data'!#REF!,",",'Inverter-Full Data'!#REF!,",",'Inverter-Full Data'!#REF!,",",'Inverter-Full Data'!#REF!,"'")</f>
        <v>#REF!</v>
      </c>
    </row>
    <row r="2219" spans="1:1">
      <c r="A2219" s="2" t="e">
        <f>CONCATENATE("'",'Inverter-Full Data'!#REF!,"     ",'Inverter-Full Data'!#REF!,",",'Inverter-Full Data'!#REF!,",",'Inverter-Full Data'!#REF!,",",'Inverter-Full Data'!#REF!,"'")</f>
        <v>#REF!</v>
      </c>
    </row>
    <row r="2220" spans="1:1">
      <c r="A2220" s="2" t="str">
        <f>CONCATENATE("'",'Inverter-Full Data'!A348,"     ",'Inverter-Full Data'!B348,",",'Inverter-Full Data'!S348,",",'Inverter-Full Data'!J348,",",'Inverter-Full Data'!T348,"'")</f>
        <v>'Jinko Solar Co.,Ltd.     JKMS310M-60BL-EP [240V],N,97,Y'</v>
      </c>
    </row>
    <row r="2221" spans="1:1">
      <c r="A2221" s="2" t="e">
        <f>CONCATENATE("'",'Inverter-Full Data'!#REF!,"     ",'Inverter-Full Data'!#REF!,",",'Inverter-Full Data'!#REF!,",",'Inverter-Full Data'!#REF!,",",'Inverter-Full Data'!#REF!,"'")</f>
        <v>#REF!</v>
      </c>
    </row>
    <row r="2222" spans="1:1">
      <c r="A2222" s="2" t="e">
        <f>CONCATENATE("'",'Inverter-Full Data'!#REF!,"     ",'Inverter-Full Data'!#REF!,",",'Inverter-Full Data'!#REF!,",",'Inverter-Full Data'!#REF!,",",'Inverter-Full Data'!#REF!,"'")</f>
        <v>#REF!</v>
      </c>
    </row>
    <row r="2223" spans="1:1">
      <c r="A2223" s="2" t="str">
        <f>CONCATENATE("'",'Inverter-Full Data'!A349,"     ",'Inverter-Full Data'!B349,",",'Inverter-Full Data'!S349,",",'Inverter-Full Data'!J349,",",'Inverter-Full Data'!T349,"'")</f>
        <v>'Jinko Solar Co.,Ltd.     JKMS310M-60L-EP [208V],N,97,Y'</v>
      </c>
    </row>
    <row r="2224" spans="1:1">
      <c r="A2224" s="2" t="e">
        <f>CONCATENATE("'",'Inverter-Full Data'!#REF!,"     ",'Inverter-Full Data'!#REF!,",",'Inverter-Full Data'!#REF!,",",'Inverter-Full Data'!#REF!,",",'Inverter-Full Data'!#REF!,"'")</f>
        <v>#REF!</v>
      </c>
    </row>
    <row r="2225" spans="1:1">
      <c r="A2225" s="2" t="e">
        <f>CONCATENATE("'",'Inverter-Full Data'!#REF!,"     ",'Inverter-Full Data'!#REF!,",",'Inverter-Full Data'!#REF!,",",'Inverter-Full Data'!#REF!,",",'Inverter-Full Data'!#REF!,"'")</f>
        <v>#REF!</v>
      </c>
    </row>
    <row r="2226" spans="1:1">
      <c r="A2226" s="2" t="e">
        <f>CONCATENATE("'",'Inverter-Full Data'!#REF!,"     ",'Inverter-Full Data'!#REF!,",",'Inverter-Full Data'!#REF!,",",'Inverter-Full Data'!#REF!,",",'Inverter-Full Data'!#REF!,"'")</f>
        <v>#REF!</v>
      </c>
    </row>
    <row r="2227" spans="1:1">
      <c r="A2227" s="2" t="str">
        <f>CONCATENATE("'",'Inverter-Full Data'!A350,"     ",'Inverter-Full Data'!B350,",",'Inverter-Full Data'!S350,",",'Inverter-Full Data'!J350,",",'Inverter-Full Data'!T350,"'")</f>
        <v>'Jinko Solar Co.,Ltd.     JKMS310M-60L-EP [240V],N,97,Y'</v>
      </c>
    </row>
    <row r="2228" spans="1:1">
      <c r="A2228" s="2" t="str">
        <f>CONCATENATE("'",'Inverter-Full Data'!A351,"     ",'Inverter-Full Data'!B351,",",'Inverter-Full Data'!S351,",",'Inverter-Full Data'!J351,",",'Inverter-Full Data'!T351,"'")</f>
        <v>'Jinko Solar Co.,Ltd.     JKMS315M-60BL-EP [208V],N,97,Y'</v>
      </c>
    </row>
    <row r="2229" spans="1:1">
      <c r="A2229" s="2" t="str">
        <f>CONCATENATE("'",'Inverter-Full Data'!A352,"     ",'Inverter-Full Data'!B352,",",'Inverter-Full Data'!S352,",",'Inverter-Full Data'!J352,",",'Inverter-Full Data'!T352,"'")</f>
        <v>'Jinko Solar Co.,Ltd.     JKMS315M-60BL-EP [240V],N,97,Y'</v>
      </c>
    </row>
    <row r="2230" spans="1:1">
      <c r="A2230" s="2" t="str">
        <f>CONCATENATE("'",'Inverter-Full Data'!A353,"     ",'Inverter-Full Data'!B353,",",'Inverter-Full Data'!S353,",",'Inverter-Full Data'!J353,",",'Inverter-Full Data'!T353,"'")</f>
        <v>'Jinko Solar Co.,Ltd.     JKMS315M-60L-EP [208V],N,97,Y'</v>
      </c>
    </row>
    <row r="2231" spans="1:1">
      <c r="A2231" s="2" t="e">
        <f>CONCATENATE("'",'Inverter-Full Data'!#REF!,"     ",'Inverter-Full Data'!#REF!,",",'Inverter-Full Data'!#REF!,",",'Inverter-Full Data'!#REF!,",",'Inverter-Full Data'!#REF!,"'")</f>
        <v>#REF!</v>
      </c>
    </row>
    <row r="2232" spans="1:1">
      <c r="A2232" s="2" t="str">
        <f>CONCATENATE("'",'Inverter-Full Data'!A354,"     ",'Inverter-Full Data'!B354,",",'Inverter-Full Data'!S354,",",'Inverter-Full Data'!J354,",",'Inverter-Full Data'!T354,"'")</f>
        <v>'Jinko Solar Co.,Ltd.     JKMS315M-60L-EP [240V],N,97,Y'</v>
      </c>
    </row>
    <row r="2233" spans="1:1">
      <c r="A2233" s="2" t="str">
        <f>CONCATENATE("'",'Inverter-Full Data'!A355,"     ",'Inverter-Full Data'!B355,",",'Inverter-Full Data'!S355,",",'Inverter-Full Data'!J355,",",'Inverter-Full Data'!T355,"'")</f>
        <v>'Jinko Solar Co.,Ltd.     JKMS320M-60BL-EP [208V],N,97,Y'</v>
      </c>
    </row>
    <row r="2234" spans="1:1">
      <c r="A2234" s="2" t="str">
        <f>CONCATENATE("'",'Inverter-Full Data'!A356,"     ",'Inverter-Full Data'!B356,",",'Inverter-Full Data'!S356,",",'Inverter-Full Data'!J356,",",'Inverter-Full Data'!T356,"'")</f>
        <v>'Jinko Solar Co.,Ltd.     JKMS320M-60BL-EP [240V],N,97,Y'</v>
      </c>
    </row>
    <row r="2235" spans="1:1">
      <c r="A2235" s="2" t="str">
        <f>CONCATENATE("'",'Inverter-Full Data'!A357,"     ",'Inverter-Full Data'!B357,",",'Inverter-Full Data'!S357,",",'Inverter-Full Data'!J357,",",'Inverter-Full Data'!T357,"'")</f>
        <v>'Jinko Solar Co.,Ltd.     JKMS320M-60L-EP [208V],N,97,Y'</v>
      </c>
    </row>
    <row r="2236" spans="1:1">
      <c r="A2236" s="2" t="e">
        <f>CONCATENATE("'",'Inverter-Full Data'!#REF!,"     ",'Inverter-Full Data'!#REF!,",",'Inverter-Full Data'!#REF!,",",'Inverter-Full Data'!#REF!,",",'Inverter-Full Data'!#REF!,"'")</f>
        <v>#REF!</v>
      </c>
    </row>
    <row r="2237" spans="1:1">
      <c r="A2237" s="2" t="str">
        <f>CONCATENATE("'",'Inverter-Full Data'!A358,"     ",'Inverter-Full Data'!B358,",",'Inverter-Full Data'!S358,",",'Inverter-Full Data'!J358,",",'Inverter-Full Data'!T358,"'")</f>
        <v>'Jinko Solar Co.,Ltd.     JKMS320M-60L-EP [240V],N,97,Y'</v>
      </c>
    </row>
    <row r="2238" spans="1:1">
      <c r="A2238" s="2" t="str">
        <f>CONCATENATE("'",'Inverter-Full Data'!A359,"     ",'Inverter-Full Data'!B359,",",'Inverter-Full Data'!S359,",",'Inverter-Full Data'!J359,",",'Inverter-Full Data'!T359,"'")</f>
        <v>'Jinko Solar Co.,Ltd.     JKMS325M-60BL-EP [208V],N,97,Y'</v>
      </c>
    </row>
    <row r="2239" spans="1:1">
      <c r="A2239" s="2" t="str">
        <f>CONCATENATE("'",'Inverter-Full Data'!A360,"     ",'Inverter-Full Data'!B360,",",'Inverter-Full Data'!S360,",",'Inverter-Full Data'!J360,",",'Inverter-Full Data'!T360,"'")</f>
        <v>'Jinko Solar Co.,Ltd.     JKMS325M-60BL-EP [240V],N,97,Y'</v>
      </c>
    </row>
    <row r="2240" spans="1:1">
      <c r="A2240" s="2" t="str">
        <f>CONCATENATE("'",'Inverter-Full Data'!A361,"     ",'Inverter-Full Data'!B361,",",'Inverter-Full Data'!S361,",",'Inverter-Full Data'!J361,",",'Inverter-Full Data'!T361,"'")</f>
        <v>'Jinko Solar Co.,Ltd.     JKMS325M-60L-EP [208V],N,97,Y'</v>
      </c>
    </row>
    <row r="2241" spans="1:1">
      <c r="A2241" s="2" t="str">
        <f>CONCATENATE("'",'Inverter-Full Data'!A362,"     ",'Inverter-Full Data'!B362,",",'Inverter-Full Data'!S362,",",'Inverter-Full Data'!J362,",",'Inverter-Full Data'!T362,"'")</f>
        <v>'Jinko Solar Co.,Ltd.     JKMS325M-60L-EP [240V],N,97,Y'</v>
      </c>
    </row>
    <row r="2242" spans="1:1">
      <c r="A2242" s="2" t="e">
        <f>CONCATENATE("'",'Inverter-Full Data'!#REF!,"     ",'Inverter-Full Data'!#REF!,",",'Inverter-Full Data'!#REF!,",",'Inverter-Full Data'!#REF!,",",'Inverter-Full Data'!#REF!,"'")</f>
        <v>#REF!</v>
      </c>
    </row>
    <row r="2243" spans="1:1">
      <c r="A2243" s="2" t="e">
        <f>CONCATENATE("'",'Inverter-Full Data'!#REF!,"     ",'Inverter-Full Data'!#REF!,",",'Inverter-Full Data'!#REF!,",",'Inverter-Full Data'!#REF!,",",'Inverter-Full Data'!#REF!,"'")</f>
        <v>#REF!</v>
      </c>
    </row>
    <row r="2244" spans="1:1">
      <c r="A2244" s="2" t="e">
        <f>CONCATENATE("'",'Inverter-Full Data'!#REF!,"     ",'Inverter-Full Data'!#REF!,",",'Inverter-Full Data'!#REF!,",",'Inverter-Full Data'!#REF!,",",'Inverter-Full Data'!#REF!,"'")</f>
        <v>#REF!</v>
      </c>
    </row>
    <row r="2245" spans="1:1">
      <c r="A2245" s="2" t="e">
        <f>CONCATENATE("'",'Inverter-Full Data'!#REF!,"     ",'Inverter-Full Data'!#REF!,",",'Inverter-Full Data'!#REF!,",",'Inverter-Full Data'!#REF!,",",'Inverter-Full Data'!#REF!,"'")</f>
        <v>#REF!</v>
      </c>
    </row>
    <row r="2246" spans="1:1">
      <c r="A2246" s="2" t="e">
        <f>CONCATENATE("'",'Inverter-Full Data'!#REF!,"     ",'Inverter-Full Data'!#REF!,",",'Inverter-Full Data'!#REF!,",",'Inverter-Full Data'!#REF!,",",'Inverter-Full Data'!#REF!,"'")</f>
        <v>#REF!</v>
      </c>
    </row>
    <row r="2247" spans="1:1">
      <c r="A2247" s="2" t="e">
        <f>CONCATENATE("'",'Inverter-Full Data'!#REF!,"     ",'Inverter-Full Data'!#REF!,",",'Inverter-Full Data'!#REF!,",",'Inverter-Full Data'!#REF!,",",'Inverter-Full Data'!#REF!,"'")</f>
        <v>#REF!</v>
      </c>
    </row>
    <row r="2248" spans="1:1">
      <c r="A2248" s="2" t="e">
        <f>CONCATENATE("'",'Inverter-Full Data'!#REF!,"     ",'Inverter-Full Data'!#REF!,",",'Inverter-Full Data'!#REF!,",",'Inverter-Full Data'!#REF!,",",'Inverter-Full Data'!#REF!,"'")</f>
        <v>#REF!</v>
      </c>
    </row>
    <row r="2249" spans="1:1">
      <c r="A2249" s="2" t="e">
        <f>CONCATENATE("'",'Inverter-Full Data'!#REF!,"     ",'Inverter-Full Data'!#REF!,",",'Inverter-Full Data'!#REF!,",",'Inverter-Full Data'!#REF!,",",'Inverter-Full Data'!#REF!,"'")</f>
        <v>#REF!</v>
      </c>
    </row>
    <row r="2250" spans="1:1">
      <c r="A2250" s="2" t="e">
        <f>CONCATENATE("'",'Inverter-Full Data'!#REF!,"     ",'Inverter-Full Data'!#REF!,",",'Inverter-Full Data'!#REF!,",",'Inverter-Full Data'!#REF!,",",'Inverter-Full Data'!#REF!,"'")</f>
        <v>#REF!</v>
      </c>
    </row>
    <row r="2251" spans="1:1">
      <c r="A2251" s="2" t="e">
        <f>CONCATENATE("'",'Inverter-Full Data'!#REF!,"     ",'Inverter-Full Data'!#REF!,",",'Inverter-Full Data'!#REF!,",",'Inverter-Full Data'!#REF!,",",'Inverter-Full Data'!#REF!,"'")</f>
        <v>#REF!</v>
      </c>
    </row>
    <row r="2252" spans="1:1">
      <c r="A2252" s="2" t="e">
        <f>CONCATENATE("'",'Inverter-Full Data'!#REF!,"     ",'Inverter-Full Data'!#REF!,",",'Inverter-Full Data'!#REF!,",",'Inverter-Full Data'!#REF!,",",'Inverter-Full Data'!#REF!,"'")</f>
        <v>#REF!</v>
      </c>
    </row>
    <row r="2253" spans="1:1">
      <c r="A2253" s="2" t="e">
        <f>CONCATENATE("'",'Inverter-Full Data'!#REF!,"     ",'Inverter-Full Data'!#REF!,",",'Inverter-Full Data'!#REF!,",",'Inverter-Full Data'!#REF!,",",'Inverter-Full Data'!#REF!,"'")</f>
        <v>#REF!</v>
      </c>
    </row>
    <row r="2254" spans="1:1">
      <c r="A2254" s="2" t="e">
        <f>CONCATENATE("'",'Inverter-Full Data'!#REF!,"     ",'Inverter-Full Data'!#REF!,",",'Inverter-Full Data'!#REF!,",",'Inverter-Full Data'!#REF!,",",'Inverter-Full Data'!#REF!,"'")</f>
        <v>#REF!</v>
      </c>
    </row>
    <row r="2255" spans="1:1">
      <c r="A2255" s="2" t="e">
        <f>CONCATENATE("'",'Inverter-Full Data'!#REF!,"     ",'Inverter-Full Data'!#REF!,",",'Inverter-Full Data'!#REF!,",",'Inverter-Full Data'!#REF!,",",'Inverter-Full Data'!#REF!,"'")</f>
        <v>#REF!</v>
      </c>
    </row>
    <row r="2256" spans="1:1">
      <c r="A2256" s="2" t="e">
        <f>CONCATENATE("'",'Inverter-Full Data'!#REF!,"     ",'Inverter-Full Data'!#REF!,",",'Inverter-Full Data'!#REF!,",",'Inverter-Full Data'!#REF!,",",'Inverter-Full Data'!#REF!,"'")</f>
        <v>#REF!</v>
      </c>
    </row>
    <row r="2257" spans="1:1">
      <c r="A2257" s="2" t="e">
        <f>CONCATENATE("'",'Inverter-Full Data'!#REF!,"     ",'Inverter-Full Data'!#REF!,",",'Inverter-Full Data'!#REF!,",",'Inverter-Full Data'!#REF!,",",'Inverter-Full Data'!#REF!,"'")</f>
        <v>#REF!</v>
      </c>
    </row>
    <row r="2258" spans="1:1">
      <c r="A2258" s="2" t="e">
        <f>CONCATENATE("'",'Inverter-Full Data'!#REF!,"     ",'Inverter-Full Data'!#REF!,",",'Inverter-Full Data'!#REF!,",",'Inverter-Full Data'!#REF!,",",'Inverter-Full Data'!#REF!,"'")</f>
        <v>#REF!</v>
      </c>
    </row>
    <row r="2259" spans="1:1">
      <c r="A2259" s="2" t="e">
        <f>CONCATENATE("'",'Inverter-Full Data'!#REF!,"     ",'Inverter-Full Data'!#REF!,",",'Inverter-Full Data'!#REF!,",",'Inverter-Full Data'!#REF!,",",'Inverter-Full Data'!#REF!,"'")</f>
        <v>#REF!</v>
      </c>
    </row>
    <row r="2260" spans="1:1">
      <c r="A2260" s="2" t="e">
        <f>CONCATENATE("'",'Inverter-Full Data'!#REF!,"     ",'Inverter-Full Data'!#REF!,",",'Inverter-Full Data'!#REF!,",",'Inverter-Full Data'!#REF!,",",'Inverter-Full Data'!#REF!,"'")</f>
        <v>#REF!</v>
      </c>
    </row>
    <row r="2261" spans="1:1">
      <c r="A2261" s="2" t="e">
        <f>CONCATENATE("'",'Inverter-Full Data'!#REF!,"     ",'Inverter-Full Data'!#REF!,",",'Inverter-Full Data'!#REF!,",",'Inverter-Full Data'!#REF!,",",'Inverter-Full Data'!#REF!,"'")</f>
        <v>#REF!</v>
      </c>
    </row>
    <row r="2262" spans="1:1">
      <c r="A2262" s="2" t="e">
        <f>CONCATENATE("'",'Inverter-Full Data'!#REF!,"     ",'Inverter-Full Data'!#REF!,",",'Inverter-Full Data'!#REF!,",",'Inverter-Full Data'!#REF!,",",'Inverter-Full Data'!#REF!,"'")</f>
        <v>#REF!</v>
      </c>
    </row>
    <row r="2263" spans="1:1">
      <c r="A2263" s="2" t="e">
        <f>CONCATENATE("'",'Inverter-Full Data'!#REF!,"     ",'Inverter-Full Data'!#REF!,",",'Inverter-Full Data'!#REF!,",",'Inverter-Full Data'!#REF!,",",'Inverter-Full Data'!#REF!,"'")</f>
        <v>#REF!</v>
      </c>
    </row>
    <row r="2264" spans="1:1">
      <c r="A2264" s="2" t="e">
        <f>CONCATENATE("'",'Inverter-Full Data'!#REF!,"     ",'Inverter-Full Data'!#REF!,",",'Inverter-Full Data'!#REF!,",",'Inverter-Full Data'!#REF!,",",'Inverter-Full Data'!#REF!,"'")</f>
        <v>#REF!</v>
      </c>
    </row>
    <row r="2265" spans="1:1">
      <c r="A2265" s="2" t="e">
        <f>CONCATENATE("'",'Inverter-Full Data'!#REF!,"     ",'Inverter-Full Data'!#REF!,",",'Inverter-Full Data'!#REF!,",",'Inverter-Full Data'!#REF!,",",'Inverter-Full Data'!#REF!,"'")</f>
        <v>#REF!</v>
      </c>
    </row>
    <row r="2266" spans="1:1">
      <c r="A2266" s="2" t="e">
        <f>CONCATENATE("'",'Inverter-Full Data'!#REF!,"     ",'Inverter-Full Data'!#REF!,",",'Inverter-Full Data'!#REF!,",",'Inverter-Full Data'!#REF!,",",'Inverter-Full Data'!#REF!,"'")</f>
        <v>#REF!</v>
      </c>
    </row>
    <row r="2267" spans="1:1">
      <c r="A2267" s="2" t="e">
        <f>CONCATENATE("'",'Inverter-Full Data'!#REF!,"     ",'Inverter-Full Data'!#REF!,",",'Inverter-Full Data'!#REF!,",",'Inverter-Full Data'!#REF!,",",'Inverter-Full Data'!#REF!,"'")</f>
        <v>#REF!</v>
      </c>
    </row>
    <row r="2268" spans="1:1">
      <c r="A2268" s="2" t="e">
        <f>CONCATENATE("'",'Inverter-Full Data'!#REF!,"     ",'Inverter-Full Data'!#REF!,",",'Inverter-Full Data'!#REF!,",",'Inverter-Full Data'!#REF!,",",'Inverter-Full Data'!#REF!,"'")</f>
        <v>#REF!</v>
      </c>
    </row>
    <row r="2269" spans="1:1">
      <c r="A2269" s="2" t="e">
        <f>CONCATENATE("'",'Inverter-Full Data'!#REF!,"     ",'Inverter-Full Data'!#REF!,",",'Inverter-Full Data'!#REF!,",",'Inverter-Full Data'!#REF!,",",'Inverter-Full Data'!#REF!,"'")</f>
        <v>#REF!</v>
      </c>
    </row>
    <row r="2270" spans="1:1">
      <c r="A2270" s="2" t="e">
        <f>CONCATENATE("'",'Inverter-Full Data'!#REF!,"     ",'Inverter-Full Data'!#REF!,",",'Inverter-Full Data'!#REF!,",",'Inverter-Full Data'!#REF!,",",'Inverter-Full Data'!#REF!,"'")</f>
        <v>#REF!</v>
      </c>
    </row>
    <row r="2271" spans="1:1">
      <c r="A2271" s="2" t="e">
        <f>CONCATENATE("'",'Inverter-Full Data'!#REF!,"     ",'Inverter-Full Data'!#REF!,",",'Inverter-Full Data'!#REF!,",",'Inverter-Full Data'!#REF!,",",'Inverter-Full Data'!#REF!,"'")</f>
        <v>#REF!</v>
      </c>
    </row>
    <row r="2272" spans="1:1">
      <c r="A2272" s="2" t="e">
        <f>CONCATENATE("'",'Inverter-Full Data'!#REF!,"     ",'Inverter-Full Data'!#REF!,",",'Inverter-Full Data'!#REF!,",",'Inverter-Full Data'!#REF!,",",'Inverter-Full Data'!#REF!,"'")</f>
        <v>#REF!</v>
      </c>
    </row>
    <row r="2273" spans="1:1">
      <c r="A2273" s="2" t="e">
        <f>CONCATENATE("'",'Inverter-Full Data'!#REF!,"     ",'Inverter-Full Data'!#REF!,",",'Inverter-Full Data'!#REF!,",",'Inverter-Full Data'!#REF!,",",'Inverter-Full Data'!#REF!,"'")</f>
        <v>#REF!</v>
      </c>
    </row>
    <row r="2274" spans="1:1">
      <c r="A2274" s="2" t="e">
        <f>CONCATENATE("'",'Inverter-Full Data'!#REF!,"     ",'Inverter-Full Data'!#REF!,",",'Inverter-Full Data'!#REF!,",",'Inverter-Full Data'!#REF!,",",'Inverter-Full Data'!#REF!,"'")</f>
        <v>#REF!</v>
      </c>
    </row>
    <row r="2275" spans="1:1">
      <c r="A2275" s="2" t="e">
        <f>CONCATENATE("'",'Inverter-Full Data'!#REF!,"     ",'Inverter-Full Data'!#REF!,",",'Inverter-Full Data'!#REF!,",",'Inverter-Full Data'!#REF!,",",'Inverter-Full Data'!#REF!,"'")</f>
        <v>#REF!</v>
      </c>
    </row>
    <row r="2276" spans="1:1">
      <c r="A2276" s="2" t="e">
        <f>CONCATENATE("'",'Inverter-Full Data'!#REF!,"     ",'Inverter-Full Data'!#REF!,",",'Inverter-Full Data'!#REF!,",",'Inverter-Full Data'!#REF!,",",'Inverter-Full Data'!#REF!,"'")</f>
        <v>#REF!</v>
      </c>
    </row>
    <row r="2277" spans="1:1">
      <c r="A2277" s="2" t="e">
        <f>CONCATENATE("'",'Inverter-Full Data'!#REF!,"     ",'Inverter-Full Data'!#REF!,",",'Inverter-Full Data'!#REF!,",",'Inverter-Full Data'!#REF!,",",'Inverter-Full Data'!#REF!,"'")</f>
        <v>#REF!</v>
      </c>
    </row>
    <row r="2278" spans="1:1">
      <c r="A2278" s="2" t="e">
        <f>CONCATENATE("'",'Inverter-Full Data'!#REF!,"     ",'Inverter-Full Data'!#REF!,",",'Inverter-Full Data'!#REF!,",",'Inverter-Full Data'!#REF!,",",'Inverter-Full Data'!#REF!,"'")</f>
        <v>#REF!</v>
      </c>
    </row>
    <row r="2279" spans="1:1">
      <c r="A2279" s="2" t="e">
        <f>CONCATENATE("'",'Inverter-Full Data'!#REF!,"     ",'Inverter-Full Data'!#REF!,",",'Inverter-Full Data'!#REF!,",",'Inverter-Full Data'!#REF!,",",'Inverter-Full Data'!#REF!,"'")</f>
        <v>#REF!</v>
      </c>
    </row>
    <row r="2280" spans="1:1">
      <c r="A2280" s="2" t="e">
        <f>CONCATENATE("'",'Inverter-Full Data'!#REF!,"     ",'Inverter-Full Data'!#REF!,",",'Inverter-Full Data'!#REF!,",",'Inverter-Full Data'!#REF!,",",'Inverter-Full Data'!#REF!,"'")</f>
        <v>#REF!</v>
      </c>
    </row>
    <row r="2281" spans="1:1">
      <c r="A2281" s="2" t="e">
        <f>CONCATENATE("'",'Inverter-Full Data'!#REF!,"     ",'Inverter-Full Data'!#REF!,",",'Inverter-Full Data'!#REF!,",",'Inverter-Full Data'!#REF!,",",'Inverter-Full Data'!#REF!,"'")</f>
        <v>#REF!</v>
      </c>
    </row>
    <row r="2282" spans="1:1">
      <c r="A2282" s="2" t="e">
        <f>CONCATENATE("'",'Inverter-Full Data'!#REF!,"     ",'Inverter-Full Data'!#REF!,",",'Inverter-Full Data'!#REF!,",",'Inverter-Full Data'!#REF!,",",'Inverter-Full Data'!#REF!,"'")</f>
        <v>#REF!</v>
      </c>
    </row>
    <row r="2283" spans="1:1">
      <c r="A2283" s="2" t="e">
        <f>CONCATENATE("'",'Inverter-Full Data'!#REF!,"     ",'Inverter-Full Data'!#REF!,",",'Inverter-Full Data'!#REF!,",",'Inverter-Full Data'!#REF!,",",'Inverter-Full Data'!#REF!,"'")</f>
        <v>#REF!</v>
      </c>
    </row>
    <row r="2284" spans="1:1">
      <c r="A2284" s="2" t="e">
        <f>CONCATENATE("'",'Inverter-Full Data'!#REF!,"     ",'Inverter-Full Data'!#REF!,",",'Inverter-Full Data'!#REF!,",",'Inverter-Full Data'!#REF!,",",'Inverter-Full Data'!#REF!,"'")</f>
        <v>#REF!</v>
      </c>
    </row>
    <row r="2285" spans="1:1">
      <c r="A2285" s="2" t="e">
        <f>CONCATENATE("'",'Inverter-Full Data'!#REF!,"     ",'Inverter-Full Data'!#REF!,",",'Inverter-Full Data'!#REF!,",",'Inverter-Full Data'!#REF!,",",'Inverter-Full Data'!#REF!,"'")</f>
        <v>#REF!</v>
      </c>
    </row>
    <row r="2286" spans="1:1">
      <c r="A2286" s="2" t="e">
        <f>CONCATENATE("'",'Inverter-Full Data'!#REF!,"     ",'Inverter-Full Data'!#REF!,",",'Inverter-Full Data'!#REF!,",",'Inverter-Full Data'!#REF!,",",'Inverter-Full Data'!#REF!,"'")</f>
        <v>#REF!</v>
      </c>
    </row>
    <row r="2287" spans="1:1">
      <c r="A2287" s="2" t="e">
        <f>CONCATENATE("'",'Inverter-Full Data'!#REF!,"     ",'Inverter-Full Data'!#REF!,",",'Inverter-Full Data'!#REF!,",",'Inverter-Full Data'!#REF!,",",'Inverter-Full Data'!#REF!,"'")</f>
        <v>#REF!</v>
      </c>
    </row>
    <row r="2288" spans="1:1">
      <c r="A2288" s="2" t="e">
        <f>CONCATENATE("'",'Inverter-Full Data'!#REF!,"     ",'Inverter-Full Data'!#REF!,",",'Inverter-Full Data'!#REF!,",",'Inverter-Full Data'!#REF!,",",'Inverter-Full Data'!#REF!,"'")</f>
        <v>#REF!</v>
      </c>
    </row>
    <row r="2289" spans="1:1">
      <c r="A2289" s="2" t="e">
        <f>CONCATENATE("'",'Inverter-Full Data'!#REF!,"     ",'Inverter-Full Data'!#REF!,",",'Inverter-Full Data'!#REF!,",",'Inverter-Full Data'!#REF!,",",'Inverter-Full Data'!#REF!,"'")</f>
        <v>#REF!</v>
      </c>
    </row>
    <row r="2290" spans="1:1">
      <c r="A2290" s="2" t="e">
        <f>CONCATENATE("'",'Inverter-Full Data'!#REF!,"     ",'Inverter-Full Data'!#REF!,",",'Inverter-Full Data'!#REF!,",",'Inverter-Full Data'!#REF!,",",'Inverter-Full Data'!#REF!,"'")</f>
        <v>#REF!</v>
      </c>
    </row>
    <row r="2291" spans="1:1">
      <c r="A2291" s="2" t="e">
        <f>CONCATENATE("'",'Inverter-Full Data'!#REF!,"     ",'Inverter-Full Data'!#REF!,",",'Inverter-Full Data'!#REF!,",",'Inverter-Full Data'!#REF!,",",'Inverter-Full Data'!#REF!,"'")</f>
        <v>#REF!</v>
      </c>
    </row>
    <row r="2292" spans="1:1">
      <c r="A2292" s="2" t="e">
        <f>CONCATENATE("'",'Inverter-Full Data'!#REF!,"     ",'Inverter-Full Data'!#REF!,",",'Inverter-Full Data'!#REF!,",",'Inverter-Full Data'!#REF!,",",'Inverter-Full Data'!#REF!,"'")</f>
        <v>#REF!</v>
      </c>
    </row>
    <row r="2293" spans="1:1">
      <c r="A2293" s="2" t="e">
        <f>CONCATENATE("'",'Inverter-Full Data'!#REF!,"     ",'Inverter-Full Data'!#REF!,",",'Inverter-Full Data'!#REF!,",",'Inverter-Full Data'!#REF!,",",'Inverter-Full Data'!#REF!,"'")</f>
        <v>#REF!</v>
      </c>
    </row>
    <row r="2294" spans="1:1">
      <c r="A2294" s="2" t="e">
        <f>CONCATENATE("'",'Inverter-Full Data'!#REF!,"     ",'Inverter-Full Data'!#REF!,",",'Inverter-Full Data'!#REF!,",",'Inverter-Full Data'!#REF!,",",'Inverter-Full Data'!#REF!,"'")</f>
        <v>#REF!</v>
      </c>
    </row>
    <row r="2295" spans="1:1">
      <c r="A2295" s="2" t="e">
        <f>CONCATENATE("'",'Inverter-Full Data'!#REF!,"     ",'Inverter-Full Data'!#REF!,",",'Inverter-Full Data'!#REF!,",",'Inverter-Full Data'!#REF!,",",'Inverter-Full Data'!#REF!,"'")</f>
        <v>#REF!</v>
      </c>
    </row>
    <row r="2296" spans="1:1">
      <c r="A2296" s="2" t="e">
        <f>CONCATENATE("'",'Inverter-Full Data'!#REF!,"     ",'Inverter-Full Data'!#REF!,",",'Inverter-Full Data'!#REF!,",",'Inverter-Full Data'!#REF!,",",'Inverter-Full Data'!#REF!,"'")</f>
        <v>#REF!</v>
      </c>
    </row>
    <row r="2297" spans="1:1">
      <c r="A2297" s="2" t="e">
        <f>CONCATENATE("'",'Inverter-Full Data'!#REF!,"     ",'Inverter-Full Data'!#REF!,",",'Inverter-Full Data'!#REF!,",",'Inverter-Full Data'!#REF!,",",'Inverter-Full Data'!#REF!,"'")</f>
        <v>#REF!</v>
      </c>
    </row>
    <row r="2298" spans="1:1">
      <c r="A2298" s="2" t="e">
        <f>CONCATENATE("'",'Inverter-Full Data'!#REF!,"     ",'Inverter-Full Data'!#REF!,",",'Inverter-Full Data'!#REF!,",",'Inverter-Full Data'!#REF!,",",'Inverter-Full Data'!#REF!,"'")</f>
        <v>#REF!</v>
      </c>
    </row>
    <row r="2299" spans="1:1">
      <c r="A2299" s="2" t="e">
        <f>CONCATENATE("'",'Inverter-Full Data'!#REF!,"     ",'Inverter-Full Data'!#REF!,",",'Inverter-Full Data'!#REF!,",",'Inverter-Full Data'!#REF!,",",'Inverter-Full Data'!#REF!,"'")</f>
        <v>#REF!</v>
      </c>
    </row>
    <row r="2300" spans="1:1">
      <c r="A2300" s="2" t="e">
        <f>CONCATENATE("'",'Inverter-Full Data'!#REF!,"     ",'Inverter-Full Data'!#REF!,",",'Inverter-Full Data'!#REF!,",",'Inverter-Full Data'!#REF!,",",'Inverter-Full Data'!#REF!,"'")</f>
        <v>#REF!</v>
      </c>
    </row>
    <row r="2301" spans="1:1">
      <c r="A2301" s="2" t="e">
        <f>CONCATENATE("'",'Inverter-Full Data'!#REF!,"     ",'Inverter-Full Data'!#REF!,",",'Inverter-Full Data'!#REF!,",",'Inverter-Full Data'!#REF!,",",'Inverter-Full Data'!#REF!,"'")</f>
        <v>#REF!</v>
      </c>
    </row>
    <row r="2302" spans="1:1">
      <c r="A2302" s="2" t="e">
        <f>CONCATENATE("'",'Inverter-Full Data'!#REF!,"     ",'Inverter-Full Data'!#REF!,",",'Inverter-Full Data'!#REF!,",",'Inverter-Full Data'!#REF!,",",'Inverter-Full Data'!#REF!,"'")</f>
        <v>#REF!</v>
      </c>
    </row>
    <row r="2303" spans="1:1">
      <c r="A2303" s="2" t="e">
        <f>CONCATENATE("'",'Inverter-Full Data'!#REF!,"     ",'Inverter-Full Data'!#REF!,",",'Inverter-Full Data'!#REF!,",",'Inverter-Full Data'!#REF!,",",'Inverter-Full Data'!#REF!,"'")</f>
        <v>#REF!</v>
      </c>
    </row>
    <row r="2304" spans="1:1">
      <c r="A2304" s="2" t="e">
        <f>CONCATENATE("'",'Inverter-Full Data'!#REF!,"     ",'Inverter-Full Data'!#REF!,",",'Inverter-Full Data'!#REF!,",",'Inverter-Full Data'!#REF!,",",'Inverter-Full Data'!#REF!,"'")</f>
        <v>#REF!</v>
      </c>
    </row>
    <row r="2305" spans="1:1">
      <c r="A2305" s="2" t="e">
        <f>CONCATENATE("'",'Inverter-Full Data'!#REF!,"     ",'Inverter-Full Data'!#REF!,",",'Inverter-Full Data'!#REF!,",",'Inverter-Full Data'!#REF!,",",'Inverter-Full Data'!#REF!,"'")</f>
        <v>#REF!</v>
      </c>
    </row>
    <row r="2306" spans="1:1">
      <c r="A2306" s="2" t="e">
        <f>CONCATENATE("'",'Inverter-Full Data'!#REF!,"     ",'Inverter-Full Data'!#REF!,",",'Inverter-Full Data'!#REF!,",",'Inverter-Full Data'!#REF!,",",'Inverter-Full Data'!#REF!,"'")</f>
        <v>#REF!</v>
      </c>
    </row>
    <row r="2307" spans="1:1">
      <c r="A2307" s="2" t="e">
        <f>CONCATENATE("'",'Inverter-Full Data'!#REF!,"     ",'Inverter-Full Data'!#REF!,",",'Inverter-Full Data'!#REF!,",",'Inverter-Full Data'!#REF!,",",'Inverter-Full Data'!#REF!,"'")</f>
        <v>#REF!</v>
      </c>
    </row>
    <row r="2308" spans="1:1">
      <c r="A2308" s="2" t="e">
        <f>CONCATENATE("'",'Inverter-Full Data'!#REF!,"     ",'Inverter-Full Data'!#REF!,",",'Inverter-Full Data'!#REF!,",",'Inverter-Full Data'!#REF!,",",'Inverter-Full Data'!#REF!,"'")</f>
        <v>#REF!</v>
      </c>
    </row>
    <row r="2309" spans="1:1">
      <c r="A2309" s="2" t="e">
        <f>CONCATENATE("'",'Inverter-Full Data'!#REF!,"     ",'Inverter-Full Data'!#REF!,",",'Inverter-Full Data'!#REF!,",",'Inverter-Full Data'!#REF!,",",'Inverter-Full Data'!#REF!,"'")</f>
        <v>#REF!</v>
      </c>
    </row>
    <row r="2310" spans="1:1">
      <c r="A2310" s="2" t="e">
        <f>CONCATENATE("'",'Inverter-Full Data'!#REF!,"     ",'Inverter-Full Data'!#REF!,",",'Inverter-Full Data'!#REF!,",",'Inverter-Full Data'!#REF!,",",'Inverter-Full Data'!#REF!,"'")</f>
        <v>#REF!</v>
      </c>
    </row>
    <row r="2311" spans="1:1">
      <c r="A2311" s="2" t="e">
        <f>CONCATENATE("'",'Inverter-Full Data'!#REF!,"     ",'Inverter-Full Data'!#REF!,",",'Inverter-Full Data'!#REF!,",",'Inverter-Full Data'!#REF!,",",'Inverter-Full Data'!#REF!,"'")</f>
        <v>#REF!</v>
      </c>
    </row>
    <row r="2312" spans="1:1">
      <c r="A2312" s="2" t="e">
        <f>CONCATENATE("'",'Inverter-Full Data'!#REF!,"     ",'Inverter-Full Data'!#REF!,",",'Inverter-Full Data'!#REF!,",",'Inverter-Full Data'!#REF!,",",'Inverter-Full Data'!#REF!,"'")</f>
        <v>#REF!</v>
      </c>
    </row>
    <row r="2313" spans="1:1">
      <c r="A2313" s="2" t="e">
        <f>CONCATENATE("'",'Inverter-Full Data'!#REF!,"     ",'Inverter-Full Data'!#REF!,",",'Inverter-Full Data'!#REF!,",",'Inverter-Full Data'!#REF!,",",'Inverter-Full Data'!#REF!,"'")</f>
        <v>#REF!</v>
      </c>
    </row>
    <row r="2314" spans="1:1">
      <c r="A2314" s="2" t="e">
        <f>CONCATENATE("'",'Inverter-Full Data'!#REF!,"     ",'Inverter-Full Data'!#REF!,",",'Inverter-Full Data'!#REF!,",",'Inverter-Full Data'!#REF!,",",'Inverter-Full Data'!#REF!,"'")</f>
        <v>#REF!</v>
      </c>
    </row>
    <row r="2315" spans="1:1">
      <c r="A2315" s="2" t="e">
        <f>CONCATENATE("'",'Inverter-Full Data'!#REF!,"     ",'Inverter-Full Data'!#REF!,",",'Inverter-Full Data'!#REF!,",",'Inverter-Full Data'!#REF!,",",'Inverter-Full Data'!#REF!,"'")</f>
        <v>#REF!</v>
      </c>
    </row>
    <row r="2316" spans="1:1">
      <c r="A2316" s="2" t="e">
        <f>CONCATENATE("'",'Inverter-Full Data'!#REF!,"     ",'Inverter-Full Data'!#REF!,",",'Inverter-Full Data'!#REF!,",",'Inverter-Full Data'!#REF!,",",'Inverter-Full Data'!#REF!,"'")</f>
        <v>#REF!</v>
      </c>
    </row>
    <row r="2317" spans="1:1">
      <c r="A2317" s="2" t="e">
        <f>CONCATENATE("'",'Inverter-Full Data'!#REF!,"     ",'Inverter-Full Data'!#REF!,",",'Inverter-Full Data'!#REF!,",",'Inverter-Full Data'!#REF!,",",'Inverter-Full Data'!#REF!,"'")</f>
        <v>#REF!</v>
      </c>
    </row>
    <row r="2318" spans="1:1">
      <c r="A2318" s="2" t="e">
        <f>CONCATENATE("'",'Inverter-Full Data'!#REF!,"     ",'Inverter-Full Data'!#REF!,",",'Inverter-Full Data'!#REF!,",",'Inverter-Full Data'!#REF!,",",'Inverter-Full Data'!#REF!,"'")</f>
        <v>#REF!</v>
      </c>
    </row>
    <row r="2319" spans="1:1">
      <c r="A2319" s="2" t="e">
        <f>CONCATENATE("'",'Inverter-Full Data'!#REF!,"     ",'Inverter-Full Data'!#REF!,",",'Inverter-Full Data'!#REF!,",",'Inverter-Full Data'!#REF!,",",'Inverter-Full Data'!#REF!,"'")</f>
        <v>#REF!</v>
      </c>
    </row>
    <row r="2320" spans="1:1">
      <c r="A2320" s="2" t="e">
        <f>CONCATENATE("'",'Inverter-Full Data'!#REF!,"     ",'Inverter-Full Data'!#REF!,",",'Inverter-Full Data'!#REF!,",",'Inverter-Full Data'!#REF!,",",'Inverter-Full Data'!#REF!,"'")</f>
        <v>#REF!</v>
      </c>
    </row>
    <row r="2321" spans="1:1">
      <c r="A2321" s="2" t="e">
        <f>CONCATENATE("'",'Inverter-Full Data'!#REF!,"     ",'Inverter-Full Data'!#REF!,",",'Inverter-Full Data'!#REF!,",",'Inverter-Full Data'!#REF!,",",'Inverter-Full Data'!#REF!,"'")</f>
        <v>#REF!</v>
      </c>
    </row>
    <row r="2322" spans="1:1">
      <c r="A2322" s="2" t="e">
        <f>CONCATENATE("'",'Inverter-Full Data'!#REF!,"     ",'Inverter-Full Data'!#REF!,",",'Inverter-Full Data'!#REF!,",",'Inverter-Full Data'!#REF!,",",'Inverter-Full Data'!#REF!,"'")</f>
        <v>#REF!</v>
      </c>
    </row>
    <row r="2323" spans="1:1">
      <c r="A2323" s="2" t="e">
        <f>CONCATENATE("'",'Inverter-Full Data'!#REF!,"     ",'Inverter-Full Data'!#REF!,",",'Inverter-Full Data'!#REF!,",",'Inverter-Full Data'!#REF!,",",'Inverter-Full Data'!#REF!,"'")</f>
        <v>#REF!</v>
      </c>
    </row>
    <row r="2324" spans="1:1">
      <c r="A2324" s="2" t="e">
        <f>CONCATENATE("'",'Inverter-Full Data'!#REF!,"     ",'Inverter-Full Data'!#REF!,",",'Inverter-Full Data'!#REF!,",",'Inverter-Full Data'!#REF!,",",'Inverter-Full Data'!#REF!,"'")</f>
        <v>#REF!</v>
      </c>
    </row>
    <row r="2325" spans="1:1">
      <c r="A2325" s="2" t="e">
        <f>CONCATENATE("'",'Inverter-Full Data'!#REF!,"     ",'Inverter-Full Data'!#REF!,",",'Inverter-Full Data'!#REF!,",",'Inverter-Full Data'!#REF!,",",'Inverter-Full Data'!#REF!,"'")</f>
        <v>#REF!</v>
      </c>
    </row>
    <row r="2326" spans="1:1">
      <c r="A2326" s="2" t="e">
        <f>CONCATENATE("'",'Inverter-Full Data'!#REF!,"     ",'Inverter-Full Data'!#REF!,",",'Inverter-Full Data'!#REF!,",",'Inverter-Full Data'!#REF!,",",'Inverter-Full Data'!#REF!,"'")</f>
        <v>#REF!</v>
      </c>
    </row>
    <row r="2327" spans="1:1">
      <c r="A2327" s="2" t="e">
        <f>CONCATENATE("'",'Inverter-Full Data'!#REF!,"     ",'Inverter-Full Data'!#REF!,",",'Inverter-Full Data'!#REF!,",",'Inverter-Full Data'!#REF!,",",'Inverter-Full Data'!#REF!,"'")</f>
        <v>#REF!</v>
      </c>
    </row>
    <row r="2328" spans="1:1">
      <c r="A2328" s="2" t="e">
        <f>CONCATENATE("'",'Inverter-Full Data'!#REF!,"     ",'Inverter-Full Data'!#REF!,",",'Inverter-Full Data'!#REF!,",",'Inverter-Full Data'!#REF!,",",'Inverter-Full Data'!#REF!,"'")</f>
        <v>#REF!</v>
      </c>
    </row>
    <row r="2329" spans="1:1">
      <c r="A2329" s="2" t="e">
        <f>CONCATENATE("'",'Inverter-Full Data'!#REF!,"     ",'Inverter-Full Data'!#REF!,",",'Inverter-Full Data'!#REF!,",",'Inverter-Full Data'!#REF!,",",'Inverter-Full Data'!#REF!,"'")</f>
        <v>#REF!</v>
      </c>
    </row>
    <row r="2330" spans="1:1">
      <c r="A2330" s="2" t="e">
        <f>CONCATENATE("'",'Inverter-Full Data'!#REF!,"     ",'Inverter-Full Data'!#REF!,",",'Inverter-Full Data'!#REF!,",",'Inverter-Full Data'!#REF!,",",'Inverter-Full Data'!#REF!,"'")</f>
        <v>#REF!</v>
      </c>
    </row>
    <row r="2331" spans="1:1">
      <c r="A2331" s="2" t="e">
        <f>CONCATENATE("'",'Inverter-Full Data'!#REF!,"     ",'Inverter-Full Data'!#REF!,",",'Inverter-Full Data'!#REF!,",",'Inverter-Full Data'!#REF!,",",'Inverter-Full Data'!#REF!,"'")</f>
        <v>#REF!</v>
      </c>
    </row>
    <row r="2332" spans="1:1">
      <c r="A2332" s="2" t="e">
        <f>CONCATENATE("'",'Inverter-Full Data'!#REF!,"     ",'Inverter-Full Data'!#REF!,",",'Inverter-Full Data'!#REF!,",",'Inverter-Full Data'!#REF!,",",'Inverter-Full Data'!#REF!,"'")</f>
        <v>#REF!</v>
      </c>
    </row>
    <row r="2333" spans="1:1">
      <c r="A2333" s="2" t="e">
        <f>CONCATENATE("'",'Inverter-Full Data'!#REF!,"     ",'Inverter-Full Data'!#REF!,",",'Inverter-Full Data'!#REF!,",",'Inverter-Full Data'!#REF!,",",'Inverter-Full Data'!#REF!,"'")</f>
        <v>#REF!</v>
      </c>
    </row>
    <row r="2334" spans="1:1">
      <c r="A2334" s="2" t="e">
        <f>CONCATENATE("'",'Inverter-Full Data'!#REF!,"     ",'Inverter-Full Data'!#REF!,",",'Inverter-Full Data'!#REF!,",",'Inverter-Full Data'!#REF!,",",'Inverter-Full Data'!#REF!,"'")</f>
        <v>#REF!</v>
      </c>
    </row>
    <row r="2335" spans="1:1">
      <c r="A2335" s="2" t="e">
        <f>CONCATENATE("'",'Inverter-Full Data'!#REF!,"     ",'Inverter-Full Data'!#REF!,",",'Inverter-Full Data'!#REF!,",",'Inverter-Full Data'!#REF!,",",'Inverter-Full Data'!#REF!,"'")</f>
        <v>#REF!</v>
      </c>
    </row>
    <row r="2336" spans="1:1">
      <c r="A2336" s="2" t="e">
        <f>CONCATENATE("'",'Inverter-Full Data'!#REF!,"     ",'Inverter-Full Data'!#REF!,",",'Inverter-Full Data'!#REF!,",",'Inverter-Full Data'!#REF!,",",'Inverter-Full Data'!#REF!,"'")</f>
        <v>#REF!</v>
      </c>
    </row>
    <row r="2337" spans="1:1">
      <c r="A2337" s="2" t="e">
        <f>CONCATENATE("'",'Inverter-Full Data'!#REF!,"     ",'Inverter-Full Data'!#REF!,",",'Inverter-Full Data'!#REF!,",",'Inverter-Full Data'!#REF!,",",'Inverter-Full Data'!#REF!,"'")</f>
        <v>#REF!</v>
      </c>
    </row>
    <row r="2338" spans="1:1">
      <c r="A2338" s="2" t="e">
        <f>CONCATENATE("'",'Inverter-Full Data'!#REF!,"     ",'Inverter-Full Data'!#REF!,",",'Inverter-Full Data'!#REF!,",",'Inverter-Full Data'!#REF!,",",'Inverter-Full Data'!#REF!,"'")</f>
        <v>#REF!</v>
      </c>
    </row>
    <row r="2339" spans="1:1">
      <c r="A2339" s="2" t="e">
        <f>CONCATENATE("'",'Inverter-Full Data'!#REF!,"     ",'Inverter-Full Data'!#REF!,",",'Inverter-Full Data'!#REF!,",",'Inverter-Full Data'!#REF!,",",'Inverter-Full Data'!#REF!,"'")</f>
        <v>#REF!</v>
      </c>
    </row>
    <row r="2340" spans="1:1">
      <c r="A2340" s="2" t="e">
        <f>CONCATENATE("'",'Inverter-Full Data'!#REF!,"     ",'Inverter-Full Data'!#REF!,",",'Inverter-Full Data'!#REF!,",",'Inverter-Full Data'!#REF!,",",'Inverter-Full Data'!#REF!,"'")</f>
        <v>#REF!</v>
      </c>
    </row>
    <row r="2341" spans="1:1">
      <c r="A2341" s="2" t="e">
        <f>CONCATENATE("'",'Inverter-Full Data'!#REF!,"     ",'Inverter-Full Data'!#REF!,",",'Inverter-Full Data'!#REF!,",",'Inverter-Full Data'!#REF!,",",'Inverter-Full Data'!#REF!,"'")</f>
        <v>#REF!</v>
      </c>
    </row>
    <row r="2342" spans="1:1">
      <c r="A2342" s="2" t="e">
        <f>CONCATENATE("'",'Inverter-Full Data'!#REF!,"     ",'Inverter-Full Data'!#REF!,",",'Inverter-Full Data'!#REF!,",",'Inverter-Full Data'!#REF!,",",'Inverter-Full Data'!#REF!,"'")</f>
        <v>#REF!</v>
      </c>
    </row>
    <row r="2343" spans="1:1">
      <c r="A2343" s="2" t="e">
        <f>CONCATENATE("'",'Inverter-Full Data'!#REF!,"     ",'Inverter-Full Data'!#REF!,",",'Inverter-Full Data'!#REF!,",",'Inverter-Full Data'!#REF!,",",'Inverter-Full Data'!#REF!,"'")</f>
        <v>#REF!</v>
      </c>
    </row>
    <row r="2344" spans="1:1">
      <c r="A2344" s="2" t="e">
        <f>CONCATENATE("'",'Inverter-Full Data'!#REF!,"     ",'Inverter-Full Data'!#REF!,",",'Inverter-Full Data'!#REF!,",",'Inverter-Full Data'!#REF!,",",'Inverter-Full Data'!#REF!,"'")</f>
        <v>#REF!</v>
      </c>
    </row>
    <row r="2345" spans="1:1">
      <c r="A2345" s="2" t="e">
        <f>CONCATENATE("'",'Inverter-Full Data'!#REF!,"     ",'Inverter-Full Data'!#REF!,",",'Inverter-Full Data'!#REF!,",",'Inverter-Full Data'!#REF!,",",'Inverter-Full Data'!#REF!,"'")</f>
        <v>#REF!</v>
      </c>
    </row>
    <row r="2346" spans="1:1">
      <c r="A2346" s="2" t="e">
        <f>CONCATENATE("'",'Inverter-Full Data'!#REF!,"     ",'Inverter-Full Data'!#REF!,",",'Inverter-Full Data'!#REF!,",",'Inverter-Full Data'!#REF!,",",'Inverter-Full Data'!#REF!,"'")</f>
        <v>#REF!</v>
      </c>
    </row>
    <row r="2347" spans="1:1">
      <c r="A2347" s="2" t="e">
        <f>CONCATENATE("'",'Inverter-Full Data'!#REF!,"     ",'Inverter-Full Data'!#REF!,",",'Inverter-Full Data'!#REF!,",",'Inverter-Full Data'!#REF!,",",'Inverter-Full Data'!#REF!,"'")</f>
        <v>#REF!</v>
      </c>
    </row>
    <row r="2348" spans="1:1">
      <c r="A2348" s="2" t="e">
        <f>CONCATENATE("'",'Inverter-Full Data'!#REF!,"     ",'Inverter-Full Data'!#REF!,",",'Inverter-Full Data'!#REF!,",",'Inverter-Full Data'!#REF!,",",'Inverter-Full Data'!#REF!,"'")</f>
        <v>#REF!</v>
      </c>
    </row>
    <row r="2349" spans="1:1">
      <c r="A2349" s="2" t="e">
        <f>CONCATENATE("'",'Inverter-Full Data'!#REF!,"     ",'Inverter-Full Data'!#REF!,",",'Inverter-Full Data'!#REF!,",",'Inverter-Full Data'!#REF!,",",'Inverter-Full Data'!#REF!,"'")</f>
        <v>#REF!</v>
      </c>
    </row>
    <row r="2350" spans="1:1">
      <c r="A2350" s="2" t="e">
        <f>CONCATENATE("'",'Inverter-Full Data'!#REF!,"     ",'Inverter-Full Data'!#REF!,",",'Inverter-Full Data'!#REF!,",",'Inverter-Full Data'!#REF!,",",'Inverter-Full Data'!#REF!,"'")</f>
        <v>#REF!</v>
      </c>
    </row>
    <row r="2351" spans="1:1">
      <c r="A2351" s="2" t="e">
        <f>CONCATENATE("'",'Inverter-Full Data'!#REF!,"     ",'Inverter-Full Data'!#REF!,",",'Inverter-Full Data'!#REF!,",",'Inverter-Full Data'!#REF!,",",'Inverter-Full Data'!#REF!,"'")</f>
        <v>#REF!</v>
      </c>
    </row>
    <row r="2352" spans="1:1">
      <c r="A2352" s="2" t="e">
        <f>CONCATENATE("'",'Inverter-Full Data'!#REF!,"     ",'Inverter-Full Data'!#REF!,",",'Inverter-Full Data'!#REF!,",",'Inverter-Full Data'!#REF!,",",'Inverter-Full Data'!#REF!,"'")</f>
        <v>#REF!</v>
      </c>
    </row>
    <row r="2353" spans="1:1">
      <c r="A2353" s="2" t="e">
        <f>CONCATENATE("'",'Inverter-Full Data'!#REF!,"     ",'Inverter-Full Data'!#REF!,",",'Inverter-Full Data'!#REF!,",",'Inverter-Full Data'!#REF!,",",'Inverter-Full Data'!#REF!,"'")</f>
        <v>#REF!</v>
      </c>
    </row>
    <row r="2354" spans="1:1">
      <c r="A2354" s="2" t="e">
        <f>CONCATENATE("'",'Inverter-Full Data'!#REF!,"     ",'Inverter-Full Data'!#REF!,",",'Inverter-Full Data'!#REF!,",",'Inverter-Full Data'!#REF!,",",'Inverter-Full Data'!#REF!,"'")</f>
        <v>#REF!</v>
      </c>
    </row>
    <row r="2355" spans="1:1">
      <c r="A2355" s="2" t="e">
        <f>CONCATENATE("'",'Inverter-Full Data'!#REF!,"     ",'Inverter-Full Data'!#REF!,",",'Inverter-Full Data'!#REF!,",",'Inverter-Full Data'!#REF!,",",'Inverter-Full Data'!#REF!,"'")</f>
        <v>#REF!</v>
      </c>
    </row>
    <row r="2356" spans="1:1">
      <c r="A2356" s="2" t="e">
        <f>CONCATENATE("'",'Inverter-Full Data'!#REF!,"     ",'Inverter-Full Data'!#REF!,",",'Inverter-Full Data'!#REF!,",",'Inverter-Full Data'!#REF!,",",'Inverter-Full Data'!#REF!,"'")</f>
        <v>#REF!</v>
      </c>
    </row>
    <row r="2357" spans="1:1">
      <c r="A2357" s="2" t="e">
        <f>CONCATENATE("'",'Inverter-Full Data'!#REF!,"     ",'Inverter-Full Data'!#REF!,",",'Inverter-Full Data'!#REF!,",",'Inverter-Full Data'!#REF!,",",'Inverter-Full Data'!#REF!,"'")</f>
        <v>#REF!</v>
      </c>
    </row>
    <row r="2358" spans="1:1">
      <c r="A2358" s="2" t="e">
        <f>CONCATENATE("'",'Inverter-Full Data'!#REF!,"     ",'Inverter-Full Data'!#REF!,",",'Inverter-Full Data'!#REF!,",",'Inverter-Full Data'!#REF!,",",'Inverter-Full Data'!#REF!,"'")</f>
        <v>#REF!</v>
      </c>
    </row>
    <row r="2359" spans="1:1">
      <c r="A2359" s="2" t="e">
        <f>CONCATENATE("'",'Inverter-Full Data'!#REF!,"     ",'Inverter-Full Data'!#REF!,",",'Inverter-Full Data'!#REF!,",",'Inverter-Full Data'!#REF!,",",'Inverter-Full Data'!#REF!,"'")</f>
        <v>#REF!</v>
      </c>
    </row>
    <row r="2360" spans="1:1">
      <c r="A2360" s="2" t="e">
        <f>CONCATENATE("'",'Inverter-Full Data'!#REF!,"     ",'Inverter-Full Data'!#REF!,",",'Inverter-Full Data'!#REF!,",",'Inverter-Full Data'!#REF!,",",'Inverter-Full Data'!#REF!,"'")</f>
        <v>#REF!</v>
      </c>
    </row>
    <row r="2361" spans="1:1">
      <c r="A2361" s="2" t="e">
        <f>CONCATENATE("'",'Inverter-Full Data'!#REF!,"     ",'Inverter-Full Data'!#REF!,",",'Inverter-Full Data'!#REF!,",",'Inverter-Full Data'!#REF!,",",'Inverter-Full Data'!#REF!,"'")</f>
        <v>#REF!</v>
      </c>
    </row>
    <row r="2362" spans="1:1">
      <c r="A2362" s="2" t="e">
        <f>CONCATENATE("'",'Inverter-Full Data'!#REF!,"     ",'Inverter-Full Data'!#REF!,",",'Inverter-Full Data'!#REF!,",",'Inverter-Full Data'!#REF!,",",'Inverter-Full Data'!#REF!,"'")</f>
        <v>#REF!</v>
      </c>
    </row>
    <row r="2363" spans="1:1">
      <c r="A2363" s="2" t="e">
        <f>CONCATENATE("'",'Inverter-Full Data'!#REF!,"     ",'Inverter-Full Data'!#REF!,",",'Inverter-Full Data'!#REF!,",",'Inverter-Full Data'!#REF!,",",'Inverter-Full Data'!#REF!,"'")</f>
        <v>#REF!</v>
      </c>
    </row>
    <row r="2364" spans="1:1">
      <c r="A2364" s="2" t="e">
        <f>CONCATENATE("'",'Inverter-Full Data'!#REF!,"     ",'Inverter-Full Data'!#REF!,",",'Inverter-Full Data'!#REF!,",",'Inverter-Full Data'!#REF!,",",'Inverter-Full Data'!#REF!,"'")</f>
        <v>#REF!</v>
      </c>
    </row>
    <row r="2365" spans="1:1">
      <c r="A2365" s="2" t="e">
        <f>CONCATENATE("'",'Inverter-Full Data'!#REF!,"     ",'Inverter-Full Data'!#REF!,",",'Inverter-Full Data'!#REF!,",",'Inverter-Full Data'!#REF!,",",'Inverter-Full Data'!#REF!,"'")</f>
        <v>#REF!</v>
      </c>
    </row>
    <row r="2366" spans="1:1">
      <c r="A2366" s="2" t="e">
        <f>CONCATENATE("'",'Inverter-Full Data'!#REF!,"     ",'Inverter-Full Data'!#REF!,",",'Inverter-Full Data'!#REF!,",",'Inverter-Full Data'!#REF!,",",'Inverter-Full Data'!#REF!,"'")</f>
        <v>#REF!</v>
      </c>
    </row>
    <row r="2367" spans="1:1">
      <c r="A2367" s="2" t="e">
        <f>CONCATENATE("'",'Inverter-Full Data'!#REF!,"     ",'Inverter-Full Data'!#REF!,",",'Inverter-Full Data'!#REF!,",",'Inverter-Full Data'!#REF!,",",'Inverter-Full Data'!#REF!,"'")</f>
        <v>#REF!</v>
      </c>
    </row>
    <row r="2368" spans="1:1">
      <c r="A2368" s="2" t="e">
        <f>CONCATENATE("'",'Inverter-Full Data'!#REF!,"     ",'Inverter-Full Data'!#REF!,",",'Inverter-Full Data'!#REF!,",",'Inverter-Full Data'!#REF!,",",'Inverter-Full Data'!#REF!,"'")</f>
        <v>#REF!</v>
      </c>
    </row>
    <row r="2369" spans="1:1">
      <c r="A2369" s="2" t="e">
        <f>CONCATENATE("'",'Inverter-Full Data'!#REF!,"     ",'Inverter-Full Data'!#REF!,",",'Inverter-Full Data'!#REF!,",",'Inverter-Full Data'!#REF!,",",'Inverter-Full Data'!#REF!,"'")</f>
        <v>#REF!</v>
      </c>
    </row>
    <row r="2370" spans="1:1">
      <c r="A2370" s="2" t="e">
        <f>CONCATENATE("'",'Inverter-Full Data'!#REF!,"     ",'Inverter-Full Data'!#REF!,",",'Inverter-Full Data'!#REF!,",",'Inverter-Full Data'!#REF!,",",'Inverter-Full Data'!#REF!,"'")</f>
        <v>#REF!</v>
      </c>
    </row>
    <row r="2371" spans="1:1">
      <c r="A2371" s="2" t="e">
        <f>CONCATENATE("'",'Inverter-Full Data'!#REF!,"     ",'Inverter-Full Data'!#REF!,",",'Inverter-Full Data'!#REF!,",",'Inverter-Full Data'!#REF!,",",'Inverter-Full Data'!#REF!,"'")</f>
        <v>#REF!</v>
      </c>
    </row>
    <row r="2372" spans="1:1">
      <c r="A2372" s="2" t="e">
        <f>CONCATENATE("'",'Inverter-Full Data'!#REF!,"     ",'Inverter-Full Data'!#REF!,",",'Inverter-Full Data'!#REF!,",",'Inverter-Full Data'!#REF!,",",'Inverter-Full Data'!#REF!,"'")</f>
        <v>#REF!</v>
      </c>
    </row>
    <row r="2373" spans="1:1">
      <c r="A2373" s="2" t="e">
        <f>CONCATENATE("'",'Inverter-Full Data'!#REF!,"     ",'Inverter-Full Data'!#REF!,",",'Inverter-Full Data'!#REF!,",",'Inverter-Full Data'!#REF!,",",'Inverter-Full Data'!#REF!,"'")</f>
        <v>#REF!</v>
      </c>
    </row>
    <row r="2374" spans="1:1">
      <c r="A2374" s="2" t="e">
        <f>CONCATENATE("'",'Inverter-Full Data'!#REF!,"     ",'Inverter-Full Data'!#REF!,",",'Inverter-Full Data'!#REF!,",",'Inverter-Full Data'!#REF!,",",'Inverter-Full Data'!#REF!,"'")</f>
        <v>#REF!</v>
      </c>
    </row>
    <row r="2375" spans="1:1">
      <c r="A2375" s="2" t="e">
        <f>CONCATENATE("'",'Inverter-Full Data'!#REF!,"     ",'Inverter-Full Data'!#REF!,",",'Inverter-Full Data'!#REF!,",",'Inverter-Full Data'!#REF!,",",'Inverter-Full Data'!#REF!,"'")</f>
        <v>#REF!</v>
      </c>
    </row>
    <row r="2376" spans="1:1">
      <c r="A2376" s="2" t="e">
        <f>CONCATENATE("'",'Inverter-Full Data'!#REF!,"     ",'Inverter-Full Data'!#REF!,",",'Inverter-Full Data'!#REF!,",",'Inverter-Full Data'!#REF!,",",'Inverter-Full Data'!#REF!,"'")</f>
        <v>#REF!</v>
      </c>
    </row>
    <row r="2377" spans="1:1">
      <c r="A2377" s="2" t="e">
        <f>CONCATENATE("'",'Inverter-Full Data'!#REF!,"     ",'Inverter-Full Data'!#REF!,",",'Inverter-Full Data'!#REF!,",",'Inverter-Full Data'!#REF!,",",'Inverter-Full Data'!#REF!,"'")</f>
        <v>#REF!</v>
      </c>
    </row>
    <row r="2378" spans="1:1">
      <c r="A2378" s="2" t="e">
        <f>CONCATENATE("'",'Inverter-Full Data'!#REF!,"     ",'Inverter-Full Data'!#REF!,",",'Inverter-Full Data'!#REF!,",",'Inverter-Full Data'!#REF!,",",'Inverter-Full Data'!#REF!,"'")</f>
        <v>#REF!</v>
      </c>
    </row>
    <row r="2379" spans="1:1">
      <c r="A2379" s="2" t="e">
        <f>CONCATENATE("'",'Inverter-Full Data'!#REF!,"     ",'Inverter-Full Data'!#REF!,",",'Inverter-Full Data'!#REF!,",",'Inverter-Full Data'!#REF!,",",'Inverter-Full Data'!#REF!,"'")</f>
        <v>#REF!</v>
      </c>
    </row>
    <row r="2380" spans="1:1">
      <c r="A2380" s="2" t="e">
        <f>CONCATENATE("'",'Inverter-Full Data'!#REF!,"     ",'Inverter-Full Data'!#REF!,",",'Inverter-Full Data'!#REF!,",",'Inverter-Full Data'!#REF!,",",'Inverter-Full Data'!#REF!,"'")</f>
        <v>#REF!</v>
      </c>
    </row>
    <row r="2381" spans="1:1">
      <c r="A2381" s="2" t="e">
        <f>CONCATENATE("'",'Inverter-Full Data'!#REF!,"     ",'Inverter-Full Data'!#REF!,",",'Inverter-Full Data'!#REF!,",",'Inverter-Full Data'!#REF!,",",'Inverter-Full Data'!#REF!,"'")</f>
        <v>#REF!</v>
      </c>
    </row>
    <row r="2382" spans="1:1">
      <c r="A2382" s="2" t="e">
        <f>CONCATENATE("'",'Inverter-Full Data'!#REF!,"     ",'Inverter-Full Data'!#REF!,",",'Inverter-Full Data'!#REF!,",",'Inverter-Full Data'!#REF!,",",'Inverter-Full Data'!#REF!,"'")</f>
        <v>#REF!</v>
      </c>
    </row>
    <row r="2383" spans="1:1">
      <c r="A2383" s="2" t="e">
        <f>CONCATENATE("'",'Inverter-Full Data'!#REF!,"     ",'Inverter-Full Data'!#REF!,",",'Inverter-Full Data'!#REF!,",",'Inverter-Full Data'!#REF!,",",'Inverter-Full Data'!#REF!,"'")</f>
        <v>#REF!</v>
      </c>
    </row>
    <row r="2384" spans="1:1">
      <c r="A2384" s="2" t="e">
        <f>CONCATENATE("'",'Inverter-Full Data'!#REF!,"     ",'Inverter-Full Data'!#REF!,",",'Inverter-Full Data'!#REF!,",",'Inverter-Full Data'!#REF!,",",'Inverter-Full Data'!#REF!,"'")</f>
        <v>#REF!</v>
      </c>
    </row>
    <row r="2385" spans="1:1">
      <c r="A2385" s="2" t="e">
        <f>CONCATENATE("'",'Inverter-Full Data'!#REF!,"     ",'Inverter-Full Data'!#REF!,",",'Inverter-Full Data'!#REF!,",",'Inverter-Full Data'!#REF!,",",'Inverter-Full Data'!#REF!,"'")</f>
        <v>#REF!</v>
      </c>
    </row>
    <row r="2386" spans="1:1">
      <c r="A2386" s="2" t="e">
        <f>CONCATENATE("'",'Inverter-Full Data'!#REF!,"     ",'Inverter-Full Data'!#REF!,",",'Inverter-Full Data'!#REF!,",",'Inverter-Full Data'!#REF!,",",'Inverter-Full Data'!#REF!,"'")</f>
        <v>#REF!</v>
      </c>
    </row>
    <row r="2387" spans="1:1">
      <c r="A2387" s="2" t="e">
        <f>CONCATENATE("'",'Inverter-Full Data'!#REF!,"     ",'Inverter-Full Data'!#REF!,",",'Inverter-Full Data'!#REF!,",",'Inverter-Full Data'!#REF!,",",'Inverter-Full Data'!#REF!,"'")</f>
        <v>#REF!</v>
      </c>
    </row>
    <row r="2388" spans="1:1">
      <c r="A2388" s="2" t="e">
        <f>CONCATENATE("'",'Inverter-Full Data'!#REF!,"     ",'Inverter-Full Data'!#REF!,",",'Inverter-Full Data'!#REF!,",",'Inverter-Full Data'!#REF!,",",'Inverter-Full Data'!#REF!,"'")</f>
        <v>#REF!</v>
      </c>
    </row>
    <row r="2389" spans="1:1">
      <c r="A2389" s="2" t="e">
        <f>CONCATENATE("'",'Inverter-Full Data'!#REF!,"     ",'Inverter-Full Data'!#REF!,",",'Inverter-Full Data'!#REF!,",",'Inverter-Full Data'!#REF!,",",'Inverter-Full Data'!#REF!,"'")</f>
        <v>#REF!</v>
      </c>
    </row>
    <row r="2390" spans="1:1">
      <c r="A2390" s="2" t="e">
        <f>CONCATENATE("'",'Inverter-Full Data'!#REF!,"     ",'Inverter-Full Data'!#REF!,",",'Inverter-Full Data'!#REF!,",",'Inverter-Full Data'!#REF!,",",'Inverter-Full Data'!#REF!,"'")</f>
        <v>#REF!</v>
      </c>
    </row>
    <row r="2391" spans="1:1">
      <c r="A2391" s="2" t="e">
        <f>CONCATENATE("'",'Inverter-Full Data'!#REF!,"     ",'Inverter-Full Data'!#REF!,",",'Inverter-Full Data'!#REF!,",",'Inverter-Full Data'!#REF!,",",'Inverter-Full Data'!#REF!,"'")</f>
        <v>#REF!</v>
      </c>
    </row>
    <row r="2392" spans="1:1">
      <c r="A2392" s="2" t="e">
        <f>CONCATENATE("'",'Inverter-Full Data'!#REF!,"     ",'Inverter-Full Data'!#REF!,",",'Inverter-Full Data'!#REF!,",",'Inverter-Full Data'!#REF!,",",'Inverter-Full Data'!#REF!,"'")</f>
        <v>#REF!</v>
      </c>
    </row>
    <row r="2393" spans="1:1">
      <c r="A2393" s="2" t="e">
        <f>CONCATENATE("'",'Inverter-Full Data'!#REF!,"     ",'Inverter-Full Data'!#REF!,",",'Inverter-Full Data'!#REF!,",",'Inverter-Full Data'!#REF!,",",'Inverter-Full Data'!#REF!,"'")</f>
        <v>#REF!</v>
      </c>
    </row>
    <row r="2394" spans="1:1">
      <c r="A2394" s="2" t="e">
        <f>CONCATENATE("'",'Inverter-Full Data'!#REF!,"     ",'Inverter-Full Data'!#REF!,",",'Inverter-Full Data'!#REF!,",",'Inverter-Full Data'!#REF!,",",'Inverter-Full Data'!#REF!,"'")</f>
        <v>#REF!</v>
      </c>
    </row>
    <row r="2395" spans="1:1">
      <c r="A2395" s="2" t="e">
        <f>CONCATENATE("'",'Inverter-Full Data'!#REF!,"     ",'Inverter-Full Data'!#REF!,",",'Inverter-Full Data'!#REF!,",",'Inverter-Full Data'!#REF!,",",'Inverter-Full Data'!#REF!,"'")</f>
        <v>#REF!</v>
      </c>
    </row>
    <row r="2396" spans="1:1">
      <c r="A2396" s="2" t="e">
        <f>CONCATENATE("'",'Inverter-Full Data'!#REF!,"     ",'Inverter-Full Data'!#REF!,",",'Inverter-Full Data'!#REF!,",",'Inverter-Full Data'!#REF!,",",'Inverter-Full Data'!#REF!,"'")</f>
        <v>#REF!</v>
      </c>
    </row>
    <row r="2397" spans="1:1">
      <c r="A2397" s="2" t="e">
        <f>CONCATENATE("'",'Inverter-Full Data'!#REF!,"     ",'Inverter-Full Data'!#REF!,",",'Inverter-Full Data'!#REF!,",",'Inverter-Full Data'!#REF!,",",'Inverter-Full Data'!#REF!,"'")</f>
        <v>#REF!</v>
      </c>
    </row>
    <row r="2398" spans="1:1">
      <c r="A2398" s="2" t="e">
        <f>CONCATENATE("'",'Inverter-Full Data'!#REF!,"     ",'Inverter-Full Data'!#REF!,",",'Inverter-Full Data'!#REF!,",",'Inverter-Full Data'!#REF!,",",'Inverter-Full Data'!#REF!,"'")</f>
        <v>#REF!</v>
      </c>
    </row>
    <row r="2399" spans="1:1">
      <c r="A2399" s="2" t="e">
        <f>CONCATENATE("'",'Inverter-Full Data'!#REF!,"     ",'Inverter-Full Data'!#REF!,",",'Inverter-Full Data'!#REF!,",",'Inverter-Full Data'!#REF!,",",'Inverter-Full Data'!#REF!,"'")</f>
        <v>#REF!</v>
      </c>
    </row>
    <row r="2400" spans="1:1">
      <c r="A2400" s="2" t="e">
        <f>CONCATENATE("'",'Inverter-Full Data'!#REF!,"     ",'Inverter-Full Data'!#REF!,",",'Inverter-Full Data'!#REF!,",",'Inverter-Full Data'!#REF!,",",'Inverter-Full Data'!#REF!,"'")</f>
        <v>#REF!</v>
      </c>
    </row>
    <row r="2401" spans="1:1">
      <c r="A2401" s="2" t="e">
        <f>CONCATENATE("'",'Inverter-Full Data'!#REF!,"     ",'Inverter-Full Data'!#REF!,",",'Inverter-Full Data'!#REF!,",",'Inverter-Full Data'!#REF!,",",'Inverter-Full Data'!#REF!,"'")</f>
        <v>#REF!</v>
      </c>
    </row>
    <row r="2402" spans="1:1">
      <c r="A2402" s="2" t="e">
        <f>CONCATENATE("'",'Inverter-Full Data'!#REF!,"     ",'Inverter-Full Data'!#REF!,",",'Inverter-Full Data'!#REF!,",",'Inverter-Full Data'!#REF!,",",'Inverter-Full Data'!#REF!,"'")</f>
        <v>#REF!</v>
      </c>
    </row>
    <row r="2403" spans="1:1">
      <c r="A2403" s="2" t="e">
        <f>CONCATENATE("'",'Inverter-Full Data'!#REF!,"     ",'Inverter-Full Data'!#REF!,",",'Inverter-Full Data'!#REF!,",",'Inverter-Full Data'!#REF!,",",'Inverter-Full Data'!#REF!,"'")</f>
        <v>#REF!</v>
      </c>
    </row>
    <row r="2404" spans="1:1">
      <c r="A2404" s="2" t="e">
        <f>CONCATENATE("'",'Inverter-Full Data'!#REF!,"     ",'Inverter-Full Data'!#REF!,",",'Inverter-Full Data'!#REF!,",",'Inverter-Full Data'!#REF!,",",'Inverter-Full Data'!#REF!,"'")</f>
        <v>#REF!</v>
      </c>
    </row>
    <row r="2405" spans="1:1">
      <c r="A2405" s="2" t="e">
        <f>CONCATENATE("'",'Inverter-Full Data'!#REF!,"     ",'Inverter-Full Data'!#REF!,",",'Inverter-Full Data'!#REF!,",",'Inverter-Full Data'!#REF!,",",'Inverter-Full Data'!#REF!,"'")</f>
        <v>#REF!</v>
      </c>
    </row>
    <row r="2406" spans="1:1">
      <c r="A2406" s="2" t="e">
        <f>CONCATENATE("'",'Inverter-Full Data'!#REF!,"     ",'Inverter-Full Data'!#REF!,",",'Inverter-Full Data'!#REF!,",",'Inverter-Full Data'!#REF!,",",'Inverter-Full Data'!#REF!,"'")</f>
        <v>#REF!</v>
      </c>
    </row>
    <row r="2407" spans="1:1">
      <c r="A2407" s="2" t="e">
        <f>CONCATENATE("'",'Inverter-Full Data'!#REF!,"     ",'Inverter-Full Data'!#REF!,",",'Inverter-Full Data'!#REF!,",",'Inverter-Full Data'!#REF!,",",'Inverter-Full Data'!#REF!,"'")</f>
        <v>#REF!</v>
      </c>
    </row>
    <row r="2408" spans="1:1">
      <c r="A2408" s="2" t="e">
        <f>CONCATENATE("'",'Inverter-Full Data'!#REF!,"     ",'Inverter-Full Data'!#REF!,",",'Inverter-Full Data'!#REF!,",",'Inverter-Full Data'!#REF!,",",'Inverter-Full Data'!#REF!,"'")</f>
        <v>#REF!</v>
      </c>
    </row>
    <row r="2409" spans="1:1">
      <c r="A2409" s="2" t="e">
        <f>CONCATENATE("'",'Inverter-Full Data'!#REF!,"     ",'Inverter-Full Data'!#REF!,",",'Inverter-Full Data'!#REF!,",",'Inverter-Full Data'!#REF!,",",'Inverter-Full Data'!#REF!,"'")</f>
        <v>#REF!</v>
      </c>
    </row>
    <row r="2410" spans="1:1">
      <c r="A2410" s="2" t="e">
        <f>CONCATENATE("'",'Inverter-Full Data'!#REF!,"     ",'Inverter-Full Data'!#REF!,",",'Inverter-Full Data'!#REF!,",",'Inverter-Full Data'!#REF!,",",'Inverter-Full Data'!#REF!,"'")</f>
        <v>#REF!</v>
      </c>
    </row>
    <row r="2411" spans="1:1">
      <c r="A2411" s="2" t="e">
        <f>CONCATENATE("'",'Inverter-Full Data'!#REF!,"     ",'Inverter-Full Data'!#REF!,",",'Inverter-Full Data'!#REF!,",",'Inverter-Full Data'!#REF!,",",'Inverter-Full Data'!#REF!,"'")</f>
        <v>#REF!</v>
      </c>
    </row>
    <row r="2412" spans="1:1">
      <c r="A2412" s="2" t="e">
        <f>CONCATENATE("'",'Inverter-Full Data'!#REF!,"     ",'Inverter-Full Data'!#REF!,",",'Inverter-Full Data'!#REF!,",",'Inverter-Full Data'!#REF!,",",'Inverter-Full Data'!#REF!,"'")</f>
        <v>#REF!</v>
      </c>
    </row>
    <row r="2413" spans="1:1">
      <c r="A2413" s="2" t="e">
        <f>CONCATENATE("'",'Inverter-Full Data'!#REF!,"     ",'Inverter-Full Data'!#REF!,",",'Inverter-Full Data'!#REF!,",",'Inverter-Full Data'!#REF!,",",'Inverter-Full Data'!#REF!,"'")</f>
        <v>#REF!</v>
      </c>
    </row>
    <row r="2414" spans="1:1">
      <c r="A2414" s="2" t="e">
        <f>CONCATENATE("'",'Inverter-Full Data'!#REF!,"     ",'Inverter-Full Data'!#REF!,",",'Inverter-Full Data'!#REF!,",",'Inverter-Full Data'!#REF!,",",'Inverter-Full Data'!#REF!,"'")</f>
        <v>#REF!</v>
      </c>
    </row>
    <row r="2415" spans="1:1">
      <c r="A2415" s="2" t="e">
        <f>CONCATENATE("'",'Inverter-Full Data'!#REF!,"     ",'Inverter-Full Data'!#REF!,",",'Inverter-Full Data'!#REF!,",",'Inverter-Full Data'!#REF!,",",'Inverter-Full Data'!#REF!,"'")</f>
        <v>#REF!</v>
      </c>
    </row>
    <row r="2416" spans="1:1">
      <c r="A2416" s="2" t="e">
        <f>CONCATENATE("'",'Inverter-Full Data'!#REF!,"     ",'Inverter-Full Data'!#REF!,",",'Inverter-Full Data'!#REF!,",",'Inverter-Full Data'!#REF!,",",'Inverter-Full Data'!#REF!,"'")</f>
        <v>#REF!</v>
      </c>
    </row>
    <row r="2417" spans="1:1">
      <c r="A2417" s="2" t="e">
        <f>CONCATENATE("'",'Inverter-Full Data'!#REF!,"     ",'Inverter-Full Data'!#REF!,",",'Inverter-Full Data'!#REF!,",",'Inverter-Full Data'!#REF!,",",'Inverter-Full Data'!#REF!,"'")</f>
        <v>#REF!</v>
      </c>
    </row>
    <row r="2418" spans="1:1">
      <c r="A2418" s="2" t="e">
        <f>CONCATENATE("'",'Inverter-Full Data'!#REF!,"     ",'Inverter-Full Data'!#REF!,",",'Inverter-Full Data'!#REF!,",",'Inverter-Full Data'!#REF!,",",'Inverter-Full Data'!#REF!,"'")</f>
        <v>#REF!</v>
      </c>
    </row>
    <row r="2419" spans="1:1">
      <c r="A2419" s="2" t="e">
        <f>CONCATENATE("'",'Inverter-Full Data'!#REF!,"     ",'Inverter-Full Data'!#REF!,",",'Inverter-Full Data'!#REF!,",",'Inverter-Full Data'!#REF!,",",'Inverter-Full Data'!#REF!,"'")</f>
        <v>#REF!</v>
      </c>
    </row>
    <row r="2420" spans="1:1">
      <c r="A2420" s="2" t="e">
        <f>CONCATENATE("'",'Inverter-Full Data'!#REF!,"     ",'Inverter-Full Data'!#REF!,",",'Inverter-Full Data'!#REF!,",",'Inverter-Full Data'!#REF!,",",'Inverter-Full Data'!#REF!,"'")</f>
        <v>#REF!</v>
      </c>
    </row>
    <row r="2421" spans="1:1">
      <c r="A2421" s="2" t="e">
        <f>CONCATENATE("'",'Inverter-Full Data'!#REF!,"     ",'Inverter-Full Data'!#REF!,",",'Inverter-Full Data'!#REF!,",",'Inverter-Full Data'!#REF!,",",'Inverter-Full Data'!#REF!,"'")</f>
        <v>#REF!</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e">
        <f>CONCATENATE("'",'Inverter-Full Data'!#REF!,"     ",'Inverter-Full Data'!#REF!,",",'Inverter-Full Data'!#REF!,",",'Inverter-Full Data'!#REF!,",",'Inverter-Full Data'!#REF!,"'")</f>
        <v>#REF!</v>
      </c>
    </row>
    <row r="2425" spans="1:1">
      <c r="A2425" s="2" t="e">
        <f>CONCATENATE("'",'Inverter-Full Data'!#REF!,"     ",'Inverter-Full Data'!#REF!,",",'Inverter-Full Data'!#REF!,",",'Inverter-Full Data'!#REF!,",",'Inverter-Full Data'!#REF!,"'")</f>
        <v>#REF!</v>
      </c>
    </row>
    <row r="2426" spans="1:1">
      <c r="A2426" s="2" t="e">
        <f>CONCATENATE("'",'Inverter-Full Data'!#REF!,"     ",'Inverter-Full Data'!#REF!,",",'Inverter-Full Data'!#REF!,",",'Inverter-Full Data'!#REF!,",",'Inverter-Full Data'!#REF!,"'")</f>
        <v>#REF!</v>
      </c>
    </row>
    <row r="2427" spans="1:1">
      <c r="A2427" s="2" t="e">
        <f>CONCATENATE("'",'Inverter-Full Data'!#REF!,"     ",'Inverter-Full Data'!#REF!,",",'Inverter-Full Data'!#REF!,",",'Inverter-Full Data'!#REF!,",",'Inverter-Full Data'!#REF!,"'")</f>
        <v>#REF!</v>
      </c>
    </row>
    <row r="2428" spans="1:1">
      <c r="A2428" s="2" t="e">
        <f>CONCATENATE("'",'Inverter-Full Data'!#REF!,"     ",'Inverter-Full Data'!#REF!,",",'Inverter-Full Data'!#REF!,",",'Inverter-Full Data'!#REF!,",",'Inverter-Full Data'!#REF!,"'")</f>
        <v>#REF!</v>
      </c>
    </row>
    <row r="2429" spans="1:1">
      <c r="A2429" s="2" t="e">
        <f>CONCATENATE("'",'Inverter-Full Data'!#REF!,"     ",'Inverter-Full Data'!#REF!,",",'Inverter-Full Data'!#REF!,",",'Inverter-Full Data'!#REF!,",",'Inverter-Full Data'!#REF!,"'")</f>
        <v>#REF!</v>
      </c>
    </row>
    <row r="2430" spans="1:1">
      <c r="A2430" s="2" t="e">
        <f>CONCATENATE("'",'Inverter-Full Data'!#REF!,"     ",'Inverter-Full Data'!#REF!,",",'Inverter-Full Data'!#REF!,",",'Inverter-Full Data'!#REF!,",",'Inverter-Full Data'!#REF!,"'")</f>
        <v>#REF!</v>
      </c>
    </row>
    <row r="2431" spans="1:1">
      <c r="A2431" s="2" t="e">
        <f>CONCATENATE("'",'Inverter-Full Data'!#REF!,"     ",'Inverter-Full Data'!#REF!,",",'Inverter-Full Data'!#REF!,",",'Inverter-Full Data'!#REF!,",",'Inverter-Full Data'!#REF!,"'")</f>
        <v>#REF!</v>
      </c>
    </row>
    <row r="2432" spans="1:1">
      <c r="A2432" s="2" t="e">
        <f>CONCATENATE("'",'Inverter-Full Data'!#REF!,"     ",'Inverter-Full Data'!#REF!,",",'Inverter-Full Data'!#REF!,",",'Inverter-Full Data'!#REF!,",",'Inverter-Full Data'!#REF!,"'")</f>
        <v>#REF!</v>
      </c>
    </row>
    <row r="2433" spans="1:1">
      <c r="A2433" s="2" t="e">
        <f>CONCATENATE("'",'Inverter-Full Data'!#REF!,"     ",'Inverter-Full Data'!#REF!,",",'Inverter-Full Data'!#REF!,",",'Inverter-Full Data'!#REF!,",",'Inverter-Full Data'!#REF!,"'")</f>
        <v>#REF!</v>
      </c>
    </row>
    <row r="2434" spans="1:1">
      <c r="A2434" s="2" t="e">
        <f>CONCATENATE("'",'Inverter-Full Data'!#REF!,"     ",'Inverter-Full Data'!#REF!,",",'Inverter-Full Data'!#REF!,",",'Inverter-Full Data'!#REF!,",",'Inverter-Full Data'!#REF!,"'")</f>
        <v>#REF!</v>
      </c>
    </row>
    <row r="2435" spans="1:1">
      <c r="A2435" s="2" t="e">
        <f>CONCATENATE("'",'Inverter-Full Data'!#REF!,"     ",'Inverter-Full Data'!#REF!,",",'Inverter-Full Data'!#REF!,",",'Inverter-Full Data'!#REF!,",",'Inverter-Full Data'!#REF!,"'")</f>
        <v>#REF!</v>
      </c>
    </row>
    <row r="2436" spans="1:1">
      <c r="A2436" s="2" t="e">
        <f>CONCATENATE("'",'Inverter-Full Data'!#REF!,"     ",'Inverter-Full Data'!#REF!,",",'Inverter-Full Data'!#REF!,",",'Inverter-Full Data'!#REF!,",",'Inverter-Full Data'!#REF!,"'")</f>
        <v>#REF!</v>
      </c>
    </row>
    <row r="2437" spans="1:1">
      <c r="A2437" s="2" t="e">
        <f>CONCATENATE("'",'Inverter-Full Data'!#REF!,"     ",'Inverter-Full Data'!#REF!,",",'Inverter-Full Data'!#REF!,",",'Inverter-Full Data'!#REF!,",",'Inverter-Full Data'!#REF!,"'")</f>
        <v>#REF!</v>
      </c>
    </row>
    <row r="2438" spans="1:1">
      <c r="A2438" s="2" t="e">
        <f>CONCATENATE("'",'Inverter-Full Data'!#REF!,"     ",'Inverter-Full Data'!#REF!,",",'Inverter-Full Data'!#REF!,",",'Inverter-Full Data'!#REF!,",",'Inverter-Full Data'!#REF!,"'")</f>
        <v>#REF!</v>
      </c>
    </row>
    <row r="2439" spans="1:1">
      <c r="A2439" s="2" t="e">
        <f>CONCATENATE("'",'Inverter-Full Data'!#REF!,"     ",'Inverter-Full Data'!#REF!,",",'Inverter-Full Data'!#REF!,",",'Inverter-Full Data'!#REF!,",",'Inverter-Full Data'!#REF!,"'")</f>
        <v>#REF!</v>
      </c>
    </row>
    <row r="2440" spans="1:1">
      <c r="A2440" s="2" t="e">
        <f>CONCATENATE("'",'Inverter-Full Data'!#REF!,"     ",'Inverter-Full Data'!#REF!,",",'Inverter-Full Data'!#REF!,",",'Inverter-Full Data'!#REF!,",",'Inverter-Full Data'!#REF!,"'")</f>
        <v>#REF!</v>
      </c>
    </row>
    <row r="2441" spans="1:1">
      <c r="A2441" s="2" t="e">
        <f>CONCATENATE("'",'Inverter-Full Data'!#REF!,"     ",'Inverter-Full Data'!#REF!,",",'Inverter-Full Data'!#REF!,",",'Inverter-Full Data'!#REF!,",",'Inverter-Full Data'!#REF!,"'")</f>
        <v>#REF!</v>
      </c>
    </row>
    <row r="2442" spans="1:1">
      <c r="A2442" s="2" t="e">
        <f>CONCATENATE("'",'Inverter-Full Data'!#REF!,"     ",'Inverter-Full Data'!#REF!,",",'Inverter-Full Data'!#REF!,",",'Inverter-Full Data'!#REF!,",",'Inverter-Full Data'!#REF!,"'")</f>
        <v>#REF!</v>
      </c>
    </row>
    <row r="2443" spans="1:1">
      <c r="A2443" s="2" t="e">
        <f>CONCATENATE("'",'Inverter-Full Data'!#REF!,"     ",'Inverter-Full Data'!#REF!,",",'Inverter-Full Data'!#REF!,",",'Inverter-Full Data'!#REF!,",",'Inverter-Full Data'!#REF!,"'")</f>
        <v>#REF!</v>
      </c>
    </row>
    <row r="2444" spans="1:1">
      <c r="A2444" s="2" t="e">
        <f>CONCATENATE("'",'Inverter-Full Data'!#REF!,"     ",'Inverter-Full Data'!#REF!,",",'Inverter-Full Data'!#REF!,",",'Inverter-Full Data'!#REF!,",",'Inverter-Full Data'!#REF!,"'")</f>
        <v>#REF!</v>
      </c>
    </row>
    <row r="2445" spans="1:1">
      <c r="A2445" s="2" t="e">
        <f>CONCATENATE("'",'Inverter-Full Data'!#REF!,"     ",'Inverter-Full Data'!#REF!,",",'Inverter-Full Data'!#REF!,",",'Inverter-Full Data'!#REF!,",",'Inverter-Full Data'!#REF!,"'")</f>
        <v>#REF!</v>
      </c>
    </row>
    <row r="2446" spans="1:1">
      <c r="A2446" s="2" t="e">
        <f>CONCATENATE("'",'Inverter-Full Data'!#REF!,"     ",'Inverter-Full Data'!#REF!,",",'Inverter-Full Data'!#REF!,",",'Inverter-Full Data'!#REF!,",",'Inverter-Full Data'!#REF!,"'")</f>
        <v>#REF!</v>
      </c>
    </row>
    <row r="2447" spans="1:1">
      <c r="A2447" s="2" t="e">
        <f>CONCATENATE("'",'Inverter-Full Data'!#REF!,"     ",'Inverter-Full Data'!#REF!,",",'Inverter-Full Data'!#REF!,",",'Inverter-Full Data'!#REF!,",",'Inverter-Full Data'!#REF!,"'")</f>
        <v>#REF!</v>
      </c>
    </row>
    <row r="2448" spans="1:1">
      <c r="A2448" s="2" t="e">
        <f>CONCATENATE("'",'Inverter-Full Data'!#REF!,"     ",'Inverter-Full Data'!#REF!,",",'Inverter-Full Data'!#REF!,",",'Inverter-Full Data'!#REF!,",",'Inverter-Full Data'!#REF!,"'")</f>
        <v>#REF!</v>
      </c>
    </row>
    <row r="2449" spans="1:1">
      <c r="A2449" s="2" t="e">
        <f>CONCATENATE("'",'Inverter-Full Data'!#REF!,"     ",'Inverter-Full Data'!#REF!,",",'Inverter-Full Data'!#REF!,",",'Inverter-Full Data'!#REF!,",",'Inverter-Full Data'!#REF!,"'")</f>
        <v>#REF!</v>
      </c>
    </row>
    <row r="2450" spans="1:1">
      <c r="A2450" s="2" t="e">
        <f>CONCATENATE("'",'Inverter-Full Data'!#REF!,"     ",'Inverter-Full Data'!#REF!,",",'Inverter-Full Data'!#REF!,",",'Inverter-Full Data'!#REF!,",",'Inverter-Full Data'!#REF!,"'")</f>
        <v>#REF!</v>
      </c>
    </row>
    <row r="2451" spans="1:1">
      <c r="A2451" s="2" t="e">
        <f>CONCATENATE("'",'Inverter-Full Data'!#REF!,"     ",'Inverter-Full Data'!#REF!,",",'Inverter-Full Data'!#REF!,",",'Inverter-Full Data'!#REF!,",",'Inverter-Full Data'!#REF!,"'")</f>
        <v>#REF!</v>
      </c>
    </row>
    <row r="2452" spans="1:1">
      <c r="A2452" s="2" t="e">
        <f>CONCATENATE("'",'Inverter-Full Data'!#REF!,"     ",'Inverter-Full Data'!#REF!,",",'Inverter-Full Data'!#REF!,",",'Inverter-Full Data'!#REF!,",",'Inverter-Full Data'!#REF!,"'")</f>
        <v>#REF!</v>
      </c>
    </row>
    <row r="2453" spans="1:1">
      <c r="A2453" s="2" t="e">
        <f>CONCATENATE("'",'Inverter-Full Data'!#REF!,"     ",'Inverter-Full Data'!#REF!,",",'Inverter-Full Data'!#REF!,",",'Inverter-Full Data'!#REF!,",",'Inverter-Full Data'!#REF!,"'")</f>
        <v>#REF!</v>
      </c>
    </row>
    <row r="2454" spans="1:1">
      <c r="A2454" s="2" t="e">
        <f>CONCATENATE("'",'Inverter-Full Data'!#REF!,"     ",'Inverter-Full Data'!#REF!,",",'Inverter-Full Data'!#REF!,",",'Inverter-Full Data'!#REF!,",",'Inverter-Full Data'!#REF!,"'")</f>
        <v>#REF!</v>
      </c>
    </row>
    <row r="2455" spans="1:1">
      <c r="A2455" s="2" t="e">
        <f>CONCATENATE("'",'Inverter-Full Data'!#REF!,"     ",'Inverter-Full Data'!#REF!,",",'Inverter-Full Data'!#REF!,",",'Inverter-Full Data'!#REF!,",",'Inverter-Full Data'!#REF!,"'")</f>
        <v>#REF!</v>
      </c>
    </row>
    <row r="2456" spans="1:1">
      <c r="A2456" s="2" t="e">
        <f>CONCATENATE("'",'Inverter-Full Data'!#REF!,"     ",'Inverter-Full Data'!#REF!,",",'Inverter-Full Data'!#REF!,",",'Inverter-Full Data'!#REF!,",",'Inverter-Full Data'!#REF!,"'")</f>
        <v>#REF!</v>
      </c>
    </row>
    <row r="2457" spans="1:1">
      <c r="A2457" s="2" t="e">
        <f>CONCATENATE("'",'Inverter-Full Data'!#REF!,"     ",'Inverter-Full Data'!#REF!,",",'Inverter-Full Data'!#REF!,",",'Inverter-Full Data'!#REF!,",",'Inverter-Full Data'!#REF!,"'")</f>
        <v>#REF!</v>
      </c>
    </row>
    <row r="2458" spans="1:1">
      <c r="A2458" s="2" t="e">
        <f>CONCATENATE("'",'Inverter-Full Data'!#REF!,"     ",'Inverter-Full Data'!#REF!,",",'Inverter-Full Data'!#REF!,",",'Inverter-Full Data'!#REF!,",",'Inverter-Full Data'!#REF!,"'")</f>
        <v>#REF!</v>
      </c>
    </row>
    <row r="2459" spans="1:1">
      <c r="A2459" s="2" t="e">
        <f>CONCATENATE("'",'Inverter-Full Data'!#REF!,"     ",'Inverter-Full Data'!#REF!,",",'Inverter-Full Data'!#REF!,",",'Inverter-Full Data'!#REF!,",",'Inverter-Full Data'!#REF!,"'")</f>
        <v>#REF!</v>
      </c>
    </row>
    <row r="2460" spans="1:1">
      <c r="A2460" s="2" t="e">
        <f>CONCATENATE("'",'Inverter-Full Data'!#REF!,"     ",'Inverter-Full Data'!#REF!,",",'Inverter-Full Data'!#REF!,",",'Inverter-Full Data'!#REF!,",",'Inverter-Full Data'!#REF!,"'")</f>
        <v>#REF!</v>
      </c>
    </row>
    <row r="2461" spans="1:1">
      <c r="A2461" s="2" t="e">
        <f>CONCATENATE("'",'Inverter-Full Data'!#REF!,"     ",'Inverter-Full Data'!#REF!,",",'Inverter-Full Data'!#REF!,",",'Inverter-Full Data'!#REF!,",",'Inverter-Full Data'!#REF!,"'")</f>
        <v>#REF!</v>
      </c>
    </row>
    <row r="2462" spans="1:1">
      <c r="A2462" s="2" t="e">
        <f>CONCATENATE("'",'Inverter-Full Data'!#REF!,"     ",'Inverter-Full Data'!#REF!,",",'Inverter-Full Data'!#REF!,",",'Inverter-Full Data'!#REF!,",",'Inverter-Full Data'!#REF!,"'")</f>
        <v>#REF!</v>
      </c>
    </row>
    <row r="2463" spans="1:1">
      <c r="A2463" s="2" t="e">
        <f>CONCATENATE("'",'Inverter-Full Data'!#REF!,"     ",'Inverter-Full Data'!#REF!,",",'Inverter-Full Data'!#REF!,",",'Inverter-Full Data'!#REF!,",",'Inverter-Full Data'!#REF!,"'")</f>
        <v>#REF!</v>
      </c>
    </row>
    <row r="2464" spans="1:1">
      <c r="A2464" s="2" t="e">
        <f>CONCATENATE("'",'Inverter-Full Data'!#REF!,"     ",'Inverter-Full Data'!#REF!,",",'Inverter-Full Data'!#REF!,",",'Inverter-Full Data'!#REF!,",",'Inverter-Full Data'!#REF!,"'")</f>
        <v>#REF!</v>
      </c>
    </row>
    <row r="2465" spans="1:1">
      <c r="A2465" s="2" t="e">
        <f>CONCATENATE("'",'Inverter-Full Data'!#REF!,"     ",'Inverter-Full Data'!#REF!,",",'Inverter-Full Data'!#REF!,",",'Inverter-Full Data'!#REF!,",",'Inverter-Full Data'!#REF!,"'")</f>
        <v>#REF!</v>
      </c>
    </row>
    <row r="2466" spans="1:1">
      <c r="A2466" s="2" t="e">
        <f>CONCATENATE("'",'Inverter-Full Data'!#REF!,"     ",'Inverter-Full Data'!#REF!,",",'Inverter-Full Data'!#REF!,",",'Inverter-Full Data'!#REF!,",",'Inverter-Full Data'!#REF!,"'")</f>
        <v>#REF!</v>
      </c>
    </row>
    <row r="2467" spans="1:1">
      <c r="A2467" s="2" t="e">
        <f>CONCATENATE("'",'Inverter-Full Data'!#REF!,"     ",'Inverter-Full Data'!#REF!,",",'Inverter-Full Data'!#REF!,",",'Inverter-Full Data'!#REF!,",",'Inverter-Full Data'!#REF!,"'")</f>
        <v>#REF!</v>
      </c>
    </row>
    <row r="2468" spans="1:1">
      <c r="A2468" s="2" t="e">
        <f>CONCATENATE("'",'Inverter-Full Data'!#REF!,"     ",'Inverter-Full Data'!#REF!,",",'Inverter-Full Data'!#REF!,",",'Inverter-Full Data'!#REF!,",",'Inverter-Full Data'!#REF!,"'")</f>
        <v>#REF!</v>
      </c>
    </row>
    <row r="2469" spans="1:1">
      <c r="A2469" s="2" t="e">
        <f>CONCATENATE("'",'Inverter-Full Data'!#REF!,"     ",'Inverter-Full Data'!#REF!,",",'Inverter-Full Data'!#REF!,",",'Inverter-Full Data'!#REF!,",",'Inverter-Full Data'!#REF!,"'")</f>
        <v>#REF!</v>
      </c>
    </row>
    <row r="2470" spans="1:1">
      <c r="A2470" s="2" t="e">
        <f>CONCATENATE("'",'Inverter-Full Data'!#REF!,"     ",'Inverter-Full Data'!#REF!,",",'Inverter-Full Data'!#REF!,",",'Inverter-Full Data'!#REF!,",",'Inverter-Full Data'!#REF!,"'")</f>
        <v>#REF!</v>
      </c>
    </row>
    <row r="2471" spans="1:1">
      <c r="A2471" s="2" t="e">
        <f>CONCATENATE("'",'Inverter-Full Data'!#REF!,"     ",'Inverter-Full Data'!#REF!,",",'Inverter-Full Data'!#REF!,",",'Inverter-Full Data'!#REF!,",",'Inverter-Full Data'!#REF!,"'")</f>
        <v>#REF!</v>
      </c>
    </row>
    <row r="2472" spans="1:1">
      <c r="A2472" s="2" t="e">
        <f>CONCATENATE("'",'Inverter-Full Data'!#REF!,"     ",'Inverter-Full Data'!#REF!,",",'Inverter-Full Data'!#REF!,",",'Inverter-Full Data'!#REF!,",",'Inverter-Full Data'!#REF!,"'")</f>
        <v>#REF!</v>
      </c>
    </row>
    <row r="2473" spans="1:1">
      <c r="A2473" s="2" t="e">
        <f>CONCATENATE("'",'Inverter-Full Data'!#REF!,"     ",'Inverter-Full Data'!#REF!,",",'Inverter-Full Data'!#REF!,",",'Inverter-Full Data'!#REF!,",",'Inverter-Full Data'!#REF!,"'")</f>
        <v>#REF!</v>
      </c>
    </row>
    <row r="2474" spans="1:1">
      <c r="A2474" s="2" t="e">
        <f>CONCATENATE("'",'Inverter-Full Data'!#REF!,"     ",'Inverter-Full Data'!#REF!,",",'Inverter-Full Data'!#REF!,",",'Inverter-Full Data'!#REF!,",",'Inverter-Full Data'!#REF!,"'")</f>
        <v>#REF!</v>
      </c>
    </row>
    <row r="2475" spans="1:1">
      <c r="A2475" s="2" t="e">
        <f>CONCATENATE("'",'Inverter-Full Data'!#REF!,"     ",'Inverter-Full Data'!#REF!,",",'Inverter-Full Data'!#REF!,",",'Inverter-Full Data'!#REF!,",",'Inverter-Full Data'!#REF!,"'")</f>
        <v>#REF!</v>
      </c>
    </row>
    <row r="2476" spans="1:1">
      <c r="A2476" s="2" t="e">
        <f>CONCATENATE("'",'Inverter-Full Data'!#REF!,"     ",'Inverter-Full Data'!#REF!,",",'Inverter-Full Data'!#REF!,",",'Inverter-Full Data'!#REF!,",",'Inverter-Full Data'!#REF!,"'")</f>
        <v>#REF!</v>
      </c>
    </row>
    <row r="2477" spans="1:1">
      <c r="A2477" s="2" t="e">
        <f>CONCATENATE("'",'Inverter-Full Data'!#REF!,"     ",'Inverter-Full Data'!#REF!,",",'Inverter-Full Data'!#REF!,",",'Inverter-Full Data'!#REF!,",",'Inverter-Full Data'!#REF!,"'")</f>
        <v>#REF!</v>
      </c>
    </row>
    <row r="2478" spans="1:1">
      <c r="A2478" s="2" t="e">
        <f>CONCATENATE("'",'Inverter-Full Data'!#REF!,"     ",'Inverter-Full Data'!#REF!,",",'Inverter-Full Data'!#REF!,",",'Inverter-Full Data'!#REF!,",",'Inverter-Full Data'!#REF!,"'")</f>
        <v>#REF!</v>
      </c>
    </row>
    <row r="2479" spans="1:1">
      <c r="A2479" s="2" t="e">
        <f>CONCATENATE("'",'Inverter-Full Data'!#REF!,"     ",'Inverter-Full Data'!#REF!,",",'Inverter-Full Data'!#REF!,",",'Inverter-Full Data'!#REF!,",",'Inverter-Full Data'!#REF!,"'")</f>
        <v>#REF!</v>
      </c>
    </row>
    <row r="2480" spans="1:1">
      <c r="A2480" s="2" t="e">
        <f>CONCATENATE("'",'Inverter-Full Data'!#REF!,"     ",'Inverter-Full Data'!#REF!,",",'Inverter-Full Data'!#REF!,",",'Inverter-Full Data'!#REF!,",",'Inverter-Full Data'!#REF!,"'")</f>
        <v>#REF!</v>
      </c>
    </row>
    <row r="2481" spans="1:1">
      <c r="A2481" s="2" t="e">
        <f>CONCATENATE("'",'Inverter-Full Data'!#REF!,"     ",'Inverter-Full Data'!#REF!,",",'Inverter-Full Data'!#REF!,",",'Inverter-Full Data'!#REF!,",",'Inverter-Full Data'!#REF!,"'")</f>
        <v>#REF!</v>
      </c>
    </row>
    <row r="2482" spans="1:1">
      <c r="A2482" s="2" t="e">
        <f>CONCATENATE("'",'Inverter-Full Data'!#REF!,"     ",'Inverter-Full Data'!#REF!,",",'Inverter-Full Data'!#REF!,",",'Inverter-Full Data'!#REF!,",",'Inverter-Full Data'!#REF!,"'")</f>
        <v>#REF!</v>
      </c>
    </row>
    <row r="2483" spans="1:1">
      <c r="A2483" s="2" t="e">
        <f>CONCATENATE("'",'Inverter-Full Data'!#REF!,"     ",'Inverter-Full Data'!#REF!,",",'Inverter-Full Data'!#REF!,",",'Inverter-Full Data'!#REF!,",",'Inverter-Full Data'!#REF!,"'")</f>
        <v>#REF!</v>
      </c>
    </row>
    <row r="2484" spans="1:1">
      <c r="A2484" s="2" t="e">
        <f>CONCATENATE("'",'Inverter-Full Data'!#REF!,"     ",'Inverter-Full Data'!#REF!,",",'Inverter-Full Data'!#REF!,",",'Inverter-Full Data'!#REF!,",",'Inverter-Full Data'!#REF!,"'")</f>
        <v>#REF!</v>
      </c>
    </row>
    <row r="2485" spans="1:1">
      <c r="A2485" s="2" t="e">
        <f>CONCATENATE("'",'Inverter-Full Data'!#REF!,"     ",'Inverter-Full Data'!#REF!,",",'Inverter-Full Data'!#REF!,",",'Inverter-Full Data'!#REF!,",",'Inverter-Full Data'!#REF!,"'")</f>
        <v>#REF!</v>
      </c>
    </row>
    <row r="2486" spans="1:1">
      <c r="A2486" s="2" t="e">
        <f>CONCATENATE("'",'Inverter-Full Data'!#REF!,"     ",'Inverter-Full Data'!#REF!,",",'Inverter-Full Data'!#REF!,",",'Inverter-Full Data'!#REF!,",",'Inverter-Full Data'!#REF!,"'")</f>
        <v>#REF!</v>
      </c>
    </row>
    <row r="2487" spans="1:1">
      <c r="A2487" s="2" t="e">
        <f>CONCATENATE("'",'Inverter-Full Data'!#REF!,"     ",'Inverter-Full Data'!#REF!,",",'Inverter-Full Data'!#REF!,",",'Inverter-Full Data'!#REF!,",",'Inverter-Full Data'!#REF!,"'")</f>
        <v>#REF!</v>
      </c>
    </row>
    <row r="2488" spans="1:1">
      <c r="A2488" s="2" t="e">
        <f>CONCATENATE("'",'Inverter-Full Data'!#REF!,"     ",'Inverter-Full Data'!#REF!,",",'Inverter-Full Data'!#REF!,",",'Inverter-Full Data'!#REF!,",",'Inverter-Full Data'!#REF!,"'")</f>
        <v>#REF!</v>
      </c>
    </row>
    <row r="2489" spans="1:1">
      <c r="A2489" s="2" t="e">
        <f>CONCATENATE("'",'Inverter-Full Data'!#REF!,"     ",'Inverter-Full Data'!#REF!,",",'Inverter-Full Data'!#REF!,",",'Inverter-Full Data'!#REF!,",",'Inverter-Full Data'!#REF!,"'")</f>
        <v>#REF!</v>
      </c>
    </row>
    <row r="2490" spans="1:1">
      <c r="A2490" s="2" t="e">
        <f>CONCATENATE("'",'Inverter-Full Data'!#REF!,"     ",'Inverter-Full Data'!#REF!,",",'Inverter-Full Data'!#REF!,",",'Inverter-Full Data'!#REF!,",",'Inverter-Full Data'!#REF!,"'")</f>
        <v>#REF!</v>
      </c>
    </row>
    <row r="2491" spans="1:1">
      <c r="A2491" s="2" t="e">
        <f>CONCATENATE("'",'Inverter-Full Data'!#REF!,"     ",'Inverter-Full Data'!#REF!,",",'Inverter-Full Data'!#REF!,",",'Inverter-Full Data'!#REF!,",",'Inverter-Full Data'!#REF!,"'")</f>
        <v>#REF!</v>
      </c>
    </row>
    <row r="2492" spans="1:1">
      <c r="A2492" s="2" t="e">
        <f>CONCATENATE("'",'Inverter-Full Data'!#REF!,"     ",'Inverter-Full Data'!#REF!,",",'Inverter-Full Data'!#REF!,",",'Inverter-Full Data'!#REF!,",",'Inverter-Full Data'!#REF!,"'")</f>
        <v>#REF!</v>
      </c>
    </row>
    <row r="2493" spans="1:1">
      <c r="A2493" s="2" t="e">
        <f>CONCATENATE("'",'Inverter-Full Data'!#REF!,"     ",'Inverter-Full Data'!#REF!,",",'Inverter-Full Data'!#REF!,",",'Inverter-Full Data'!#REF!,",",'Inverter-Full Data'!#REF!,"'")</f>
        <v>#REF!</v>
      </c>
    </row>
    <row r="2494" spans="1:1">
      <c r="A2494" s="2" t="e">
        <f>CONCATENATE("'",'Inverter-Full Data'!#REF!,"     ",'Inverter-Full Data'!#REF!,",",'Inverter-Full Data'!#REF!,",",'Inverter-Full Data'!#REF!,",",'Inverter-Full Data'!#REF!,"'")</f>
        <v>#REF!</v>
      </c>
    </row>
    <row r="2495" spans="1:1">
      <c r="A2495" s="2" t="e">
        <f>CONCATENATE("'",'Inverter-Full Data'!#REF!,"     ",'Inverter-Full Data'!#REF!,",",'Inverter-Full Data'!#REF!,",",'Inverter-Full Data'!#REF!,",",'Inverter-Full Data'!#REF!,"'")</f>
        <v>#REF!</v>
      </c>
    </row>
    <row r="2496" spans="1:1">
      <c r="A2496" s="2" t="e">
        <f>CONCATENATE("'",'Inverter-Full Data'!#REF!,"     ",'Inverter-Full Data'!#REF!,",",'Inverter-Full Data'!#REF!,",",'Inverter-Full Data'!#REF!,",",'Inverter-Full Data'!#REF!,"'")</f>
        <v>#REF!</v>
      </c>
    </row>
    <row r="2497" spans="1:1">
      <c r="A2497" s="2" t="e">
        <f>CONCATENATE("'",'Inverter-Full Data'!#REF!,"     ",'Inverter-Full Data'!#REF!,",",'Inverter-Full Data'!#REF!,",",'Inverter-Full Data'!#REF!,",",'Inverter-Full Data'!#REF!,"'")</f>
        <v>#REF!</v>
      </c>
    </row>
    <row r="2498" spans="1:1">
      <c r="A2498" s="2" t="e">
        <f>CONCATENATE("'",'Inverter-Full Data'!#REF!,"     ",'Inverter-Full Data'!#REF!,",",'Inverter-Full Data'!#REF!,",",'Inverter-Full Data'!#REF!,",",'Inverter-Full Data'!#REF!,"'")</f>
        <v>#REF!</v>
      </c>
    </row>
    <row r="2499" spans="1:1">
      <c r="A2499" s="2" t="e">
        <f>CONCATENATE("'",'Inverter-Full Data'!#REF!,"     ",'Inverter-Full Data'!#REF!,",",'Inverter-Full Data'!#REF!,",",'Inverter-Full Data'!#REF!,",",'Inverter-Full Data'!#REF!,"'")</f>
        <v>#REF!</v>
      </c>
    </row>
    <row r="2500" spans="1:1">
      <c r="A2500" s="2" t="e">
        <f>CONCATENATE("'",'Inverter-Full Data'!#REF!,"     ",'Inverter-Full Data'!#REF!,",",'Inverter-Full Data'!#REF!,",",'Inverter-Full Data'!#REF!,",",'Inverter-Full Data'!#REF!,"'")</f>
        <v>#REF!</v>
      </c>
    </row>
    <row r="2501" spans="1:1">
      <c r="A2501" s="2" t="e">
        <f>CONCATENATE("'",'Inverter-Full Data'!#REF!,"     ",'Inverter-Full Data'!#REF!,",",'Inverter-Full Data'!#REF!,",",'Inverter-Full Data'!#REF!,",",'Inverter-Full Data'!#REF!,"'")</f>
        <v>#REF!</v>
      </c>
    </row>
    <row r="2502" spans="1:1">
      <c r="A2502" s="2" t="e">
        <f>CONCATENATE("'",'Inverter-Full Data'!#REF!,"     ",'Inverter-Full Data'!#REF!,",",'Inverter-Full Data'!#REF!,",",'Inverter-Full Data'!#REF!,",",'Inverter-Full Data'!#REF!,"'")</f>
        <v>#REF!</v>
      </c>
    </row>
    <row r="2503" spans="1:1">
      <c r="A2503" s="2" t="e">
        <f>CONCATENATE("'",'Inverter-Full Data'!#REF!,"     ",'Inverter-Full Data'!#REF!,",",'Inverter-Full Data'!#REF!,",",'Inverter-Full Data'!#REF!,",",'Inverter-Full Data'!#REF!,"'")</f>
        <v>#REF!</v>
      </c>
    </row>
    <row r="2504" spans="1:1">
      <c r="A2504" s="2" t="e">
        <f>CONCATENATE("'",'Inverter-Full Data'!#REF!,"     ",'Inverter-Full Data'!#REF!,",",'Inverter-Full Data'!#REF!,",",'Inverter-Full Data'!#REF!,",",'Inverter-Full Data'!#REF!,"'")</f>
        <v>#REF!</v>
      </c>
    </row>
    <row r="2505" spans="1:1">
      <c r="A2505" s="2" t="e">
        <f>CONCATENATE("'",'Inverter-Full Data'!#REF!,"     ",'Inverter-Full Data'!#REF!,",",'Inverter-Full Data'!#REF!,",",'Inverter-Full Data'!#REF!,",",'Inverter-Full Data'!#REF!,"'")</f>
        <v>#REF!</v>
      </c>
    </row>
    <row r="2506" spans="1:1">
      <c r="A2506" s="2" t="e">
        <f>CONCATENATE("'",'Inverter-Full Data'!#REF!,"     ",'Inverter-Full Data'!#REF!,",",'Inverter-Full Data'!#REF!,",",'Inverter-Full Data'!#REF!,",",'Inverter-Full Data'!#REF!,"'")</f>
        <v>#REF!</v>
      </c>
    </row>
    <row r="2507" spans="1:1">
      <c r="A2507" s="2" t="e">
        <f>CONCATENATE("'",'Inverter-Full Data'!#REF!,"     ",'Inverter-Full Data'!#REF!,",",'Inverter-Full Data'!#REF!,",",'Inverter-Full Data'!#REF!,",",'Inverter-Full Data'!#REF!,"'")</f>
        <v>#REF!</v>
      </c>
    </row>
    <row r="2508" spans="1:1">
      <c r="A2508" s="2" t="e">
        <f>CONCATENATE("'",'Inverter-Full Data'!#REF!,"     ",'Inverter-Full Data'!#REF!,",",'Inverter-Full Data'!#REF!,",",'Inverter-Full Data'!#REF!,",",'Inverter-Full Data'!#REF!,"'")</f>
        <v>#REF!</v>
      </c>
    </row>
    <row r="2509" spans="1:1">
      <c r="A2509" s="2" t="e">
        <f>CONCATENATE("'",'Inverter-Full Data'!#REF!,"     ",'Inverter-Full Data'!#REF!,",",'Inverter-Full Data'!#REF!,",",'Inverter-Full Data'!#REF!,",",'Inverter-Full Data'!#REF!,"'")</f>
        <v>#REF!</v>
      </c>
    </row>
    <row r="2510" spans="1:1">
      <c r="A2510" s="2" t="e">
        <f>CONCATENATE("'",'Inverter-Full Data'!#REF!,"     ",'Inverter-Full Data'!#REF!,",",'Inverter-Full Data'!#REF!,",",'Inverter-Full Data'!#REF!,",",'Inverter-Full Data'!#REF!,"'")</f>
        <v>#REF!</v>
      </c>
    </row>
    <row r="2511" spans="1:1">
      <c r="A2511" s="2" t="e">
        <f>CONCATENATE("'",'Inverter-Full Data'!#REF!,"     ",'Inverter-Full Data'!#REF!,",",'Inverter-Full Data'!#REF!,",",'Inverter-Full Data'!#REF!,",",'Inverter-Full Data'!#REF!,"'")</f>
        <v>#REF!</v>
      </c>
    </row>
    <row r="2512" spans="1:1">
      <c r="A2512" s="2" t="e">
        <f>CONCATENATE("'",'Inverter-Full Data'!#REF!,"     ",'Inverter-Full Data'!#REF!,",",'Inverter-Full Data'!#REF!,",",'Inverter-Full Data'!#REF!,",",'Inverter-Full Data'!#REF!,"'")</f>
        <v>#REF!</v>
      </c>
    </row>
    <row r="2513" spans="1:1">
      <c r="A2513" s="2" t="e">
        <f>CONCATENATE("'",'Inverter-Full Data'!#REF!,"     ",'Inverter-Full Data'!#REF!,",",'Inverter-Full Data'!#REF!,",",'Inverter-Full Data'!#REF!,",",'Inverter-Full Data'!#REF!,"'")</f>
        <v>#REF!</v>
      </c>
    </row>
    <row r="2514" spans="1:1">
      <c r="A2514" s="2" t="e">
        <f>CONCATENATE("'",'Inverter-Full Data'!#REF!,"     ",'Inverter-Full Data'!#REF!,",",'Inverter-Full Data'!#REF!,",",'Inverter-Full Data'!#REF!,",",'Inverter-Full Data'!#REF!,"'")</f>
        <v>#REF!</v>
      </c>
    </row>
    <row r="2515" spans="1:1">
      <c r="A2515" s="2" t="e">
        <f>CONCATENATE("'",'Inverter-Full Data'!#REF!,"     ",'Inverter-Full Data'!#REF!,",",'Inverter-Full Data'!#REF!,",",'Inverter-Full Data'!#REF!,",",'Inverter-Full Data'!#REF!,"'")</f>
        <v>#REF!</v>
      </c>
    </row>
    <row r="2516" spans="1:1">
      <c r="A2516" s="2" t="e">
        <f>CONCATENATE("'",'Inverter-Full Data'!#REF!,"     ",'Inverter-Full Data'!#REF!,",",'Inverter-Full Data'!#REF!,",",'Inverter-Full Data'!#REF!,",",'Inverter-Full Data'!#REF!,"'")</f>
        <v>#REF!</v>
      </c>
    </row>
    <row r="2517" spans="1:1">
      <c r="A2517" s="2" t="e">
        <f>CONCATENATE("'",'Inverter-Full Data'!#REF!,"     ",'Inverter-Full Data'!#REF!,",",'Inverter-Full Data'!#REF!,",",'Inverter-Full Data'!#REF!,",",'Inverter-Full Data'!#REF!,"'")</f>
        <v>#REF!</v>
      </c>
    </row>
    <row r="2518" spans="1:1">
      <c r="A2518" s="2" t="e">
        <f>CONCATENATE("'",'Inverter-Full Data'!#REF!,"     ",'Inverter-Full Data'!#REF!,",",'Inverter-Full Data'!#REF!,",",'Inverter-Full Data'!#REF!,",",'Inverter-Full Data'!#REF!,"'")</f>
        <v>#REF!</v>
      </c>
    </row>
    <row r="2519" spans="1:1">
      <c r="A2519" s="2" t="e">
        <f>CONCATENATE("'",'Inverter-Full Data'!#REF!,"     ",'Inverter-Full Data'!#REF!,",",'Inverter-Full Data'!#REF!,",",'Inverter-Full Data'!#REF!,",",'Inverter-Full Data'!#REF!,"'")</f>
        <v>#REF!</v>
      </c>
    </row>
    <row r="2520" spans="1:1">
      <c r="A2520" s="2" t="e">
        <f>CONCATENATE("'",'Inverter-Full Data'!#REF!,"     ",'Inverter-Full Data'!#REF!,",",'Inverter-Full Data'!#REF!,",",'Inverter-Full Data'!#REF!,",",'Inverter-Full Data'!#REF!,"'")</f>
        <v>#REF!</v>
      </c>
    </row>
    <row r="2521" spans="1:1">
      <c r="A2521" s="2" t="e">
        <f>CONCATENATE("'",'Inverter-Full Data'!#REF!,"     ",'Inverter-Full Data'!#REF!,",",'Inverter-Full Data'!#REF!,",",'Inverter-Full Data'!#REF!,",",'Inverter-Full Data'!#REF!,"'")</f>
        <v>#REF!</v>
      </c>
    </row>
    <row r="2522" spans="1:1">
      <c r="A2522" s="2" t="e">
        <f>CONCATENATE("'",'Inverter-Full Data'!#REF!,"     ",'Inverter-Full Data'!#REF!,",",'Inverter-Full Data'!#REF!,",",'Inverter-Full Data'!#REF!,",",'Inverter-Full Data'!#REF!,"'")</f>
        <v>#REF!</v>
      </c>
    </row>
    <row r="2523" spans="1:1">
      <c r="A2523" s="2" t="e">
        <f>CONCATENATE("'",'Inverter-Full Data'!#REF!,"     ",'Inverter-Full Data'!#REF!,",",'Inverter-Full Data'!#REF!,",",'Inverter-Full Data'!#REF!,",",'Inverter-Full Data'!#REF!,"'")</f>
        <v>#REF!</v>
      </c>
    </row>
    <row r="2524" spans="1:1">
      <c r="A2524" s="2" t="e">
        <f>CONCATENATE("'",'Inverter-Full Data'!#REF!,"     ",'Inverter-Full Data'!#REF!,",",'Inverter-Full Data'!#REF!,",",'Inverter-Full Data'!#REF!,",",'Inverter-Full Data'!#REF!,"'")</f>
        <v>#REF!</v>
      </c>
    </row>
    <row r="2525" spans="1:1">
      <c r="A2525" s="2" t="e">
        <f>CONCATENATE("'",'Inverter-Full Data'!#REF!,"     ",'Inverter-Full Data'!#REF!,",",'Inverter-Full Data'!#REF!,",",'Inverter-Full Data'!#REF!,",",'Inverter-Full Data'!#REF!,"'")</f>
        <v>#REF!</v>
      </c>
    </row>
    <row r="2526" spans="1:1">
      <c r="A2526" s="2" t="e">
        <f>CONCATENATE("'",'Inverter-Full Data'!#REF!,"     ",'Inverter-Full Data'!#REF!,",",'Inverter-Full Data'!#REF!,",",'Inverter-Full Data'!#REF!,",",'Inverter-Full Data'!#REF!,"'")</f>
        <v>#REF!</v>
      </c>
    </row>
    <row r="2527" spans="1:1">
      <c r="A2527" s="2" t="e">
        <f>CONCATENATE("'",'Inverter-Full Data'!#REF!,"     ",'Inverter-Full Data'!#REF!,",",'Inverter-Full Data'!#REF!,",",'Inverter-Full Data'!#REF!,",",'Inverter-Full Data'!#REF!,"'")</f>
        <v>#REF!</v>
      </c>
    </row>
    <row r="2528" spans="1:1">
      <c r="A2528" s="2" t="e">
        <f>CONCATENATE("'",'Inverter-Full Data'!#REF!,"     ",'Inverter-Full Data'!#REF!,",",'Inverter-Full Data'!#REF!,",",'Inverter-Full Data'!#REF!,",",'Inverter-Full Data'!#REF!,"'")</f>
        <v>#REF!</v>
      </c>
    </row>
    <row r="2529" spans="1:1">
      <c r="A2529" s="2" t="e">
        <f>CONCATENATE("'",'Inverter-Full Data'!#REF!,"     ",'Inverter-Full Data'!#REF!,",",'Inverter-Full Data'!#REF!,",",'Inverter-Full Data'!#REF!,",",'Inverter-Full Data'!#REF!,"'")</f>
        <v>#REF!</v>
      </c>
    </row>
    <row r="2530" spans="1:1">
      <c r="A2530" s="2" t="e">
        <f>CONCATENATE("'",'Inverter-Full Data'!#REF!,"     ",'Inverter-Full Data'!#REF!,",",'Inverter-Full Data'!#REF!,",",'Inverter-Full Data'!#REF!,",",'Inverter-Full Data'!#REF!,"'")</f>
        <v>#REF!</v>
      </c>
    </row>
    <row r="2531" spans="1:1">
      <c r="A2531" s="2" t="e">
        <f>CONCATENATE("'",'Inverter-Full Data'!#REF!,"     ",'Inverter-Full Data'!#REF!,",",'Inverter-Full Data'!#REF!,",",'Inverter-Full Data'!#REF!,",",'Inverter-Full Data'!#REF!,"'")</f>
        <v>#REF!</v>
      </c>
    </row>
    <row r="2532" spans="1:1">
      <c r="A2532" s="2" t="e">
        <f>CONCATENATE("'",'Inverter-Full Data'!#REF!,"     ",'Inverter-Full Data'!#REF!,",",'Inverter-Full Data'!#REF!,",",'Inverter-Full Data'!#REF!,",",'Inverter-Full Data'!#REF!,"'")</f>
        <v>#REF!</v>
      </c>
    </row>
    <row r="2533" spans="1:1">
      <c r="A2533" s="2" t="e">
        <f>CONCATENATE("'",'Inverter-Full Data'!#REF!,"     ",'Inverter-Full Data'!#REF!,",",'Inverter-Full Data'!#REF!,",",'Inverter-Full Data'!#REF!,",",'Inverter-Full Data'!#REF!,"'")</f>
        <v>#REF!</v>
      </c>
    </row>
    <row r="2534" spans="1:1">
      <c r="A2534" s="2" t="e">
        <f>CONCATENATE("'",'Inverter-Full Data'!#REF!,"     ",'Inverter-Full Data'!#REF!,",",'Inverter-Full Data'!#REF!,",",'Inverter-Full Data'!#REF!,",",'Inverter-Full Data'!#REF!,"'")</f>
        <v>#REF!</v>
      </c>
    </row>
    <row r="2535" spans="1:1">
      <c r="A2535" s="2" t="e">
        <f>CONCATENATE("'",'Inverter-Full Data'!#REF!,"     ",'Inverter-Full Data'!#REF!,",",'Inverter-Full Data'!#REF!,",",'Inverter-Full Data'!#REF!,",",'Inverter-Full Data'!#REF!,"'")</f>
        <v>#REF!</v>
      </c>
    </row>
    <row r="2536" spans="1:1">
      <c r="A2536" s="2" t="e">
        <f>CONCATENATE("'",'Inverter-Full Data'!#REF!,"     ",'Inverter-Full Data'!#REF!,",",'Inverter-Full Data'!#REF!,",",'Inverter-Full Data'!#REF!,",",'Inverter-Full Data'!#REF!,"'")</f>
        <v>#REF!</v>
      </c>
    </row>
    <row r="2537" spans="1:1">
      <c r="A2537" s="2" t="e">
        <f>CONCATENATE("'",'Inverter-Full Data'!#REF!,"     ",'Inverter-Full Data'!#REF!,",",'Inverter-Full Data'!#REF!,",",'Inverter-Full Data'!#REF!,",",'Inverter-Full Data'!#REF!,"'")</f>
        <v>#REF!</v>
      </c>
    </row>
    <row r="2538" spans="1:1">
      <c r="A2538" s="2" t="e">
        <f>CONCATENATE("'",'Inverter-Full Data'!#REF!,"     ",'Inverter-Full Data'!#REF!,",",'Inverter-Full Data'!#REF!,",",'Inverter-Full Data'!#REF!,",",'Inverter-Full Data'!#REF!,"'")</f>
        <v>#REF!</v>
      </c>
    </row>
    <row r="2539" spans="1:1">
      <c r="A2539" s="2" t="e">
        <f>CONCATENATE("'",'Inverter-Full Data'!#REF!,"     ",'Inverter-Full Data'!#REF!,",",'Inverter-Full Data'!#REF!,",",'Inverter-Full Data'!#REF!,",",'Inverter-Full Data'!#REF!,"'")</f>
        <v>#REF!</v>
      </c>
    </row>
    <row r="2540" spans="1:1">
      <c r="A2540" s="2" t="e">
        <f>CONCATENATE("'",'Inverter-Full Data'!#REF!,"     ",'Inverter-Full Data'!#REF!,",",'Inverter-Full Data'!#REF!,",",'Inverter-Full Data'!#REF!,",",'Inverter-Full Data'!#REF!,"'")</f>
        <v>#REF!</v>
      </c>
    </row>
    <row r="2541" spans="1:1">
      <c r="A2541" s="2" t="str">
        <f>CONCATENATE("'",'Inverter-Full Data'!A363,"     ",'Inverter-Full Data'!B363,",",'Inverter-Full Data'!S363,",",'Inverter-Full Data'!J363,",",'Inverter-Full Data'!T363,"'")</f>
        <v>'Jinko Solar Co.,Ltd.     JKMS330M-60L-EP [208V],N,97,Y'</v>
      </c>
    </row>
    <row r="2542" spans="1:1">
      <c r="A2542" s="2" t="str">
        <f>CONCATENATE("'",'Inverter-Full Data'!A364,"     ",'Inverter-Full Data'!B364,",",'Inverter-Full Data'!S364,",",'Inverter-Full Data'!J364,",",'Inverter-Full Data'!T364,"'")</f>
        <v>'Jinko Solar Co.,Ltd.     JKMS330M-60L-EP [240V],N,97,Y'</v>
      </c>
    </row>
    <row r="2543" spans="1:1">
      <c r="A2543" s="2" t="e">
        <f>CONCATENATE("'",'Inverter-Full Data'!#REF!,"     ",'Inverter-Full Data'!#REF!,",",'Inverter-Full Data'!#REF!,",",'Inverter-Full Data'!#REF!,",",'Inverter-Full Data'!#REF!,"'")</f>
        <v>#REF!</v>
      </c>
    </row>
    <row r="2544" spans="1:1">
      <c r="A2544" s="2" t="e">
        <f>CONCATENATE("'",'Inverter-Full Data'!#REF!,"     ",'Inverter-Full Data'!#REF!,",",'Inverter-Full Data'!#REF!,",",'Inverter-Full Data'!#REF!,",",'Inverter-Full Data'!#REF!,"'")</f>
        <v>#REF!</v>
      </c>
    </row>
    <row r="2545" spans="1:1">
      <c r="A2545" s="2" t="e">
        <f>CONCATENATE("'",'Inverter-Full Data'!#REF!,"     ",'Inverter-Full Data'!#REF!,",",'Inverter-Full Data'!#REF!,",",'Inverter-Full Data'!#REF!,",",'Inverter-Full Data'!#REF!,"'")</f>
        <v>#REF!</v>
      </c>
    </row>
    <row r="2546" spans="1:1">
      <c r="A2546" s="2" t="e">
        <f>CONCATENATE("'",'Inverter-Full Data'!#REF!,"     ",'Inverter-Full Data'!#REF!,",",'Inverter-Full Data'!#REF!,",",'Inverter-Full Data'!#REF!,",",'Inverter-Full Data'!#REF!,"'")</f>
        <v>#REF!</v>
      </c>
    </row>
    <row r="2547" spans="1:1">
      <c r="A2547" s="2" t="e">
        <f>CONCATENATE("'",'Inverter-Full Data'!#REF!,"     ",'Inverter-Full Data'!#REF!,",",'Inverter-Full Data'!#REF!,",",'Inverter-Full Data'!#REF!,",",'Inverter-Full Data'!#REF!,"'")</f>
        <v>#REF!</v>
      </c>
    </row>
    <row r="2548" spans="1:1">
      <c r="A2548" s="2" t="e">
        <f>CONCATENATE("'",'Inverter-Full Data'!#REF!,"     ",'Inverter-Full Data'!#REF!,",",'Inverter-Full Data'!#REF!,",",'Inverter-Full Data'!#REF!,",",'Inverter-Full Data'!#REF!,"'")</f>
        <v>#REF!</v>
      </c>
    </row>
    <row r="2549" spans="1:1">
      <c r="A2549" s="2" t="e">
        <f>CONCATENATE("'",'Inverter-Full Data'!#REF!,"     ",'Inverter-Full Data'!#REF!,",",'Inverter-Full Data'!#REF!,",",'Inverter-Full Data'!#REF!,",",'Inverter-Full Data'!#REF!,"'")</f>
        <v>#REF!</v>
      </c>
    </row>
    <row r="2550" spans="1:1">
      <c r="A2550" s="2" t="e">
        <f>CONCATENATE("'",'Inverter-Full Data'!#REF!,"     ",'Inverter-Full Data'!#REF!,",",'Inverter-Full Data'!#REF!,",",'Inverter-Full Data'!#REF!,",",'Inverter-Full Data'!#REF!,"'")</f>
        <v>#REF!</v>
      </c>
    </row>
    <row r="2551" spans="1:1">
      <c r="A2551" s="2" t="e">
        <f>CONCATENATE("'",'Inverter-Full Data'!#REF!,"     ",'Inverter-Full Data'!#REF!,",",'Inverter-Full Data'!#REF!,",",'Inverter-Full Data'!#REF!,",",'Inverter-Full Data'!#REF!,"'")</f>
        <v>#REF!</v>
      </c>
    </row>
    <row r="2552" spans="1:1">
      <c r="A2552" s="2" t="e">
        <f>CONCATENATE("'",'Inverter-Full Data'!#REF!,"     ",'Inverter-Full Data'!#REF!,",",'Inverter-Full Data'!#REF!,",",'Inverter-Full Data'!#REF!,",",'Inverter-Full Data'!#REF!,"'")</f>
        <v>#REF!</v>
      </c>
    </row>
    <row r="2553" spans="1:1">
      <c r="A2553" s="2" t="e">
        <f>CONCATENATE("'",'Inverter-Full Data'!#REF!,"     ",'Inverter-Full Data'!#REF!,",",'Inverter-Full Data'!#REF!,",",'Inverter-Full Data'!#REF!,",",'Inverter-Full Data'!#REF!,"'")</f>
        <v>#REF!</v>
      </c>
    </row>
    <row r="2554" spans="1:1">
      <c r="A2554" s="2" t="e">
        <f>CONCATENATE("'",'Inverter-Full Data'!#REF!,"     ",'Inverter-Full Data'!#REF!,",",'Inverter-Full Data'!#REF!,",",'Inverter-Full Data'!#REF!,",",'Inverter-Full Data'!#REF!,"'")</f>
        <v>#REF!</v>
      </c>
    </row>
    <row r="2555" spans="1:1">
      <c r="A2555" s="2" t="e">
        <f>CONCATENATE("'",'Inverter-Full Data'!#REF!,"     ",'Inverter-Full Data'!#REF!,",",'Inverter-Full Data'!#REF!,",",'Inverter-Full Data'!#REF!,",",'Inverter-Full Data'!#REF!,"'")</f>
        <v>#REF!</v>
      </c>
    </row>
    <row r="2556" spans="1:1">
      <c r="A2556" s="2" t="e">
        <f>CONCATENATE("'",'Inverter-Full Data'!#REF!,"     ",'Inverter-Full Data'!#REF!,",",'Inverter-Full Data'!#REF!,",",'Inverter-Full Data'!#REF!,",",'Inverter-Full Data'!#REF!,"'")</f>
        <v>#REF!</v>
      </c>
    </row>
    <row r="2557" spans="1:1">
      <c r="A2557" s="2" t="e">
        <f>CONCATENATE("'",'Inverter-Full Data'!#REF!,"     ",'Inverter-Full Data'!#REF!,",",'Inverter-Full Data'!#REF!,",",'Inverter-Full Data'!#REF!,",",'Inverter-Full Data'!#REF!,"'")</f>
        <v>#REF!</v>
      </c>
    </row>
    <row r="2558" spans="1:1">
      <c r="A2558" s="2" t="e">
        <f>CONCATENATE("'",'Inverter-Full Data'!#REF!,"     ",'Inverter-Full Data'!#REF!,",",'Inverter-Full Data'!#REF!,",",'Inverter-Full Data'!#REF!,",",'Inverter-Full Data'!#REF!,"'")</f>
        <v>#REF!</v>
      </c>
    </row>
    <row r="2559" spans="1:1">
      <c r="A2559" s="2" t="e">
        <f>CONCATENATE("'",'Inverter-Full Data'!#REF!,"     ",'Inverter-Full Data'!#REF!,",",'Inverter-Full Data'!#REF!,",",'Inverter-Full Data'!#REF!,",",'Inverter-Full Data'!#REF!,"'")</f>
        <v>#REF!</v>
      </c>
    </row>
    <row r="2560" spans="1:1">
      <c r="A2560" s="2" t="e">
        <f>CONCATENATE("'",'Inverter-Full Data'!#REF!,"     ",'Inverter-Full Data'!#REF!,",",'Inverter-Full Data'!#REF!,",",'Inverter-Full Data'!#REF!,",",'Inverter-Full Data'!#REF!,"'")</f>
        <v>#REF!</v>
      </c>
    </row>
    <row r="2561" spans="1:1">
      <c r="A2561" s="2" t="e">
        <f>CONCATENATE("'",'Inverter-Full Data'!#REF!,"     ",'Inverter-Full Data'!#REF!,",",'Inverter-Full Data'!#REF!,",",'Inverter-Full Data'!#REF!,",",'Inverter-Full Data'!#REF!,"'")</f>
        <v>#REF!</v>
      </c>
    </row>
    <row r="2562" spans="1:1">
      <c r="A2562" s="2" t="e">
        <f>CONCATENATE("'",'Inverter-Full Data'!#REF!,"     ",'Inverter-Full Data'!#REF!,",",'Inverter-Full Data'!#REF!,",",'Inverter-Full Data'!#REF!,",",'Inverter-Full Data'!#REF!,"'")</f>
        <v>#REF!</v>
      </c>
    </row>
    <row r="2563" spans="1:1">
      <c r="A2563" s="2" t="e">
        <f>CONCATENATE("'",'Inverter-Full Data'!#REF!,"     ",'Inverter-Full Data'!#REF!,",",'Inverter-Full Data'!#REF!,",",'Inverter-Full Data'!#REF!,",",'Inverter-Full Data'!#REF!,"'")</f>
        <v>#REF!</v>
      </c>
    </row>
    <row r="2564" spans="1:1">
      <c r="A2564" s="2" t="e">
        <f>CONCATENATE("'",'Inverter-Full Data'!#REF!,"     ",'Inverter-Full Data'!#REF!,",",'Inverter-Full Data'!#REF!,",",'Inverter-Full Data'!#REF!,",",'Inverter-Full Data'!#REF!,"'")</f>
        <v>#REF!</v>
      </c>
    </row>
    <row r="2565" spans="1:1">
      <c r="A2565" s="2" t="e">
        <f>CONCATENATE("'",'Inverter-Full Data'!#REF!,"     ",'Inverter-Full Data'!#REF!,",",'Inverter-Full Data'!#REF!,",",'Inverter-Full Data'!#REF!,",",'Inverter-Full Data'!#REF!,"'")</f>
        <v>#REF!</v>
      </c>
    </row>
    <row r="2566" spans="1:1">
      <c r="A2566" s="2" t="e">
        <f>CONCATENATE("'",'Inverter-Full Data'!#REF!,"     ",'Inverter-Full Data'!#REF!,",",'Inverter-Full Data'!#REF!,",",'Inverter-Full Data'!#REF!,",",'Inverter-Full Data'!#REF!,"'")</f>
        <v>#REF!</v>
      </c>
    </row>
    <row r="2567" spans="1:1">
      <c r="A2567" s="2" t="e">
        <f>CONCATENATE("'",'Inverter-Full Data'!#REF!,"     ",'Inverter-Full Data'!#REF!,",",'Inverter-Full Data'!#REF!,",",'Inverter-Full Data'!#REF!,",",'Inverter-Full Data'!#REF!,"'")</f>
        <v>#REF!</v>
      </c>
    </row>
    <row r="2568" spans="1:1">
      <c r="A2568" s="2" t="e">
        <f>CONCATENATE("'",'Inverter-Full Data'!#REF!,"     ",'Inverter-Full Data'!#REF!,",",'Inverter-Full Data'!#REF!,",",'Inverter-Full Data'!#REF!,",",'Inverter-Full Data'!#REF!,"'")</f>
        <v>#REF!</v>
      </c>
    </row>
    <row r="2569" spans="1:1">
      <c r="A2569" s="2" t="e">
        <f>CONCATENATE("'",'Inverter-Full Data'!#REF!,"     ",'Inverter-Full Data'!#REF!,",",'Inverter-Full Data'!#REF!,",",'Inverter-Full Data'!#REF!,",",'Inverter-Full Data'!#REF!,"'")</f>
        <v>#REF!</v>
      </c>
    </row>
    <row r="2570" spans="1:1">
      <c r="A2570" s="2" t="e">
        <f>CONCATENATE("'",'Inverter-Full Data'!#REF!,"     ",'Inverter-Full Data'!#REF!,",",'Inverter-Full Data'!#REF!,",",'Inverter-Full Data'!#REF!,",",'Inverter-Full Data'!#REF!,"'")</f>
        <v>#REF!</v>
      </c>
    </row>
    <row r="2571" spans="1:1">
      <c r="A2571" s="2" t="e">
        <f>CONCATENATE("'",'Inverter-Full Data'!#REF!,"     ",'Inverter-Full Data'!#REF!,",",'Inverter-Full Data'!#REF!,",",'Inverter-Full Data'!#REF!,",",'Inverter-Full Data'!#REF!,"'")</f>
        <v>#REF!</v>
      </c>
    </row>
    <row r="2572" spans="1:1">
      <c r="A2572" s="2" t="e">
        <f>CONCATENATE("'",'Inverter-Full Data'!#REF!,"     ",'Inverter-Full Data'!#REF!,",",'Inverter-Full Data'!#REF!,",",'Inverter-Full Data'!#REF!,",",'Inverter-Full Data'!#REF!,"'")</f>
        <v>#REF!</v>
      </c>
    </row>
    <row r="2573" spans="1:1">
      <c r="A2573" s="2" t="e">
        <f>CONCATENATE("'",'Inverter-Full Data'!#REF!,"     ",'Inverter-Full Data'!#REF!,",",'Inverter-Full Data'!#REF!,",",'Inverter-Full Data'!#REF!,",",'Inverter-Full Data'!#REF!,"'")</f>
        <v>#REF!</v>
      </c>
    </row>
    <row r="2574" spans="1:1">
      <c r="A2574" s="2" t="e">
        <f>CONCATENATE("'",'Inverter-Full Data'!#REF!,"     ",'Inverter-Full Data'!#REF!,",",'Inverter-Full Data'!#REF!,",",'Inverter-Full Data'!#REF!,",",'Inverter-Full Data'!#REF!,"'")</f>
        <v>#REF!</v>
      </c>
    </row>
    <row r="2575" spans="1:1">
      <c r="A2575" s="2" t="e">
        <f>CONCATENATE("'",'Inverter-Full Data'!#REF!,"     ",'Inverter-Full Data'!#REF!,",",'Inverter-Full Data'!#REF!,",",'Inverter-Full Data'!#REF!,",",'Inverter-Full Data'!#REF!,"'")</f>
        <v>#REF!</v>
      </c>
    </row>
    <row r="2576" spans="1:1">
      <c r="A2576" s="2" t="e">
        <f>CONCATENATE("'",'Inverter-Full Data'!#REF!,"     ",'Inverter-Full Data'!#REF!,",",'Inverter-Full Data'!#REF!,",",'Inverter-Full Data'!#REF!,",",'Inverter-Full Data'!#REF!,"'")</f>
        <v>#REF!</v>
      </c>
    </row>
    <row r="2577" spans="1:4">
      <c r="A2577" s="2" t="e">
        <f>CONCATENATE("'",'Inverter-Full Data'!#REF!,"     ",'Inverter-Full Data'!#REF!,",",'Inverter-Full Data'!#REF!,",",'Inverter-Full Data'!#REF!,",",'Inverter-Full Data'!#REF!,"'")</f>
        <v>#REF!</v>
      </c>
    </row>
    <row r="2578" spans="1:4">
      <c r="A2578" s="2" t="e">
        <f>CONCATENATE("'",'Inverter-Full Data'!#REF!,"     ",'Inverter-Full Data'!#REF!,",",'Inverter-Full Data'!#REF!,",",'Inverter-Full Data'!#REF!,",",'Inverter-Full Data'!#REF!,"'")</f>
        <v>#REF!</v>
      </c>
    </row>
    <row r="2579" spans="1:4">
      <c r="A2579" s="2" t="e">
        <f>CONCATENATE("'",'Inverter-Full Data'!#REF!,"     ",'Inverter-Full Data'!#REF!,",",'Inverter-Full Data'!#REF!,",",'Inverter-Full Data'!#REF!,",",'Inverter-Full Data'!#REF!,"'")</f>
        <v>#REF!</v>
      </c>
    </row>
    <row r="2580" spans="1:4">
      <c r="A2580" s="2" t="e">
        <f>CONCATENATE("'",'Inverter-Full Data'!#REF!,"     ",'Inverter-Full Data'!#REF!,",",'Inverter-Full Data'!#REF!,",",'Inverter-Full Data'!#REF!,",",'Inverter-Full Data'!#REF!,"'")</f>
        <v>#REF!</v>
      </c>
    </row>
    <row r="2581" spans="1:4">
      <c r="A2581" s="2" t="e">
        <f>CONCATENATE("'",'Inverter-Full Data'!#REF!,"     ",'Inverter-Full Data'!#REF!,",",'Inverter-Full Data'!#REF!,",",'Inverter-Full Data'!#REF!,",",'Inverter-Full Data'!#REF!,"'")</f>
        <v>#REF!</v>
      </c>
    </row>
    <row r="2582" spans="1:4">
      <c r="A2582" s="2" t="e">
        <f>CONCATENATE("'",'Inverter-Full Data'!#REF!,"     ",'Inverter-Full Data'!#REF!,",",'Inverter-Full Data'!#REF!,",",'Inverter-Full Data'!#REF!,",",'Inverter-Full Data'!#REF!,"'")</f>
        <v>#REF!</v>
      </c>
    </row>
    <row r="2583" spans="1:4">
      <c r="A2583" s="2" t="e">
        <f>CONCATENATE("'",'Inverter-Full Data'!#REF!,"     ",'Inverter-Full Data'!#REF!,",",'Inverter-Full Data'!#REF!,",",'Inverter-Full Data'!#REF!,",",'Inverter-Full Data'!#REF!,"'")</f>
        <v>#REF!</v>
      </c>
      <c r="D2583" s="1"/>
    </row>
    <row r="2584" spans="1:4">
      <c r="A2584" s="2" t="e">
        <f>CONCATENATE("'",'Inverter-Full Data'!#REF!,"     ",'Inverter-Full Data'!#REF!,",",'Inverter-Full Data'!#REF!,",",'Inverter-Full Data'!#REF!,",",'Inverter-Full Data'!#REF!,"'")</f>
        <v>#REF!</v>
      </c>
      <c r="D2584" s="1"/>
    </row>
    <row r="2585" spans="1:4">
      <c r="A2585" s="2" t="e">
        <f>CONCATENATE("'",'Inverter-Full Data'!#REF!,"     ",'Inverter-Full Data'!#REF!,",",'Inverter-Full Data'!#REF!,",",'Inverter-Full Data'!#REF!,",",'Inverter-Full Data'!#REF!,"'")</f>
        <v>#REF!</v>
      </c>
      <c r="D2585" s="1"/>
    </row>
    <row r="2586" spans="1:4">
      <c r="A2586" s="2" t="e">
        <f>CONCATENATE("'",'Inverter-Full Data'!#REF!,"     ",'Inverter-Full Data'!#REF!,",",'Inverter-Full Data'!#REF!,",",'Inverter-Full Data'!#REF!,",",'Inverter-Full Data'!#REF!,"'")</f>
        <v>#REF!</v>
      </c>
      <c r="D2586" s="1"/>
    </row>
    <row r="2587" spans="1:4">
      <c r="A2587" s="2" t="e">
        <f>CONCATENATE("'",'Inverter-Full Data'!#REF!,"     ",'Inverter-Full Data'!#REF!,",",'Inverter-Full Data'!#REF!,",",'Inverter-Full Data'!#REF!,",",'Inverter-Full Data'!#REF!,"'")</f>
        <v>#REF!</v>
      </c>
    </row>
    <row r="2588" spans="1:4">
      <c r="A2588" s="2" t="e">
        <f>CONCATENATE("'",'Inverter-Full Data'!#REF!,"     ",'Inverter-Full Data'!#REF!,",",'Inverter-Full Data'!#REF!,",",'Inverter-Full Data'!#REF!,",",'Inverter-Full Data'!#REF!,"'")</f>
        <v>#REF!</v>
      </c>
    </row>
    <row r="2589" spans="1:4">
      <c r="A2589" s="2" t="e">
        <f>CONCATENATE("'",'Inverter-Full Data'!#REF!,"     ",'Inverter-Full Data'!#REF!,",",'Inverter-Full Data'!#REF!,",",'Inverter-Full Data'!#REF!,",",'Inverter-Full Data'!#REF!,"'")</f>
        <v>#REF!</v>
      </c>
    </row>
    <row r="2590" spans="1:4">
      <c r="A2590" s="2" t="e">
        <f>CONCATENATE("'",'Inverter-Full Data'!#REF!,"     ",'Inverter-Full Data'!#REF!,",",'Inverter-Full Data'!#REF!,",",'Inverter-Full Data'!#REF!,",",'Inverter-Full Data'!#REF!,"'")</f>
        <v>#REF!</v>
      </c>
    </row>
    <row r="2591" spans="1:4">
      <c r="A2591" s="2" t="e">
        <f>CONCATENATE("'",'Inverter-Full Data'!#REF!,"     ",'Inverter-Full Data'!#REF!,",",'Inverter-Full Data'!#REF!,",",'Inverter-Full Data'!#REF!,",",'Inverter-Full Data'!#REF!,"'")</f>
        <v>#REF!</v>
      </c>
    </row>
    <row r="2592" spans="1:4">
      <c r="A2592" s="2" t="e">
        <f>CONCATENATE("'",'Inverter-Full Data'!#REF!,"     ",'Inverter-Full Data'!#REF!,",",'Inverter-Full Data'!#REF!,",",'Inverter-Full Data'!#REF!,",",'Inverter-Full Data'!#REF!,"'")</f>
        <v>#REF!</v>
      </c>
    </row>
    <row r="2593" spans="1:1">
      <c r="A2593" s="2" t="e">
        <f>CONCATENATE("'",'Inverter-Full Data'!#REF!,"     ",'Inverter-Full Data'!#REF!,",",'Inverter-Full Data'!#REF!,",",'Inverter-Full Data'!#REF!,",",'Inverter-Full Data'!#REF!,"'")</f>
        <v>#REF!</v>
      </c>
    </row>
    <row r="2594" spans="1:1">
      <c r="A2594" s="2" t="e">
        <f>CONCATENATE("'",'Inverter-Full Data'!#REF!,"     ",'Inverter-Full Data'!#REF!,",",'Inverter-Full Data'!#REF!,",",'Inverter-Full Data'!#REF!,",",'Inverter-Full Data'!#REF!,"'")</f>
        <v>#REF!</v>
      </c>
    </row>
    <row r="2595" spans="1:1">
      <c r="A2595" s="2" t="e">
        <f>CONCATENATE("'",'Inverter-Full Data'!#REF!,"     ",'Inverter-Full Data'!#REF!,",",'Inverter-Full Data'!#REF!,",",'Inverter-Full Data'!#REF!,",",'Inverter-Full Data'!#REF!,"'")</f>
        <v>#REF!</v>
      </c>
    </row>
    <row r="2596" spans="1:1">
      <c r="A2596" s="2" t="e">
        <f>CONCATENATE("'",'Inverter-Full Data'!#REF!,"     ",'Inverter-Full Data'!#REF!,",",'Inverter-Full Data'!#REF!,",",'Inverter-Full Data'!#REF!,",",'Inverter-Full Data'!#REF!,"'")</f>
        <v>#REF!</v>
      </c>
    </row>
    <row r="2597" spans="1:1">
      <c r="A2597" s="2" t="e">
        <f>CONCATENATE("'",'Inverter-Full Data'!#REF!,"     ",'Inverter-Full Data'!#REF!,",",'Inverter-Full Data'!#REF!,",",'Inverter-Full Data'!#REF!,",",'Inverter-Full Data'!#REF!,"'")</f>
        <v>#REF!</v>
      </c>
    </row>
    <row r="2598" spans="1:1">
      <c r="A2598" s="2" t="e">
        <f>CONCATENATE("'",'Inverter-Full Data'!#REF!,"     ",'Inverter-Full Data'!#REF!,",",'Inverter-Full Data'!#REF!,",",'Inverter-Full Data'!#REF!,",",'Inverter-Full Data'!#REF!,"'")</f>
        <v>#REF!</v>
      </c>
    </row>
    <row r="2599" spans="1:1">
      <c r="A2599" s="2" t="e">
        <f>CONCATENATE("'",'Inverter-Full Data'!#REF!,"     ",'Inverter-Full Data'!#REF!,",",'Inverter-Full Data'!#REF!,",",'Inverter-Full Data'!#REF!,",",'Inverter-Full Data'!#REF!,"'")</f>
        <v>#REF!</v>
      </c>
    </row>
    <row r="2600" spans="1:1">
      <c r="A2600" s="2" t="e">
        <f>CONCATENATE("'",'Inverter-Full Data'!#REF!,"     ",'Inverter-Full Data'!#REF!,",",'Inverter-Full Data'!#REF!,",",'Inverter-Full Data'!#REF!,",",'Inverter-Full Data'!#REF!,"'")</f>
        <v>#REF!</v>
      </c>
    </row>
    <row r="2601" spans="1:1">
      <c r="A2601" s="2" t="e">
        <f>CONCATENATE("'",'Inverter-Full Data'!#REF!,"     ",'Inverter-Full Data'!#REF!,",",'Inverter-Full Data'!#REF!,",",'Inverter-Full Data'!#REF!,",",'Inverter-Full Data'!#REF!,"'")</f>
        <v>#REF!</v>
      </c>
    </row>
    <row r="2602" spans="1:1">
      <c r="A2602" s="2" t="e">
        <f>CONCATENATE("'",'Inverter-Full Data'!#REF!,"     ",'Inverter-Full Data'!#REF!,",",'Inverter-Full Data'!#REF!,",",'Inverter-Full Data'!#REF!,",",'Inverter-Full Data'!#REF!,"'")</f>
        <v>#REF!</v>
      </c>
    </row>
    <row r="2603" spans="1:1">
      <c r="A2603" s="2" t="e">
        <f>CONCATENATE("'",'Inverter-Full Data'!#REF!,"     ",'Inverter-Full Data'!#REF!,",",'Inverter-Full Data'!#REF!,",",'Inverter-Full Data'!#REF!,",",'Inverter-Full Data'!#REF!,"'")</f>
        <v>#REF!</v>
      </c>
    </row>
    <row r="2604" spans="1:1">
      <c r="A2604" s="2" t="e">
        <f>CONCATENATE("'",'Inverter-Full Data'!#REF!,"     ",'Inverter-Full Data'!#REF!,",",'Inverter-Full Data'!#REF!,",",'Inverter-Full Data'!#REF!,",",'Inverter-Full Data'!#REF!,"'")</f>
        <v>#REF!</v>
      </c>
    </row>
    <row r="2605" spans="1:1">
      <c r="A2605" s="2" t="e">
        <f>CONCATENATE("'",'Inverter-Full Data'!#REF!,"     ",'Inverter-Full Data'!#REF!,",",'Inverter-Full Data'!#REF!,",",'Inverter-Full Data'!#REF!,",",'Inverter-Full Data'!#REF!,"'")</f>
        <v>#REF!</v>
      </c>
    </row>
    <row r="2606" spans="1:1">
      <c r="A2606" s="2" t="e">
        <f>CONCATENATE("'",'Inverter-Full Data'!#REF!,"     ",'Inverter-Full Data'!#REF!,",",'Inverter-Full Data'!#REF!,",",'Inverter-Full Data'!#REF!,",",'Inverter-Full Data'!#REF!,"'")</f>
        <v>#REF!</v>
      </c>
    </row>
    <row r="2607" spans="1:1">
      <c r="A2607" s="2" t="e">
        <f>CONCATENATE("'",'Inverter-Full Data'!#REF!,"     ",'Inverter-Full Data'!#REF!,",",'Inverter-Full Data'!#REF!,",",'Inverter-Full Data'!#REF!,",",'Inverter-Full Data'!#REF!,"'")</f>
        <v>#REF!</v>
      </c>
    </row>
    <row r="2608" spans="1:1">
      <c r="A2608" s="2" t="e">
        <f>CONCATENATE("'",'Inverter-Full Data'!#REF!,"     ",'Inverter-Full Data'!#REF!,",",'Inverter-Full Data'!#REF!,",",'Inverter-Full Data'!#REF!,",",'Inverter-Full Data'!#REF!,"'")</f>
        <v>#REF!</v>
      </c>
    </row>
    <row r="2609" spans="1:1">
      <c r="A2609" s="2" t="e">
        <f>CONCATENATE("'",'Inverter-Full Data'!#REF!,"     ",'Inverter-Full Data'!#REF!,",",'Inverter-Full Data'!#REF!,",",'Inverter-Full Data'!#REF!,",",'Inverter-Full Data'!#REF!,"'")</f>
        <v>#REF!</v>
      </c>
    </row>
    <row r="2610" spans="1:1">
      <c r="A2610" s="2" t="e">
        <f>CONCATENATE("'",'Inverter-Full Data'!#REF!,"     ",'Inverter-Full Data'!#REF!,",",'Inverter-Full Data'!#REF!,",",'Inverter-Full Data'!#REF!,",",'Inverter-Full Data'!#REF!,"'")</f>
        <v>#REF!</v>
      </c>
    </row>
    <row r="2611" spans="1:1">
      <c r="A2611" s="2" t="e">
        <f>CONCATENATE("'",'Inverter-Full Data'!#REF!,"     ",'Inverter-Full Data'!#REF!,",",'Inverter-Full Data'!#REF!,",",'Inverter-Full Data'!#REF!,",",'Inverter-Full Data'!#REF!,"'")</f>
        <v>#REF!</v>
      </c>
    </row>
    <row r="2612" spans="1:1">
      <c r="A2612" s="2" t="e">
        <f>CONCATENATE("'",'Inverter-Full Data'!#REF!,"     ",'Inverter-Full Data'!#REF!,",",'Inverter-Full Data'!#REF!,",",'Inverter-Full Data'!#REF!,",",'Inverter-Full Data'!#REF!,"'")</f>
        <v>#REF!</v>
      </c>
    </row>
    <row r="2613" spans="1:1">
      <c r="A2613" s="2" t="e">
        <f>CONCATENATE("'",'Inverter-Full Data'!#REF!,"     ",'Inverter-Full Data'!#REF!,",",'Inverter-Full Data'!#REF!,",",'Inverter-Full Data'!#REF!,",",'Inverter-Full Data'!#REF!,"'")</f>
        <v>#REF!</v>
      </c>
    </row>
    <row r="2614" spans="1:1">
      <c r="A2614" s="2" t="e">
        <f>CONCATENATE("'",'Inverter-Full Data'!#REF!,"     ",'Inverter-Full Data'!#REF!,",",'Inverter-Full Data'!#REF!,",",'Inverter-Full Data'!#REF!,",",'Inverter-Full Data'!#REF!,"'")</f>
        <v>#REF!</v>
      </c>
    </row>
    <row r="2615" spans="1:1">
      <c r="A2615" s="2" t="e">
        <f>CONCATENATE("'",'Inverter-Full Data'!#REF!,"     ",'Inverter-Full Data'!#REF!,",",'Inverter-Full Data'!#REF!,",",'Inverter-Full Data'!#REF!,",",'Inverter-Full Data'!#REF!,"'")</f>
        <v>#REF!</v>
      </c>
    </row>
    <row r="2616" spans="1:1">
      <c r="A2616" s="2" t="e">
        <f>CONCATENATE("'",'Inverter-Full Data'!#REF!,"     ",'Inverter-Full Data'!#REF!,",",'Inverter-Full Data'!#REF!,",",'Inverter-Full Data'!#REF!,",",'Inverter-Full Data'!#REF!,"'")</f>
        <v>#REF!</v>
      </c>
    </row>
    <row r="2617" spans="1:1">
      <c r="A2617" s="2" t="e">
        <f>CONCATENATE("'",'Inverter-Full Data'!#REF!,"     ",'Inverter-Full Data'!#REF!,",",'Inverter-Full Data'!#REF!,",",'Inverter-Full Data'!#REF!,",",'Inverter-Full Data'!#REF!,"'")</f>
        <v>#REF!</v>
      </c>
    </row>
    <row r="2618" spans="1:1">
      <c r="A2618" s="2" t="e">
        <f>CONCATENATE("'",'Inverter-Full Data'!#REF!,"     ",'Inverter-Full Data'!#REF!,",",'Inverter-Full Data'!#REF!,",",'Inverter-Full Data'!#REF!,",",'Inverter-Full Data'!#REF!,"'")</f>
        <v>#REF!</v>
      </c>
    </row>
    <row r="2619" spans="1:1">
      <c r="A2619" s="2" t="e">
        <f>CONCATENATE("'",'Inverter-Full Data'!#REF!,"     ",'Inverter-Full Data'!#REF!,",",'Inverter-Full Data'!#REF!,",",'Inverter-Full Data'!#REF!,",",'Inverter-Full Data'!#REF!,"'")</f>
        <v>#REF!</v>
      </c>
    </row>
    <row r="2620" spans="1:1">
      <c r="A2620" s="2" t="e">
        <f>CONCATENATE("'",'Inverter-Full Data'!#REF!,"     ",'Inverter-Full Data'!#REF!,",",'Inverter-Full Data'!#REF!,",",'Inverter-Full Data'!#REF!,",",'Inverter-Full Data'!#REF!,"'")</f>
        <v>#REF!</v>
      </c>
    </row>
    <row r="2621" spans="1:1">
      <c r="A2621" s="2" t="e">
        <f>CONCATENATE("'",'Inverter-Full Data'!#REF!,"     ",'Inverter-Full Data'!#REF!,",",'Inverter-Full Data'!#REF!,",",'Inverter-Full Data'!#REF!,",",'Inverter-Full Data'!#REF!,"'")</f>
        <v>#REF!</v>
      </c>
    </row>
    <row r="2622" spans="1:1">
      <c r="A2622" s="2" t="e">
        <f>CONCATENATE("'",'Inverter-Full Data'!#REF!,"     ",'Inverter-Full Data'!#REF!,",",'Inverter-Full Data'!#REF!,",",'Inverter-Full Data'!#REF!,",",'Inverter-Full Data'!#REF!,"'")</f>
        <v>#REF!</v>
      </c>
    </row>
    <row r="2623" spans="1:1">
      <c r="A2623" s="2" t="e">
        <f>CONCATENATE("'",'Inverter-Full Data'!#REF!,"     ",'Inverter-Full Data'!#REF!,",",'Inverter-Full Data'!#REF!,",",'Inverter-Full Data'!#REF!,",",'Inverter-Full Data'!#REF!,"'")</f>
        <v>#REF!</v>
      </c>
    </row>
    <row r="2624" spans="1:1">
      <c r="A2624" s="2" t="e">
        <f>CONCATENATE("'",'Inverter-Full Data'!#REF!,"     ",'Inverter-Full Data'!#REF!,",",'Inverter-Full Data'!#REF!,",",'Inverter-Full Data'!#REF!,",",'Inverter-Full Data'!#REF!,"'")</f>
        <v>#REF!</v>
      </c>
    </row>
    <row r="2625" spans="1:1">
      <c r="A2625" s="2" t="e">
        <f>CONCATENATE("'",'Inverter-Full Data'!#REF!,"     ",'Inverter-Full Data'!#REF!,",",'Inverter-Full Data'!#REF!,",",'Inverter-Full Data'!#REF!,",",'Inverter-Full Data'!#REF!,"'")</f>
        <v>#REF!</v>
      </c>
    </row>
    <row r="2626" spans="1:1">
      <c r="A2626" s="2" t="e">
        <f>CONCATENATE("'",'Inverter-Full Data'!#REF!,"     ",'Inverter-Full Data'!#REF!,",",'Inverter-Full Data'!#REF!,",",'Inverter-Full Data'!#REF!,",",'Inverter-Full Data'!#REF!,"'")</f>
        <v>#REF!</v>
      </c>
    </row>
    <row r="2627" spans="1:1">
      <c r="A2627" s="2" t="e">
        <f>CONCATENATE("'",'Inverter-Full Data'!#REF!,"     ",'Inverter-Full Data'!#REF!,",",'Inverter-Full Data'!#REF!,",",'Inverter-Full Data'!#REF!,",",'Inverter-Full Data'!#REF!,"'")</f>
        <v>#REF!</v>
      </c>
    </row>
    <row r="2628" spans="1:1">
      <c r="A2628" s="2" t="e">
        <f>CONCATENATE("'",'Inverter-Full Data'!#REF!,"     ",'Inverter-Full Data'!#REF!,",",'Inverter-Full Data'!#REF!,",",'Inverter-Full Data'!#REF!,",",'Inverter-Full Data'!#REF!,"'")</f>
        <v>#REF!</v>
      </c>
    </row>
    <row r="2629" spans="1:1">
      <c r="A2629" s="2" t="e">
        <f>CONCATENATE("'",'Inverter-Full Data'!#REF!,"     ",'Inverter-Full Data'!#REF!,",",'Inverter-Full Data'!#REF!,",",'Inverter-Full Data'!#REF!,",",'Inverter-Full Data'!#REF!,"'")</f>
        <v>#REF!</v>
      </c>
    </row>
    <row r="2630" spans="1:1">
      <c r="A2630" s="2" t="e">
        <f>CONCATENATE("'",'Inverter-Full Data'!#REF!,"     ",'Inverter-Full Data'!#REF!,",",'Inverter-Full Data'!#REF!,",",'Inverter-Full Data'!#REF!,",",'Inverter-Full Data'!#REF!,"'")</f>
        <v>#REF!</v>
      </c>
    </row>
    <row r="2631" spans="1:1">
      <c r="A2631" s="2" t="e">
        <f>CONCATENATE("'",'Inverter-Full Data'!#REF!,"     ",'Inverter-Full Data'!#REF!,",",'Inverter-Full Data'!#REF!,",",'Inverter-Full Data'!#REF!,",",'Inverter-Full Data'!#REF!,"'")</f>
        <v>#REF!</v>
      </c>
    </row>
    <row r="2632" spans="1:1">
      <c r="A2632" s="2" t="e">
        <f>CONCATENATE("'",'Inverter-Full Data'!#REF!,"     ",'Inverter-Full Data'!#REF!,",",'Inverter-Full Data'!#REF!,",",'Inverter-Full Data'!#REF!,",",'Inverter-Full Data'!#REF!,"'")</f>
        <v>#REF!</v>
      </c>
    </row>
    <row r="2633" spans="1:1">
      <c r="A2633" s="2" t="e">
        <f>CONCATENATE("'",'Inverter-Full Data'!#REF!,"     ",'Inverter-Full Data'!#REF!,",",'Inverter-Full Data'!#REF!,",",'Inverter-Full Data'!#REF!,",",'Inverter-Full Data'!#REF!,"'")</f>
        <v>#REF!</v>
      </c>
    </row>
    <row r="2634" spans="1:1">
      <c r="A2634" s="2" t="e">
        <f>CONCATENATE("'",'Inverter-Full Data'!#REF!,"     ",'Inverter-Full Data'!#REF!,",",'Inverter-Full Data'!#REF!,",",'Inverter-Full Data'!#REF!,",",'Inverter-Full Data'!#REF!,"'")</f>
        <v>#REF!</v>
      </c>
    </row>
    <row r="2635" spans="1:1">
      <c r="A2635" s="2" t="e">
        <f>CONCATENATE("'",'Inverter-Full Data'!#REF!,"     ",'Inverter-Full Data'!#REF!,",",'Inverter-Full Data'!#REF!,",",'Inverter-Full Data'!#REF!,",",'Inverter-Full Data'!#REF!,"'")</f>
        <v>#REF!</v>
      </c>
    </row>
    <row r="2636" spans="1:1">
      <c r="A2636" s="2" t="e">
        <f>CONCATENATE("'",'Inverter-Full Data'!#REF!,"     ",'Inverter-Full Data'!#REF!,",",'Inverter-Full Data'!#REF!,",",'Inverter-Full Data'!#REF!,",",'Inverter-Full Data'!#REF!,"'")</f>
        <v>#REF!</v>
      </c>
    </row>
    <row r="2637" spans="1:1">
      <c r="A2637" s="2" t="e">
        <f>CONCATENATE("'",'Inverter-Full Data'!#REF!,"     ",'Inverter-Full Data'!#REF!,",",'Inverter-Full Data'!#REF!,",",'Inverter-Full Data'!#REF!,",",'Inverter-Full Data'!#REF!,"'")</f>
        <v>#REF!</v>
      </c>
    </row>
    <row r="2638" spans="1:1">
      <c r="A2638" s="2" t="e">
        <f>CONCATENATE("'",'Inverter-Full Data'!#REF!,"     ",'Inverter-Full Data'!#REF!,",",'Inverter-Full Data'!#REF!,",",'Inverter-Full Data'!#REF!,",",'Inverter-Full Data'!#REF!,"'")</f>
        <v>#REF!</v>
      </c>
    </row>
    <row r="2639" spans="1:1">
      <c r="A2639" s="2" t="e">
        <f>CONCATENATE("'",'Inverter-Full Data'!#REF!,"     ",'Inverter-Full Data'!#REF!,",",'Inverter-Full Data'!#REF!,",",'Inverter-Full Data'!#REF!,",",'Inverter-Full Data'!#REF!,"'")</f>
        <v>#REF!</v>
      </c>
    </row>
    <row r="2640" spans="1:1">
      <c r="A2640" s="2" t="e">
        <f>CONCATENATE("'",'Inverter-Full Data'!#REF!,"     ",'Inverter-Full Data'!#REF!,",",'Inverter-Full Data'!#REF!,",",'Inverter-Full Data'!#REF!,",",'Inverter-Full Data'!#REF!,"'")</f>
        <v>#REF!</v>
      </c>
    </row>
    <row r="2641" spans="1:1">
      <c r="A2641" s="2" t="e">
        <f>CONCATENATE("'",'Inverter-Full Data'!#REF!,"     ",'Inverter-Full Data'!#REF!,",",'Inverter-Full Data'!#REF!,",",'Inverter-Full Data'!#REF!,",",'Inverter-Full Data'!#REF!,"'")</f>
        <v>#REF!</v>
      </c>
    </row>
    <row r="2642" spans="1:1">
      <c r="A2642" s="2" t="e">
        <f>CONCATENATE("'",'Inverter-Full Data'!#REF!,"     ",'Inverter-Full Data'!#REF!,",",'Inverter-Full Data'!#REF!,",",'Inverter-Full Data'!#REF!,",",'Inverter-Full Data'!#REF!,"'")</f>
        <v>#REF!</v>
      </c>
    </row>
    <row r="2643" spans="1:1">
      <c r="A2643" s="2" t="e">
        <f>CONCATENATE("'",'Inverter-Full Data'!#REF!,"     ",'Inverter-Full Data'!#REF!,",",'Inverter-Full Data'!#REF!,",",'Inverter-Full Data'!#REF!,",",'Inverter-Full Data'!#REF!,"'")</f>
        <v>#REF!</v>
      </c>
    </row>
    <row r="2644" spans="1:1">
      <c r="A2644" s="2" t="e">
        <f>CONCATENATE("'",'Inverter-Full Data'!#REF!,"     ",'Inverter-Full Data'!#REF!,",",'Inverter-Full Data'!#REF!,",",'Inverter-Full Data'!#REF!,",",'Inverter-Full Data'!#REF!,"'")</f>
        <v>#REF!</v>
      </c>
    </row>
    <row r="2645" spans="1:1">
      <c r="A2645" s="2" t="e">
        <f>CONCATENATE("'",'Inverter-Full Data'!#REF!,"     ",'Inverter-Full Data'!#REF!,",",'Inverter-Full Data'!#REF!,",",'Inverter-Full Data'!#REF!,",",'Inverter-Full Data'!#REF!,"'")</f>
        <v>#REF!</v>
      </c>
    </row>
    <row r="2646" spans="1:1">
      <c r="A2646" s="2" t="e">
        <f>CONCATENATE("'",'Inverter-Full Data'!#REF!,"     ",'Inverter-Full Data'!#REF!,",",'Inverter-Full Data'!#REF!,",",'Inverter-Full Data'!#REF!,",",'Inverter-Full Data'!#REF!,"'")</f>
        <v>#REF!</v>
      </c>
    </row>
    <row r="2647" spans="1:1">
      <c r="A2647" s="2" t="e">
        <f>CONCATENATE("'",'Inverter-Full Data'!#REF!,"     ",'Inverter-Full Data'!#REF!,",",'Inverter-Full Data'!#REF!,",",'Inverter-Full Data'!#REF!,",",'Inverter-Full Data'!#REF!,"'")</f>
        <v>#REF!</v>
      </c>
    </row>
    <row r="2648" spans="1:1">
      <c r="A2648" s="2" t="e">
        <f>CONCATENATE("'",'Inverter-Full Data'!#REF!,"     ",'Inverter-Full Data'!#REF!,",",'Inverter-Full Data'!#REF!,",",'Inverter-Full Data'!#REF!,",",'Inverter-Full Data'!#REF!,"'")</f>
        <v>#REF!</v>
      </c>
    </row>
    <row r="2649" spans="1:1">
      <c r="A2649" s="2" t="e">
        <f>CONCATENATE("'",'Inverter-Full Data'!#REF!,"     ",'Inverter-Full Data'!#REF!,",",'Inverter-Full Data'!#REF!,",",'Inverter-Full Data'!#REF!,",",'Inverter-Full Data'!#REF!,"'")</f>
        <v>#REF!</v>
      </c>
    </row>
    <row r="2650" spans="1:1">
      <c r="A2650" s="2" t="e">
        <f>CONCATENATE("'",'Inverter-Full Data'!#REF!,"     ",'Inverter-Full Data'!#REF!,",",'Inverter-Full Data'!#REF!,",",'Inverter-Full Data'!#REF!,",",'Inverter-Full Data'!#REF!,"'")</f>
        <v>#REF!</v>
      </c>
    </row>
    <row r="2651" spans="1:1">
      <c r="A2651" s="2" t="e">
        <f>CONCATENATE("'",'Inverter-Full Data'!#REF!,"     ",'Inverter-Full Data'!#REF!,",",'Inverter-Full Data'!#REF!,",",'Inverter-Full Data'!#REF!,",",'Inverter-Full Data'!#REF!,"'")</f>
        <v>#REF!</v>
      </c>
    </row>
    <row r="2652" spans="1:1">
      <c r="A2652" s="2" t="e">
        <f>CONCATENATE("'",'Inverter-Full Data'!#REF!,"     ",'Inverter-Full Data'!#REF!,",",'Inverter-Full Data'!#REF!,",",'Inverter-Full Data'!#REF!,",",'Inverter-Full Data'!#REF!,"'")</f>
        <v>#REF!</v>
      </c>
    </row>
    <row r="2653" spans="1:1">
      <c r="A2653" s="2" t="e">
        <f>CONCATENATE("'",'Inverter-Full Data'!#REF!,"     ",'Inverter-Full Data'!#REF!,",",'Inverter-Full Data'!#REF!,",",'Inverter-Full Data'!#REF!,",",'Inverter-Full Data'!#REF!,"'")</f>
        <v>#REF!</v>
      </c>
    </row>
    <row r="2654" spans="1:1">
      <c r="A2654" s="2" t="e">
        <f>CONCATENATE("'",'Inverter-Full Data'!#REF!,"     ",'Inverter-Full Data'!#REF!,",",'Inverter-Full Data'!#REF!,",",'Inverter-Full Data'!#REF!,",",'Inverter-Full Data'!#REF!,"'")</f>
        <v>#REF!</v>
      </c>
    </row>
    <row r="2655" spans="1:1">
      <c r="A2655" s="2" t="e">
        <f>CONCATENATE("'",'Inverter-Full Data'!#REF!,"     ",'Inverter-Full Data'!#REF!,",",'Inverter-Full Data'!#REF!,",",'Inverter-Full Data'!#REF!,",",'Inverter-Full Data'!#REF!,"'")</f>
        <v>#REF!</v>
      </c>
    </row>
    <row r="2656" spans="1:1">
      <c r="A2656" s="2" t="e">
        <f>CONCATENATE("'",'Inverter-Full Data'!#REF!,"     ",'Inverter-Full Data'!#REF!,",",'Inverter-Full Data'!#REF!,",",'Inverter-Full Data'!#REF!,",",'Inverter-Full Data'!#REF!,"'")</f>
        <v>#REF!</v>
      </c>
    </row>
    <row r="2657" spans="1:1">
      <c r="A2657" s="2" t="e">
        <f>CONCATENATE("'",'Inverter-Full Data'!#REF!,"     ",'Inverter-Full Data'!#REF!,",",'Inverter-Full Data'!#REF!,",",'Inverter-Full Data'!#REF!,",",'Inverter-Full Data'!#REF!,"'")</f>
        <v>#REF!</v>
      </c>
    </row>
    <row r="2658" spans="1:1">
      <c r="A2658" s="2" t="e">
        <f>CONCATENATE("'",'Inverter-Full Data'!#REF!,"     ",'Inverter-Full Data'!#REF!,",",'Inverter-Full Data'!#REF!,",",'Inverter-Full Data'!#REF!,",",'Inverter-Full Data'!#REF!,"'")</f>
        <v>#REF!</v>
      </c>
    </row>
    <row r="2659" spans="1:1">
      <c r="A2659" s="2" t="e">
        <f>CONCATENATE("'",'Inverter-Full Data'!#REF!,"     ",'Inverter-Full Data'!#REF!,",",'Inverter-Full Data'!#REF!,",",'Inverter-Full Data'!#REF!,",",'Inverter-Full Data'!#REF!,"'")</f>
        <v>#REF!</v>
      </c>
    </row>
    <row r="2660" spans="1:1">
      <c r="A2660" s="2" t="e">
        <f>CONCATENATE("'",'Inverter-Full Data'!#REF!,"     ",'Inverter-Full Data'!#REF!,",",'Inverter-Full Data'!#REF!,",",'Inverter-Full Data'!#REF!,",",'Inverter-Full Data'!#REF!,"'")</f>
        <v>#REF!</v>
      </c>
    </row>
    <row r="2661" spans="1:1">
      <c r="A2661" s="2" t="e">
        <f>CONCATENATE("'",'Inverter-Full Data'!#REF!,"     ",'Inverter-Full Data'!#REF!,",",'Inverter-Full Data'!#REF!,",",'Inverter-Full Data'!#REF!,",",'Inverter-Full Data'!#REF!,"'")</f>
        <v>#REF!</v>
      </c>
    </row>
    <row r="2662" spans="1:1">
      <c r="A2662" s="2" t="e">
        <f>CONCATENATE("'",'Inverter-Full Data'!#REF!,"     ",'Inverter-Full Data'!#REF!,",",'Inverter-Full Data'!#REF!,",",'Inverter-Full Data'!#REF!,",",'Inverter-Full Data'!#REF!,"'")</f>
        <v>#REF!</v>
      </c>
    </row>
    <row r="2663" spans="1:1">
      <c r="A2663" s="2" t="e">
        <f>CONCATENATE("'",'Inverter-Full Data'!#REF!,"     ",'Inverter-Full Data'!#REF!,",",'Inverter-Full Data'!#REF!,",",'Inverter-Full Data'!#REF!,",",'Inverter-Full Data'!#REF!,"'")</f>
        <v>#REF!</v>
      </c>
    </row>
    <row r="2664" spans="1:1">
      <c r="A2664" s="2" t="e">
        <f>CONCATENATE("'",'Inverter-Full Data'!#REF!,"     ",'Inverter-Full Data'!#REF!,",",'Inverter-Full Data'!#REF!,",",'Inverter-Full Data'!#REF!,",",'Inverter-Full Data'!#REF!,"'")</f>
        <v>#REF!</v>
      </c>
    </row>
    <row r="2665" spans="1:1">
      <c r="A2665" s="2" t="e">
        <f>CONCATENATE("'",'Inverter-Full Data'!#REF!,"     ",'Inverter-Full Data'!#REF!,",",'Inverter-Full Data'!#REF!,",",'Inverter-Full Data'!#REF!,",",'Inverter-Full Data'!#REF!,"'")</f>
        <v>#REF!</v>
      </c>
    </row>
    <row r="2666" spans="1:1">
      <c r="A2666" s="2" t="str">
        <f>CONCATENATE("'",'Inverter-Full Data'!A365,"     ",'Inverter-Full Data'!B365,",",'Inverter-Full Data'!S365,",",'Inverter-Full Data'!J365,",",'Inverter-Full Data'!T365,"'")</f>
        <v>'LeadSolar Energy Co., Ltd     LS600 [240V],N,95.5,Y'</v>
      </c>
    </row>
    <row r="2667" spans="1:1">
      <c r="A2667" s="2" t="e">
        <f>CONCATENATE("'",'Inverter-Full Data'!#REF!,"     ",'Inverter-Full Data'!#REF!,",",'Inverter-Full Data'!#REF!,",",'Inverter-Full Data'!#REF!,",",'Inverter-Full Data'!#REF!,"'")</f>
        <v>#REF!</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e">
        <f>CONCATENATE("'",'Inverter-Full Data'!#REF!,"     ",'Inverter-Full Data'!#REF!,",",'Inverter-Full Data'!#REF!,",",'Inverter-Full Data'!#REF!,",",'Inverter-Full Data'!#REF!,"'")</f>
        <v>#REF!</v>
      </c>
    </row>
    <row r="2671" spans="1:1">
      <c r="A2671" s="2" t="e">
        <f>CONCATENATE("'",'Inverter-Full Data'!#REF!,"     ",'Inverter-Full Data'!#REF!,",",'Inverter-Full Data'!#REF!,",",'Inverter-Full Data'!#REF!,",",'Inverter-Full Data'!#REF!,"'")</f>
        <v>#REF!</v>
      </c>
    </row>
    <row r="2672" spans="1:1">
      <c r="A2672" s="2" t="e">
        <f>CONCATENATE("'",'Inverter-Full Data'!#REF!,"     ",'Inverter-Full Data'!#REF!,",",'Inverter-Full Data'!#REF!,",",'Inverter-Full Data'!#REF!,",",'Inverter-Full Data'!#REF!,"'")</f>
        <v>#REF!</v>
      </c>
    </row>
    <row r="2673" spans="1:1">
      <c r="A2673" s="2" t="e">
        <f>CONCATENATE("'",'Inverter-Full Data'!#REF!,"     ",'Inverter-Full Data'!#REF!,",",'Inverter-Full Data'!#REF!,",",'Inverter-Full Data'!#REF!,",",'Inverter-Full Data'!#REF!,"'")</f>
        <v>#REF!</v>
      </c>
    </row>
    <row r="2674" spans="1:1">
      <c r="A2674" s="2" t="e">
        <f>CONCATENATE("'",'Inverter-Full Data'!#REF!,"     ",'Inverter-Full Data'!#REF!,",",'Inverter-Full Data'!#REF!,",",'Inverter-Full Data'!#REF!,",",'Inverter-Full Data'!#REF!,"'")</f>
        <v>#REF!</v>
      </c>
    </row>
    <row r="2675" spans="1:1">
      <c r="A2675" s="2" t="e">
        <f>CONCATENATE("'",'Inverter-Full Data'!#REF!,"     ",'Inverter-Full Data'!#REF!,",",'Inverter-Full Data'!#REF!,",",'Inverter-Full Data'!#REF!,",",'Inverter-Full Data'!#REF!,"'")</f>
        <v>#REF!</v>
      </c>
    </row>
    <row r="2676" spans="1:1">
      <c r="A2676" s="2" t="e">
        <f>CONCATENATE("'",'Inverter-Full Data'!#REF!,"     ",'Inverter-Full Data'!#REF!,",",'Inverter-Full Data'!#REF!,",",'Inverter-Full Data'!#REF!,",",'Inverter-Full Data'!#REF!,"'")</f>
        <v>#REF!</v>
      </c>
    </row>
    <row r="2677" spans="1:1">
      <c r="A2677" s="2" t="e">
        <f>CONCATENATE("'",'Inverter-Full Data'!#REF!,"     ",'Inverter-Full Data'!#REF!,",",'Inverter-Full Data'!#REF!,",",'Inverter-Full Data'!#REF!,",",'Inverter-Full Data'!#REF!,"'")</f>
        <v>#REF!</v>
      </c>
    </row>
    <row r="2678" spans="1:1">
      <c r="A2678" s="2" t="e">
        <f>CONCATENATE("'",'Inverter-Full Data'!#REF!,"     ",'Inverter-Full Data'!#REF!,",",'Inverter-Full Data'!#REF!,",",'Inverter-Full Data'!#REF!,",",'Inverter-Full Data'!#REF!,"'")</f>
        <v>#REF!</v>
      </c>
    </row>
    <row r="2679" spans="1:1">
      <c r="A2679" s="2" t="e">
        <f>CONCATENATE("'",'Inverter-Full Data'!#REF!,"     ",'Inverter-Full Data'!#REF!,",",'Inverter-Full Data'!#REF!,",",'Inverter-Full Data'!#REF!,",",'Inverter-Full Data'!#REF!,"'")</f>
        <v>#REF!</v>
      </c>
    </row>
    <row r="2680" spans="1:1">
      <c r="A2680" s="2" t="str">
        <f>CONCATENATE("'",'Inverter-Full Data'!A366,"     ",'Inverter-Full Data'!B366,",",'Inverter-Full Data'!S366,",",'Inverter-Full Data'!J366,",",'Inverter-Full Data'!T366,"'")</f>
        <v>'LeadSolar Energy Co., Ltd     LS600X [240V],N,96,Y'</v>
      </c>
    </row>
    <row r="2681" spans="1:1">
      <c r="A2681" s="2" t="str">
        <f>CONCATENATE("'",'Inverter-Full Data'!A367,"     ",'Inverter-Full Data'!B367,",",'Inverter-Full Data'!S367,",",'Inverter-Full Data'!J367,",",'Inverter-Full Data'!T367,"'")</f>
        <v>'LeadSolar Energy Co., Ltd     LS700S [208V],N,95.5,Y'</v>
      </c>
    </row>
    <row r="2682" spans="1:1">
      <c r="A2682" s="2" t="str">
        <f>CONCATENATE("'",'Inverter-Full Data'!A368,"     ",'Inverter-Full Data'!B368,",",'Inverter-Full Data'!S368,",",'Inverter-Full Data'!J368,",",'Inverter-Full Data'!T368,"'")</f>
        <v>'LG Electronics Inc.     A005KEEN261 [208V],N,98,N'</v>
      </c>
    </row>
    <row r="2683" spans="1:1">
      <c r="A2683" s="2" t="str">
        <f>CONCATENATE("'",'Inverter-Full Data'!A369,"     ",'Inverter-Full Data'!B369,",",'Inverter-Full Data'!S369,",",'Inverter-Full Data'!J369,",",'Inverter-Full Data'!T369,"'")</f>
        <v>'LG Electronics Inc.     A005KEEN261 [240V],N,98,N'</v>
      </c>
    </row>
    <row r="2684" spans="1:1">
      <c r="A2684" s="2" t="str">
        <f>CONCATENATE("'",'Inverter-Full Data'!A370,"     ",'Inverter-Full Data'!B370,",",'Inverter-Full Data'!S370,",",'Inverter-Full Data'!J370,",",'Inverter-Full Data'!T370,"'")</f>
        <v>'LG Electronics Inc.     D007KEEN261 [208V],N,97.5,N'</v>
      </c>
    </row>
    <row r="2685" spans="1:1">
      <c r="A2685" s="2" t="str">
        <f>CONCATENATE("'",'Inverter-Full Data'!A371,"     ",'Inverter-Full Data'!B371,",",'Inverter-Full Data'!S371,",",'Inverter-Full Data'!J371,",",'Inverter-Full Data'!T371,"'")</f>
        <v>'LG Electronics Inc.     D007KEEN261 [240V],N,97.5,N'</v>
      </c>
    </row>
    <row r="2686" spans="1:1">
      <c r="A2686" s="2" t="e">
        <f>CONCATENATE("'",'Inverter-Full Data'!#REF!,"     ",'Inverter-Full Data'!#REF!,",",'Inverter-Full Data'!#REF!,",",'Inverter-Full Data'!#REF!,",",'Inverter-Full Data'!#REF!,"'")</f>
        <v>#REF!</v>
      </c>
    </row>
    <row r="2687" spans="1:1">
      <c r="A2687" s="2" t="e">
        <f>CONCATENATE("'",'Inverter-Full Data'!#REF!,"     ",'Inverter-Full Data'!#REF!,",",'Inverter-Full Data'!#REF!,",",'Inverter-Full Data'!#REF!,",",'Inverter-Full Data'!#REF!,"'")</f>
        <v>#REF!</v>
      </c>
    </row>
    <row r="2688" spans="1:1">
      <c r="A2688" s="2" t="e">
        <f>CONCATENATE("'",'Inverter-Full Data'!#REF!,"     ",'Inverter-Full Data'!#REF!,",",'Inverter-Full Data'!#REF!,",",'Inverter-Full Data'!#REF!,",",'Inverter-Full Data'!#REF!,"'")</f>
        <v>#REF!</v>
      </c>
    </row>
    <row r="2689" spans="1:1">
      <c r="A2689" s="2" t="e">
        <f>CONCATENATE("'",'Inverter-Full Data'!#REF!,"     ",'Inverter-Full Data'!#REF!,",",'Inverter-Full Data'!#REF!,",",'Inverter-Full Data'!#REF!,",",'Inverter-Full Data'!#REF!,"'")</f>
        <v>#REF!</v>
      </c>
    </row>
    <row r="2690" spans="1:1">
      <c r="A2690" s="2" t="e">
        <f>CONCATENATE("'",'Inverter-Full Data'!#REF!,"     ",'Inverter-Full Data'!#REF!,",",'Inverter-Full Data'!#REF!,",",'Inverter-Full Data'!#REF!,",",'Inverter-Full Data'!#REF!,"'")</f>
        <v>#REF!</v>
      </c>
    </row>
    <row r="2691" spans="1:1">
      <c r="A2691" s="2" t="e">
        <f>CONCATENATE("'",'Inverter-Full Data'!#REF!,"     ",'Inverter-Full Data'!#REF!,",",'Inverter-Full Data'!#REF!,",",'Inverter-Full Data'!#REF!,",",'Inverter-Full Data'!#REF!,"'")</f>
        <v>#REF!</v>
      </c>
    </row>
    <row r="2692" spans="1:1">
      <c r="A2692" s="2" t="e">
        <f>CONCATENATE("'",'Inverter-Full Data'!#REF!,"     ",'Inverter-Full Data'!#REF!,",",'Inverter-Full Data'!#REF!,",",'Inverter-Full Data'!#REF!,",",'Inverter-Full Data'!#REF!,"'")</f>
        <v>#REF!</v>
      </c>
    </row>
    <row r="2693" spans="1:1">
      <c r="A2693" s="2" t="e">
        <f>CONCATENATE("'",'Inverter-Full Data'!#REF!,"     ",'Inverter-Full Data'!#REF!,",",'Inverter-Full Data'!#REF!,",",'Inverter-Full Data'!#REF!,",",'Inverter-Full Data'!#REF!,"'")</f>
        <v>#REF!</v>
      </c>
    </row>
    <row r="2694" spans="1:1">
      <c r="A2694" s="2" t="e">
        <f>CONCATENATE("'",'Inverter-Full Data'!#REF!,"     ",'Inverter-Full Data'!#REF!,",",'Inverter-Full Data'!#REF!,",",'Inverter-Full Data'!#REF!,",",'Inverter-Full Data'!#REF!,"'")</f>
        <v>#REF!</v>
      </c>
    </row>
    <row r="2695" spans="1:1">
      <c r="A2695" s="2" t="e">
        <f>CONCATENATE("'",'Inverter-Full Data'!#REF!,"     ",'Inverter-Full Data'!#REF!,",",'Inverter-Full Data'!#REF!,",",'Inverter-Full Data'!#REF!,",",'Inverter-Full Data'!#REF!,"'")</f>
        <v>#REF!</v>
      </c>
    </row>
    <row r="2696" spans="1:1">
      <c r="A2696" s="2" t="e">
        <f>CONCATENATE("'",'Inverter-Full Data'!#REF!,"     ",'Inverter-Full Data'!#REF!,",",'Inverter-Full Data'!#REF!,",",'Inverter-Full Data'!#REF!,",",'Inverter-Full Data'!#REF!,"'")</f>
        <v>#REF!</v>
      </c>
    </row>
    <row r="2697" spans="1:1">
      <c r="A2697" s="2" t="e">
        <f>CONCATENATE("'",'Inverter-Full Data'!#REF!,"     ",'Inverter-Full Data'!#REF!,",",'Inverter-Full Data'!#REF!,",",'Inverter-Full Data'!#REF!,",",'Inverter-Full Data'!#REF!,"'")</f>
        <v>#REF!</v>
      </c>
    </row>
    <row r="2698" spans="1:1">
      <c r="A2698" s="2" t="e">
        <f>CONCATENATE("'",'Inverter-Full Data'!#REF!,"     ",'Inverter-Full Data'!#REF!,",",'Inverter-Full Data'!#REF!,",",'Inverter-Full Data'!#REF!,",",'Inverter-Full Data'!#REF!,"'")</f>
        <v>#REF!</v>
      </c>
    </row>
    <row r="2699" spans="1:1">
      <c r="A2699" s="2" t="e">
        <f>CONCATENATE("'",'Inverter-Full Data'!#REF!,"     ",'Inverter-Full Data'!#REF!,",",'Inverter-Full Data'!#REF!,",",'Inverter-Full Data'!#REF!,",",'Inverter-Full Data'!#REF!,"'")</f>
        <v>#REF!</v>
      </c>
    </row>
    <row r="2700" spans="1:1">
      <c r="A2700" s="2" t="e">
        <f>CONCATENATE("'",'Inverter-Full Data'!#REF!,"     ",'Inverter-Full Data'!#REF!,",",'Inverter-Full Data'!#REF!,",",'Inverter-Full Data'!#REF!,",",'Inverter-Full Data'!#REF!,"'")</f>
        <v>#REF!</v>
      </c>
    </row>
    <row r="2701" spans="1:1">
      <c r="A2701" s="2" t="e">
        <f>CONCATENATE("'",'Inverter-Full Data'!#REF!,"     ",'Inverter-Full Data'!#REF!,",",'Inverter-Full Data'!#REF!,",",'Inverter-Full Data'!#REF!,",",'Inverter-Full Data'!#REF!,"'")</f>
        <v>#REF!</v>
      </c>
    </row>
    <row r="2702" spans="1:1">
      <c r="A2702" s="2" t="e">
        <f>CONCATENATE("'",'Inverter-Full Data'!#REF!,"     ",'Inverter-Full Data'!#REF!,",",'Inverter-Full Data'!#REF!,",",'Inverter-Full Data'!#REF!,",",'Inverter-Full Data'!#REF!,"'")</f>
        <v>#REF!</v>
      </c>
    </row>
    <row r="2703" spans="1:1">
      <c r="A2703" s="2" t="e">
        <f>CONCATENATE("'",'Inverter-Full Data'!#REF!,"     ",'Inverter-Full Data'!#REF!,",",'Inverter-Full Data'!#REF!,",",'Inverter-Full Data'!#REF!,",",'Inverter-Full Data'!#REF!,"'")</f>
        <v>#REF!</v>
      </c>
    </row>
    <row r="2704" spans="1:1">
      <c r="A2704" s="2" t="e">
        <f>CONCATENATE("'",'Inverter-Full Data'!#REF!,"     ",'Inverter-Full Data'!#REF!,",",'Inverter-Full Data'!#REF!,",",'Inverter-Full Data'!#REF!,",",'Inverter-Full Data'!#REF!,"'")</f>
        <v>#REF!</v>
      </c>
    </row>
    <row r="2705" spans="1:1">
      <c r="A2705" s="2" t="e">
        <f>CONCATENATE("'",'Inverter-Full Data'!#REF!,"     ",'Inverter-Full Data'!#REF!,",",'Inverter-Full Data'!#REF!,",",'Inverter-Full Data'!#REF!,",",'Inverter-Full Data'!#REF!,"'")</f>
        <v>#REF!</v>
      </c>
    </row>
    <row r="2706" spans="1:1">
      <c r="A2706" s="2" t="e">
        <f>CONCATENATE("'",'Inverter-Full Data'!#REF!,"     ",'Inverter-Full Data'!#REF!,",",'Inverter-Full Data'!#REF!,",",'Inverter-Full Data'!#REF!,",",'Inverter-Full Data'!#REF!,"'")</f>
        <v>#REF!</v>
      </c>
    </row>
    <row r="2707" spans="1:1">
      <c r="A2707" s="2" t="e">
        <f>CONCATENATE("'",'Inverter-Full Data'!#REF!,"     ",'Inverter-Full Data'!#REF!,",",'Inverter-Full Data'!#REF!,",",'Inverter-Full Data'!#REF!,",",'Inverter-Full Data'!#REF!,"'")</f>
        <v>#REF!</v>
      </c>
    </row>
    <row r="2708" spans="1:1">
      <c r="A2708" s="2" t="e">
        <f>CONCATENATE("'",'Inverter-Full Data'!#REF!,"     ",'Inverter-Full Data'!#REF!,",",'Inverter-Full Data'!#REF!,",",'Inverter-Full Data'!#REF!,",",'Inverter-Full Data'!#REF!,"'")</f>
        <v>#REF!</v>
      </c>
    </row>
    <row r="2709" spans="1:1">
      <c r="A2709" s="2" t="e">
        <f>CONCATENATE("'",'Inverter-Full Data'!#REF!,"     ",'Inverter-Full Data'!#REF!,",",'Inverter-Full Data'!#REF!,",",'Inverter-Full Data'!#REF!,",",'Inverter-Full Data'!#REF!,"'")</f>
        <v>#REF!</v>
      </c>
    </row>
    <row r="2710" spans="1:1">
      <c r="A2710" s="2" t="e">
        <f>CONCATENATE("'",'Inverter-Full Data'!#REF!,"     ",'Inverter-Full Data'!#REF!,",",'Inverter-Full Data'!#REF!,",",'Inverter-Full Data'!#REF!,",",'Inverter-Full Data'!#REF!,"'")</f>
        <v>#REF!</v>
      </c>
    </row>
    <row r="2711" spans="1:1">
      <c r="A2711" s="2" t="e">
        <f>CONCATENATE("'",'Inverter-Full Data'!#REF!,"     ",'Inverter-Full Data'!#REF!,",",'Inverter-Full Data'!#REF!,",",'Inverter-Full Data'!#REF!,",",'Inverter-Full Data'!#REF!,"'")</f>
        <v>#REF!</v>
      </c>
    </row>
    <row r="2712" spans="1:1">
      <c r="A2712" s="2" t="e">
        <f>CONCATENATE("'",'Inverter-Full Data'!#REF!,"     ",'Inverter-Full Data'!#REF!,",",'Inverter-Full Data'!#REF!,",",'Inverter-Full Data'!#REF!,",",'Inverter-Full Data'!#REF!,"'")</f>
        <v>#REF!</v>
      </c>
    </row>
    <row r="2713" spans="1:1">
      <c r="A2713" s="2" t="e">
        <f>CONCATENATE("'",'Inverter-Full Data'!#REF!,"     ",'Inverter-Full Data'!#REF!,",",'Inverter-Full Data'!#REF!,",",'Inverter-Full Data'!#REF!,",",'Inverter-Full Data'!#REF!,"'")</f>
        <v>#REF!</v>
      </c>
    </row>
    <row r="2714" spans="1:1">
      <c r="A2714" s="2" t="e">
        <f>CONCATENATE("'",'Inverter-Full Data'!#REF!,"     ",'Inverter-Full Data'!#REF!,",",'Inverter-Full Data'!#REF!,",",'Inverter-Full Data'!#REF!,",",'Inverter-Full Data'!#REF!,"'")</f>
        <v>#REF!</v>
      </c>
    </row>
    <row r="2715" spans="1:1">
      <c r="A2715" s="2" t="e">
        <f>CONCATENATE("'",'Inverter-Full Data'!#REF!,"     ",'Inverter-Full Data'!#REF!,",",'Inverter-Full Data'!#REF!,",",'Inverter-Full Data'!#REF!,",",'Inverter-Full Data'!#REF!,"'")</f>
        <v>#REF!</v>
      </c>
    </row>
    <row r="2716" spans="1:1">
      <c r="A2716" s="2" t="e">
        <f>CONCATENATE("'",'Inverter-Full Data'!#REF!,"     ",'Inverter-Full Data'!#REF!,",",'Inverter-Full Data'!#REF!,",",'Inverter-Full Data'!#REF!,",",'Inverter-Full Data'!#REF!,"'")</f>
        <v>#REF!</v>
      </c>
    </row>
    <row r="2717" spans="1:1">
      <c r="A2717" s="2" t="e">
        <f>CONCATENATE("'",'Inverter-Full Data'!#REF!,"     ",'Inverter-Full Data'!#REF!,",",'Inverter-Full Data'!#REF!,",",'Inverter-Full Data'!#REF!,",",'Inverter-Full Data'!#REF!,"'")</f>
        <v>#REF!</v>
      </c>
    </row>
    <row r="2718" spans="1:1">
      <c r="A2718" s="2" t="e">
        <f>CONCATENATE("'",'Inverter-Full Data'!#REF!,"     ",'Inverter-Full Data'!#REF!,",",'Inverter-Full Data'!#REF!,",",'Inverter-Full Data'!#REF!,",",'Inverter-Full Data'!#REF!,"'")</f>
        <v>#REF!</v>
      </c>
    </row>
    <row r="2719" spans="1:1">
      <c r="A2719" s="2" t="e">
        <f>CONCATENATE("'",'Inverter-Full Data'!#REF!,"     ",'Inverter-Full Data'!#REF!,",",'Inverter-Full Data'!#REF!,",",'Inverter-Full Data'!#REF!,",",'Inverter-Full Data'!#REF!,"'")</f>
        <v>#REF!</v>
      </c>
    </row>
    <row r="2720" spans="1:1">
      <c r="A2720" s="2" t="e">
        <f>CONCATENATE("'",'Inverter-Full Data'!#REF!,"     ",'Inverter-Full Data'!#REF!,",",'Inverter-Full Data'!#REF!,",",'Inverter-Full Data'!#REF!,",",'Inverter-Full Data'!#REF!,"'")</f>
        <v>#REF!</v>
      </c>
    </row>
    <row r="2721" spans="1:1">
      <c r="A2721" s="2" t="e">
        <f>CONCATENATE("'",'Inverter-Full Data'!#REF!,"     ",'Inverter-Full Data'!#REF!,",",'Inverter-Full Data'!#REF!,",",'Inverter-Full Data'!#REF!,",",'Inverter-Full Data'!#REF!,"'")</f>
        <v>#REF!</v>
      </c>
    </row>
    <row r="2722" spans="1:1">
      <c r="A2722" s="2" t="e">
        <f>CONCATENATE("'",'Inverter-Full Data'!#REF!,"     ",'Inverter-Full Data'!#REF!,",",'Inverter-Full Data'!#REF!,",",'Inverter-Full Data'!#REF!,",",'Inverter-Full Data'!#REF!,"'")</f>
        <v>#REF!</v>
      </c>
    </row>
    <row r="2723" spans="1:1">
      <c r="A2723" s="2" t="e">
        <f>CONCATENATE("'",'Inverter-Full Data'!#REF!,"     ",'Inverter-Full Data'!#REF!,",",'Inverter-Full Data'!#REF!,",",'Inverter-Full Data'!#REF!,",",'Inverter-Full Data'!#REF!,"'")</f>
        <v>#REF!</v>
      </c>
    </row>
    <row r="2724" spans="1:1">
      <c r="A2724" s="2" t="e">
        <f>CONCATENATE("'",'Inverter-Full Data'!#REF!,"     ",'Inverter-Full Data'!#REF!,",",'Inverter-Full Data'!#REF!,",",'Inverter-Full Data'!#REF!,",",'Inverter-Full Data'!#REF!,"'")</f>
        <v>#REF!</v>
      </c>
    </row>
    <row r="2725" spans="1:1">
      <c r="A2725" s="2" t="e">
        <f>CONCATENATE("'",'Inverter-Full Data'!#REF!,"     ",'Inverter-Full Data'!#REF!,",",'Inverter-Full Data'!#REF!,",",'Inverter-Full Data'!#REF!,",",'Inverter-Full Data'!#REF!,"'")</f>
        <v>#REF!</v>
      </c>
    </row>
    <row r="2726" spans="1:1">
      <c r="A2726" s="2" t="e">
        <f>CONCATENATE("'",'Inverter-Full Data'!#REF!,"     ",'Inverter-Full Data'!#REF!,",",'Inverter-Full Data'!#REF!,",",'Inverter-Full Data'!#REF!,",",'Inverter-Full Data'!#REF!,"'")</f>
        <v>#REF!</v>
      </c>
    </row>
    <row r="2727" spans="1:1">
      <c r="A2727" s="2" t="e">
        <f>CONCATENATE("'",'Inverter-Full Data'!#REF!,"     ",'Inverter-Full Data'!#REF!,",",'Inverter-Full Data'!#REF!,",",'Inverter-Full Data'!#REF!,",",'Inverter-Full Data'!#REF!,"'")</f>
        <v>#REF!</v>
      </c>
    </row>
    <row r="2728" spans="1:1">
      <c r="A2728" s="2" t="e">
        <f>CONCATENATE("'",'Inverter-Full Data'!#REF!,"     ",'Inverter-Full Data'!#REF!,",",'Inverter-Full Data'!#REF!,",",'Inverter-Full Data'!#REF!,",",'Inverter-Full Data'!#REF!,"'")</f>
        <v>#REF!</v>
      </c>
    </row>
    <row r="2729" spans="1:1">
      <c r="A2729" s="2" t="e">
        <f>CONCATENATE("'",'Inverter-Full Data'!#REF!,"     ",'Inverter-Full Data'!#REF!,",",'Inverter-Full Data'!#REF!,",",'Inverter-Full Data'!#REF!,",",'Inverter-Full Data'!#REF!,"'")</f>
        <v>#REF!</v>
      </c>
    </row>
    <row r="2730" spans="1:1">
      <c r="A2730" s="2" t="e">
        <f>CONCATENATE("'",'Inverter-Full Data'!#REF!,"     ",'Inverter-Full Data'!#REF!,",",'Inverter-Full Data'!#REF!,",",'Inverter-Full Data'!#REF!,",",'Inverter-Full Data'!#REF!,"'")</f>
        <v>#REF!</v>
      </c>
    </row>
    <row r="2731" spans="1:1">
      <c r="A2731" s="2" t="e">
        <f>CONCATENATE("'",'Inverter-Full Data'!#REF!,"     ",'Inverter-Full Data'!#REF!,",",'Inverter-Full Data'!#REF!,",",'Inverter-Full Data'!#REF!,",",'Inverter-Full Data'!#REF!,"'")</f>
        <v>#REF!</v>
      </c>
    </row>
    <row r="2732" spans="1:1">
      <c r="A2732" s="2" t="e">
        <f>CONCATENATE("'",'Inverter-Full Data'!#REF!,"     ",'Inverter-Full Data'!#REF!,",",'Inverter-Full Data'!#REF!,",",'Inverter-Full Data'!#REF!,",",'Inverter-Full Data'!#REF!,"'")</f>
        <v>#REF!</v>
      </c>
    </row>
    <row r="2733" spans="1:1">
      <c r="A2733" s="2" t="e">
        <f>CONCATENATE("'",'Inverter-Full Data'!#REF!,"     ",'Inverter-Full Data'!#REF!,",",'Inverter-Full Data'!#REF!,",",'Inverter-Full Data'!#REF!,",",'Inverter-Full Data'!#REF!,"'")</f>
        <v>#REF!</v>
      </c>
    </row>
    <row r="2734" spans="1:1">
      <c r="A2734" s="2" t="e">
        <f>CONCATENATE("'",'Inverter-Full Data'!#REF!,"     ",'Inverter-Full Data'!#REF!,",",'Inverter-Full Data'!#REF!,",",'Inverter-Full Data'!#REF!,",",'Inverter-Full Data'!#REF!,"'")</f>
        <v>#REF!</v>
      </c>
    </row>
    <row r="2735" spans="1:1">
      <c r="A2735" s="2" t="e">
        <f>CONCATENATE("'",'Inverter-Full Data'!#REF!,"     ",'Inverter-Full Data'!#REF!,",",'Inverter-Full Data'!#REF!,",",'Inverter-Full Data'!#REF!,",",'Inverter-Full Data'!#REF!,"'")</f>
        <v>#REF!</v>
      </c>
    </row>
    <row r="2736" spans="1:1">
      <c r="A2736" s="2" t="e">
        <f>CONCATENATE("'",'Inverter-Full Data'!#REF!,"     ",'Inverter-Full Data'!#REF!,",",'Inverter-Full Data'!#REF!,",",'Inverter-Full Data'!#REF!,",",'Inverter-Full Data'!#REF!,"'")</f>
        <v>#REF!</v>
      </c>
    </row>
    <row r="2737" spans="1:1">
      <c r="A2737" s="2" t="e">
        <f>CONCATENATE("'",'Inverter-Full Data'!#REF!,"     ",'Inverter-Full Data'!#REF!,",",'Inverter-Full Data'!#REF!,",",'Inverter-Full Data'!#REF!,",",'Inverter-Full Data'!#REF!,"'")</f>
        <v>#REF!</v>
      </c>
    </row>
    <row r="2738" spans="1:1">
      <c r="A2738" s="2" t="e">
        <f>CONCATENATE("'",'Inverter-Full Data'!#REF!,"     ",'Inverter-Full Data'!#REF!,",",'Inverter-Full Data'!#REF!,",",'Inverter-Full Data'!#REF!,",",'Inverter-Full Data'!#REF!,"'")</f>
        <v>#REF!</v>
      </c>
    </row>
    <row r="2739" spans="1:1">
      <c r="A2739" s="2" t="e">
        <f>CONCATENATE("'",'Inverter-Full Data'!#REF!,"     ",'Inverter-Full Data'!#REF!,",",'Inverter-Full Data'!#REF!,",",'Inverter-Full Data'!#REF!,",",'Inverter-Full Data'!#REF!,"'")</f>
        <v>#REF!</v>
      </c>
    </row>
    <row r="2740" spans="1:1">
      <c r="A2740" s="2" t="e">
        <f>CONCATENATE("'",'Inverter-Full Data'!#REF!,"     ",'Inverter-Full Data'!#REF!,",",'Inverter-Full Data'!#REF!,",",'Inverter-Full Data'!#REF!,",",'Inverter-Full Data'!#REF!,"'")</f>
        <v>#REF!</v>
      </c>
    </row>
    <row r="2741" spans="1:1">
      <c r="A2741" s="2" t="e">
        <f>CONCATENATE("'",'Inverter-Full Data'!#REF!,"     ",'Inverter-Full Data'!#REF!,",",'Inverter-Full Data'!#REF!,",",'Inverter-Full Data'!#REF!,",",'Inverter-Full Data'!#REF!,"'")</f>
        <v>#REF!</v>
      </c>
    </row>
    <row r="2742" spans="1:1">
      <c r="A2742" s="2" t="e">
        <f>CONCATENATE("'",'Inverter-Full Data'!#REF!,"     ",'Inverter-Full Data'!#REF!,",",'Inverter-Full Data'!#REF!,",",'Inverter-Full Data'!#REF!,",",'Inverter-Full Data'!#REF!,"'")</f>
        <v>#REF!</v>
      </c>
    </row>
    <row r="2743" spans="1:1">
      <c r="A2743" s="2" t="e">
        <f>CONCATENATE("'",'Inverter-Full Data'!#REF!,"     ",'Inverter-Full Data'!#REF!,",",'Inverter-Full Data'!#REF!,",",'Inverter-Full Data'!#REF!,",",'Inverter-Full Data'!#REF!,"'")</f>
        <v>#REF!</v>
      </c>
    </row>
    <row r="2744" spans="1:1">
      <c r="A2744" s="2" t="e">
        <f>CONCATENATE("'",'Inverter-Full Data'!#REF!,"     ",'Inverter-Full Data'!#REF!,",",'Inverter-Full Data'!#REF!,",",'Inverter-Full Data'!#REF!,",",'Inverter-Full Data'!#REF!,"'")</f>
        <v>#REF!</v>
      </c>
    </row>
    <row r="2745" spans="1:1">
      <c r="A2745" s="2" t="e">
        <f>CONCATENATE("'",'Inverter-Full Data'!#REF!,"     ",'Inverter-Full Data'!#REF!,",",'Inverter-Full Data'!#REF!,",",'Inverter-Full Data'!#REF!,",",'Inverter-Full Data'!#REF!,"'")</f>
        <v>#REF!</v>
      </c>
    </row>
    <row r="2746" spans="1:1">
      <c r="A2746" s="2" t="e">
        <f>CONCATENATE("'",'Inverter-Full Data'!#REF!,"     ",'Inverter-Full Data'!#REF!,",",'Inverter-Full Data'!#REF!,",",'Inverter-Full Data'!#REF!,",",'Inverter-Full Data'!#REF!,"'")</f>
        <v>#REF!</v>
      </c>
    </row>
    <row r="2747" spans="1:1">
      <c r="A2747" s="2" t="e">
        <f>CONCATENATE("'",'Inverter-Full Data'!#REF!,"     ",'Inverter-Full Data'!#REF!,",",'Inverter-Full Data'!#REF!,",",'Inverter-Full Data'!#REF!,",",'Inverter-Full Data'!#REF!,"'")</f>
        <v>#REF!</v>
      </c>
    </row>
    <row r="2748" spans="1:1">
      <c r="A2748" s="2" t="e">
        <f>CONCATENATE("'",'Inverter-Full Data'!#REF!,"     ",'Inverter-Full Data'!#REF!,",",'Inverter-Full Data'!#REF!,",",'Inverter-Full Data'!#REF!,",",'Inverter-Full Data'!#REF!,"'")</f>
        <v>#REF!</v>
      </c>
    </row>
    <row r="2749" spans="1:1">
      <c r="A2749" s="2" t="e">
        <f>CONCATENATE("'",'Inverter-Full Data'!#REF!,"     ",'Inverter-Full Data'!#REF!,",",'Inverter-Full Data'!#REF!,",",'Inverter-Full Data'!#REF!,",",'Inverter-Full Data'!#REF!,"'")</f>
        <v>#REF!</v>
      </c>
    </row>
    <row r="2750" spans="1:1">
      <c r="A2750" s="2" t="str">
        <f>CONCATENATE("'",'Inverter-Full Data'!A372,"     ",'Inverter-Full Data'!B372,",",'Inverter-Full Data'!S372,",",'Inverter-Full Data'!J372,",",'Inverter-Full Data'!T372,"'")</f>
        <v>'LG Electronics Inc.     LG315E1K-A5 [208V],N,97,Y'</v>
      </c>
    </row>
    <row r="2751" spans="1:1">
      <c r="A2751" s="2" t="e">
        <f>CONCATENATE("'",'Inverter-Full Data'!#REF!,"     ",'Inverter-Full Data'!#REF!,",",'Inverter-Full Data'!#REF!,",",'Inverter-Full Data'!#REF!,",",'Inverter-Full Data'!#REF!,"'")</f>
        <v>#REF!</v>
      </c>
    </row>
    <row r="2752" spans="1:1">
      <c r="A2752" s="2" t="str">
        <f>CONCATENATE("'",'Inverter-Full Data'!A373,"     ",'Inverter-Full Data'!B373,",",'Inverter-Full Data'!S373,",",'Inverter-Full Data'!J373,",",'Inverter-Full Data'!T373,"'")</f>
        <v>'LG Electronics Inc.     LG315E1K-A5 [240V],N,97,Y'</v>
      </c>
    </row>
    <row r="2753" spans="1:1">
      <c r="A2753" s="2" t="str">
        <f>CONCATENATE("'",'Inverter-Full Data'!A374,"     ",'Inverter-Full Data'!B374,",",'Inverter-Full Data'!S374,",",'Inverter-Full Data'!J374,",",'Inverter-Full Data'!T374,"'")</f>
        <v>'LG Electronics Inc.     LG320E1K-A5 [208V],N,97,Y'</v>
      </c>
    </row>
    <row r="2754" spans="1:1">
      <c r="A2754" s="2" t="e">
        <f>CONCATENATE("'",'Inverter-Full Data'!#REF!,"     ",'Inverter-Full Data'!#REF!,",",'Inverter-Full Data'!#REF!,",",'Inverter-Full Data'!#REF!,",",'Inverter-Full Data'!#REF!,"'")</f>
        <v>#REF!</v>
      </c>
    </row>
    <row r="2755" spans="1:1">
      <c r="A2755" s="2" t="e">
        <f>CONCATENATE("'",'Inverter-Full Data'!#REF!,"     ",'Inverter-Full Data'!#REF!,",",'Inverter-Full Data'!#REF!,",",'Inverter-Full Data'!#REF!,",",'Inverter-Full Data'!#REF!,"'")</f>
        <v>#REF!</v>
      </c>
    </row>
    <row r="2756" spans="1:1">
      <c r="A2756" s="2" t="e">
        <f>CONCATENATE("'",'Inverter-Full Data'!#REF!,"     ",'Inverter-Full Data'!#REF!,",",'Inverter-Full Data'!#REF!,",",'Inverter-Full Data'!#REF!,",",'Inverter-Full Data'!#REF!,"'")</f>
        <v>#REF!</v>
      </c>
    </row>
    <row r="2757" spans="1:1">
      <c r="A2757" s="2" t="e">
        <f>CONCATENATE("'",'Inverter-Full Data'!#REF!,"     ",'Inverter-Full Data'!#REF!,",",'Inverter-Full Data'!#REF!,",",'Inverter-Full Data'!#REF!,",",'Inverter-Full Data'!#REF!,"'")</f>
        <v>#REF!</v>
      </c>
    </row>
    <row r="2758" spans="1:1">
      <c r="A2758" s="2" t="str">
        <f>CONCATENATE("'",'Inverter-Full Data'!A375,"     ",'Inverter-Full Data'!B375,",",'Inverter-Full Data'!S375,",",'Inverter-Full Data'!J375,",",'Inverter-Full Data'!T375,"'")</f>
        <v>'LG Electronics Inc.     LG320E1K-A5 [240V],N,97,Y'</v>
      </c>
    </row>
    <row r="2759" spans="1:1">
      <c r="A2759" s="2" t="e">
        <f>CONCATENATE("'",'Inverter-Full Data'!#REF!,"     ",'Inverter-Full Data'!#REF!,",",'Inverter-Full Data'!#REF!,",",'Inverter-Full Data'!#REF!,",",'Inverter-Full Data'!#REF!,"'")</f>
        <v>#REF!</v>
      </c>
    </row>
    <row r="2760" spans="1:1">
      <c r="A2760" s="2" t="e">
        <f>CONCATENATE("'",'Inverter-Full Data'!#REF!,"     ",'Inverter-Full Data'!#REF!,",",'Inverter-Full Data'!#REF!,",",'Inverter-Full Data'!#REF!,",",'Inverter-Full Data'!#REF!,"'")</f>
        <v>#REF!</v>
      </c>
    </row>
    <row r="2761" spans="1:1">
      <c r="A2761" s="2" t="e">
        <f>CONCATENATE("'",'Inverter-Full Data'!#REF!,"     ",'Inverter-Full Data'!#REF!,",",'Inverter-Full Data'!#REF!,",",'Inverter-Full Data'!#REF!,",",'Inverter-Full Data'!#REF!,"'")</f>
        <v>#REF!</v>
      </c>
    </row>
    <row r="2762" spans="1:1">
      <c r="A2762" s="2" t="e">
        <f>CONCATENATE("'",'Inverter-Full Data'!#REF!,"     ",'Inverter-Full Data'!#REF!,",",'Inverter-Full Data'!#REF!,",",'Inverter-Full Data'!#REF!,",",'Inverter-Full Data'!#REF!,"'")</f>
        <v>#REF!</v>
      </c>
    </row>
    <row r="2763" spans="1:1">
      <c r="A2763" s="2" t="e">
        <f>CONCATENATE("'",'Inverter-Full Data'!#REF!,"     ",'Inverter-Full Data'!#REF!,",",'Inverter-Full Data'!#REF!,",",'Inverter-Full Data'!#REF!,",",'Inverter-Full Data'!#REF!,"'")</f>
        <v>#REF!</v>
      </c>
    </row>
    <row r="2764" spans="1:1">
      <c r="A2764" s="2" t="str">
        <f>CONCATENATE("'",'Inverter-Full Data'!A376,"     ",'Inverter-Full Data'!B376,",",'Inverter-Full Data'!S376,",",'Inverter-Full Data'!J376,",",'Inverter-Full Data'!T376,"'")</f>
        <v>'LG Electronics Inc.     LG325E1C-A5 [208V],N,97,Y'</v>
      </c>
    </row>
    <row r="2765" spans="1:1">
      <c r="A2765" s="2" t="e">
        <f>CONCATENATE("'",'Inverter-Full Data'!#REF!,"     ",'Inverter-Full Data'!#REF!,",",'Inverter-Full Data'!#REF!,",",'Inverter-Full Data'!#REF!,",",'Inverter-Full Data'!#REF!,"'")</f>
        <v>#REF!</v>
      </c>
    </row>
    <row r="2766" spans="1:1">
      <c r="A2766" s="2" t="str">
        <f>CONCATENATE("'",'Inverter-Full Data'!A14,"     ",'Inverter-Full Data'!B14,",",'Inverter-Full Data'!S14,",",'Inverter-Full Data'!J14,",",'Inverter-Full Data'!T14,"'")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Inverter-Full Data</vt:lpstr>
      <vt:lpstr>Dropdown</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Chac, Erica@Energy</cp:lastModifiedBy>
  <cp:lastPrinted>2018-02-23T18:39:03Z</cp:lastPrinted>
  <dcterms:created xsi:type="dcterms:W3CDTF">2015-11-25T18:50:47Z</dcterms:created>
  <dcterms:modified xsi:type="dcterms:W3CDTF">2019-12-11T19:19:49Z</dcterms:modified>
</cp:coreProperties>
</file>